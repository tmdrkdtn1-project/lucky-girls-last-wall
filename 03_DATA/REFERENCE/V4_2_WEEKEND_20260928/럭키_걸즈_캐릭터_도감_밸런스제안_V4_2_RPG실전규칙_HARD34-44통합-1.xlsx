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31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32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33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4.xml" ContentType="application/vnd.openxmlformats-officedocument.drawing+xml"/>
  <Override PartName="/xl/drawings/charts/chart14.xml" ContentType="application/vnd.openxmlformats-officedocument.drawingml.char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15.xml" ContentType="application/vnd.openxmlformats-officedocument.drawing+xml"/>
  <Override PartName="/xl/drawings/charts/chart15.xml" ContentType="application/vnd.openxmlformats-officedocument.drawingml.char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16.xml" ContentType="application/vnd.openxmlformats-officedocument.drawing+xml"/>
  <Override PartName="/xl/drawings/charts/chart16.xml" ContentType="application/vnd.openxmlformats-officedocument.drawingml.chart+xml"/>
  <Override PartName="/xl/worksheets/sheet43.xml" ContentType="application/vnd.openxmlformats-officedocument.spreadsheetml.worksheet+xml"/>
  <Override PartName="/xl/drawings/drawing17.xml" ContentType="application/vnd.openxmlformats-officedocument.drawing+xml"/>
  <Override PartName="/xl/drawings/charts/chart17.xml" ContentType="application/vnd.openxmlformats-officedocument.drawingml.char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18.xml" ContentType="application/vnd.openxmlformats-officedocument.drawing+xml"/>
  <Override PartName="/xl/drawings/charts/chart1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275723568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아군 캐릭터" sheetId="1" r:id="Rb6456e6523b340b8"/>
    <x:sheet xmlns:r="http://schemas.openxmlformats.org/officeDocument/2006/relationships" name="적군 캐릭터" sheetId="2" r:id="R9602f519f6cd4d5a"/>
    <x:sheet xmlns:r="http://schemas.openxmlformats.org/officeDocument/2006/relationships" name="적군 보스" sheetId="4" r:id="R03d3bba09fba4e94"/>
    <x:sheet xmlns:r="http://schemas.openxmlformats.org/officeDocument/2006/relationships" name="아군 영웅" sheetId="3" r:id="Ra6dd1849455f465c"/>
    <x:sheet xmlns:r="http://schemas.openxmlformats.org/officeDocument/2006/relationships" name="레벨디자인_기준" sheetId="5" r:id="R80f5133d07c742e7"/>
    <x:sheet xmlns:r="http://schemas.openxmlformats.org/officeDocument/2006/relationships" name="스테이지_웨이브" sheetId="6" r:id="R7e51f7230e174ed5"/>
    <x:sheet xmlns:r="http://schemas.openxmlformats.org/officeDocument/2006/relationships" name="영웅조합_검토" sheetId="7" r:id="Rad115e0ec3074616"/>
    <x:sheet xmlns:r="http://schemas.openxmlformats.org/officeDocument/2006/relationships" name="성장_전투_규칙" sheetId="8" r:id="Rbfc3d08b37044c46"/>
    <x:sheet xmlns:r="http://schemas.openxmlformats.org/officeDocument/2006/relationships" name="TD_골드_역산" sheetId="9" r:id="Ra58632a6835f40fb"/>
    <x:sheet xmlns:r="http://schemas.openxmlformats.org/officeDocument/2006/relationships" name="TD_골드_웨이브" sheetId="10" r:id="Rceb26c9fc09b4275"/>
    <x:sheet xmlns:r="http://schemas.openxmlformats.org/officeDocument/2006/relationships" name="TD_골드_규칙" sheetId="11" r:id="Rb6e42030a2d742de"/>
    <x:sheet xmlns:r="http://schemas.openxmlformats.org/officeDocument/2006/relationships" name="영웅_조합비용_검증" sheetId="12" r:id="R3dc10a9ea5394385"/>
    <x:sheet xmlns:r="http://schemas.openxmlformats.org/officeDocument/2006/relationships" name="재료_제작비용" sheetId="13" r:id="Rbc3e4253399e4742"/>
    <x:sheet xmlns:r="http://schemas.openxmlformats.org/officeDocument/2006/relationships" name="계정_경제_패시브" sheetId="14" r:id="R3d0a87f680274d8d"/>
    <x:sheet xmlns:r="http://schemas.openxmlformats.org/officeDocument/2006/relationships" name="NORMAL1_10_시뮬레이션" sheetId="15" r:id="R5b078f3ac36a4b39"/>
    <x:sheet xmlns:r="http://schemas.openxmlformats.org/officeDocument/2006/relationships" name="로비성장_1-10_시뮬레이션" sheetId="16" r:id="Rc509432513f84959"/>
    <x:sheet xmlns:r="http://schemas.openxmlformats.org/officeDocument/2006/relationships" name="로비성장_확정후보_V1_9" sheetId="17" r:id="R9b9073efe0c24476"/>
    <x:sheet xmlns:r="http://schemas.openxmlformats.org/officeDocument/2006/relationships" name="NORMAL11_20_자연육성" sheetId="18" r:id="Rba49c3727d474372"/>
    <x:sheet xmlns:r="http://schemas.openxmlformats.org/officeDocument/2006/relationships" name="NORMAL21_30_성장벽" sheetId="19" r:id="Rabc15f1332a0475b"/>
    <x:sheet xmlns:r="http://schemas.openxmlformats.org/officeDocument/2006/relationships" name="HARD31_36_1주성장벽" sheetId="20" r:id="Ra731c8bab6db40e2"/>
    <x:sheet xmlns:r="http://schemas.openxmlformats.org/officeDocument/2006/relationships" name="HARD37_45_성장벽" sheetId="21" r:id="R91bb7da999a74458"/>
    <x:sheet xmlns:r="http://schemas.openxmlformats.org/officeDocument/2006/relationships" name="HARD46_50_최종성장벽" sheetId="22" r:id="R4659ce11c04a4dfd"/>
    <x:sheet xmlns:r="http://schemas.openxmlformats.org/officeDocument/2006/relationships" name="QA_최종검수_V2_6" sheetId="23" r:id="R47b7a7a803ae4d1c"/>
    <x:sheet xmlns:r="http://schemas.openxmlformats.org/officeDocument/2006/relationships" name="TD_전투공식_V1" sheetId="24" r:id="R9f945b78e52e419d"/>
    <x:sheet xmlns:r="http://schemas.openxmlformats.org/officeDocument/2006/relationships" name="STAGE1_실전시뮬레이션_V1" sheetId="25" r:id="R7a5f56c690fc424e"/>
    <x:sheet xmlns:r="http://schemas.openxmlformats.org/officeDocument/2006/relationships" name="ARIA_TD_기준" sheetId="26" r:id="Rd02be12938ca440b"/>
    <x:sheet xmlns:r="http://schemas.openxmlformats.org/officeDocument/2006/relationships" name="CHECKPOINT_5_6_10" sheetId="27" r:id="R2c914dfd38df4e82"/>
    <x:sheet xmlns:r="http://schemas.openxmlformats.org/officeDocument/2006/relationships" name="SECOND_LEGEND_TD_V1" sheetId="28" r:id="Rf1c12821790247bb"/>
    <x:sheet xmlns:r="http://schemas.openxmlformats.org/officeDocument/2006/relationships" name="ALL_HERO_TD_BUILD_V1" sheetId="29" r:id="R675b8dd7fb554816"/>
    <x:sheet xmlns:r="http://schemas.openxmlformats.org/officeDocument/2006/relationships" name="MYTHIC_BUILD_V1" sheetId="30" r:id="R5269f6aaecb043b0"/>
    <x:sheet xmlns:r="http://schemas.openxmlformats.org/officeDocument/2006/relationships" name="NORMAL21_30_5HERO_BUILD" sheetId="31" r:id="Reb7ccf88ee8a481a"/>
    <x:sheet xmlns:r="http://schemas.openxmlformats.org/officeDocument/2006/relationships" name="HARD31_36_CLEAR_AUDIT" sheetId="32" r:id="R155fa78303664383"/>
    <x:sheet xmlns:r="http://schemas.openxmlformats.org/officeDocument/2006/relationships" name="HARD31_33_REDESIGN" sheetId="33" r:id="Ree6c29461af941ae"/>
    <x:sheet xmlns:r="http://schemas.openxmlformats.org/officeDocument/2006/relationships" name="RPG_전투공식_V1" sheetId="34" r:id="R8299a7d2c6044ccb"/>
    <x:sheet xmlns:r="http://schemas.openxmlformats.org/officeDocument/2006/relationships" name="RPG_영웅스탯_V1" sheetId="35" r:id="R8864f7adfae54f70"/>
    <x:sheet xmlns:r="http://schemas.openxmlformats.org/officeDocument/2006/relationships" name="TD_RPG_통합검수_30_33" sheetId="36" r:id="Rcb5f5f70cb984cd3"/>
    <x:sheet xmlns:r="http://schemas.openxmlformats.org/officeDocument/2006/relationships" name="운명의주사위_구제시스템" sheetId="37" r:id="Rd9b012f1739148d8"/>
    <x:sheet xmlns:r="http://schemas.openxmlformats.org/officeDocument/2006/relationships" name="NORMAL1_20_RPG_MINIMUM" sheetId="38" r:id="Rdb55ecf59cf94ed6"/>
    <x:sheet xmlns:r="http://schemas.openxmlformats.org/officeDocument/2006/relationships" name="RPG_보스밸런스_1_20" sheetId="39" r:id="Rdd4a7ec713b84544"/>
    <x:sheet xmlns:r="http://schemas.openxmlformats.org/officeDocument/2006/relationships" name="HARD45_50_FINAL_DESIGN" sheetId="40" r:id="R3a73a8da5a8c4806"/>
    <x:sheet xmlns:r="http://schemas.openxmlformats.org/officeDocument/2006/relationships" name="RPG_보스밸런스_45_50" sheetId="41" r:id="R932d84562e374c9f"/>
    <x:sheet xmlns:r="http://schemas.openxmlformats.org/officeDocument/2006/relationships" name="5영웅_슬롯규칙_V1" sheetId="42" r:id="Rc824a48ab0de4c15"/>
    <x:sheet xmlns:r="http://schemas.openxmlformats.org/officeDocument/2006/relationships" name="판매가격_경제설계_V1" sheetId="43" r:id="R49d2aa7ea4a94ab7"/>
    <x:sheet xmlns:r="http://schemas.openxmlformats.org/officeDocument/2006/relationships" name="도트디자인_프롬프트_V1" sheetId="44" r:id="R8cbf5dd16edd496c"/>
    <x:sheet xmlns:r="http://schemas.openxmlformats.org/officeDocument/2006/relationships" name="아군_명칭리네이밍_제안" sheetId="45" r:id="R4c06772c82dd4963"/>
    <x:sheet xmlns:r="http://schemas.openxmlformats.org/officeDocument/2006/relationships" name="TD_비주얼_맵_기준_V1" sheetId="46" r:id="R14657783ab38456f"/>
    <x:sheet xmlns:r="http://schemas.openxmlformats.org/officeDocument/2006/relationships" name="TD_그래픽품질_기준_V1" sheetId="47" r:id="R4446e223a9474e3e"/>
    <x:sheet xmlns:r="http://schemas.openxmlformats.org/officeDocument/2006/relationships" name="TD_UI_기본구성_V1" sheetId="48" r:id="R51cc12ff136a46d9"/>
    <x:sheet xmlns:r="http://schemas.openxmlformats.org/officeDocument/2006/relationships" name="TD_SCENE_CODE_V1" sheetId="49" r:id="Rf0145b8dd4a649b2"/>
    <x:sheet xmlns:r="http://schemas.openxmlformats.org/officeDocument/2006/relationships" name="RPG_실전전투규칙_V1" sheetId="50" r:id="R5bba7a14f250421d"/>
    <x:sheet xmlns:r="http://schemas.openxmlformats.org/officeDocument/2006/relationships" name="HARD34_44_TD_RPG통합" sheetId="51" r:id="R60ee270338784ae3"/>
  </x:sheets>
</x:workbook>
</file>

<file path=xl/sharedStrings.xml><?xml version="1.0" encoding="utf-8"?>
<x:sst xmlns:x="http://schemas.openxmlformats.org/spreadsheetml/2006/main">
  <x:si>
    <x:t xml:space="preserve">럭키걸즈 캐릭터 도감(아군)</x:t>
  </x:si>
  <x:si>
    <x:t xml:space="preserve">피해 종류 구분 표</x:t>
  </x:si>
  <x:si>
    <x:t xml:space="preserve">단일</x:t>
  </x:si>
  <x:si>
    <x:t xml:space="preserve">지속</x:t>
  </x:si>
  <x:si>
    <x:t xml:space="preserve">관통</x:t>
  </x:si>
  <x:si>
    <x:t xml:space="preserve">광역</x:t>
  </x:si>
  <x:si>
    <x:t xml:space="preserve">이전</x:t>
  </x:si>
  <x:si>
    <x:t xml:space="preserve">빙결</x:t>
  </x:si>
  <x:si>
    <x:t xml:space="preserve">화염</x:t>
  </x:si>
  <x:si>
    <x:t xml:space="preserve">기절</x:t>
  </x:si>
  <x:si>
    <x:t xml:space="preserve">차단</x:t>
  </x:si>
  <x:si>
    <x:t xml:space="preserve">단일 캐릭터 피해</x:t>
  </x:si>
  <x:si>
    <x:t xml:space="preserve">[  ]초간 피해 부여</x:t>
  </x:si>
  <x:si>
    <x:t xml:space="preserve">같은 칸의 모든 캐릭터 피해</x:t>
  </x:si>
  <x:si>
    <x:t xml:space="preserve">해당 칸 인근 [   ]칸 동시 피해</x:t>
  </x:si>
  <x:si>
    <x:t xml:space="preserve">타겟이 입은 데미지를 인근 [   ]명에게 [   ]회 피해 이전, 데미지는 이전 될 때 마다 10%씩 하락함</x:t>
  </x:si>
  <x:si>
    <x:t xml:space="preserve">타겟을 [    ]초간 기절 및 피해</x:t>
  </x:si>
  <x:si>
    <x:t xml:space="preserve">타겟에게 [   ]초간 [    ]의 지속 피해</x:t>
  </x:si>
  <x:si>
    <x:t xml:space="preserve">타겟을 [   ]초간 행동불능</x:t>
  </x:si>
  <x:si>
    <x:t xml:space="preserve">타겟의 모든 스킬을 [    ]초간 차단</x:t>
  </x:si>
  <x:si>
    <x:t xml:space="preserve">TD 모드 아군 캐릭터 ( 아군 캐릭터는 방어벽 제외 HP/DEF/이속 없음 ) / 비어있는 칸은 아예 해당 없음으로 보면 됨.</x:t>
  </x:si>
  <x:si>
    <x:t xml:space="preserve">구분</x:t>
  </x:si>
  <x:si>
    <x:t xml:space="preserve">이름</x:t>
  </x:si>
  <x:si>
    <x:t xml:space="preserve">HP</x:t>
  </x:si>
  <x:si>
    <x:t xml:space="preserve">ATK</x:t>
  </x:si>
  <x:si>
    <x:t xml:space="preserve">DEF</x:t>
  </x:si>
  <x:si>
    <x:t xml:space="preserve">공속</x:t>
  </x:si>
  <x:si>
    <x:t xml:space="preserve">이속</x:t>
  </x:si>
  <x:si>
    <x:t xml:space="preserve">사거리</x:t>
  </x:si>
  <x:si>
    <x:t xml:space="preserve">타겟 수</x:t>
  </x:si>
  <x:si>
    <x:t xml:space="preserve">피해종류</x:t>
  </x:si>
  <x:si>
    <x:t xml:space="preserve">공중 대응</x:t>
  </x:si>
  <x:si>
    <x:t xml:space="preserve">상태이상</x:t>
  </x:si>
  <x:si>
    <x:t xml:space="preserve">전문화 트리</x:t>
  </x:si>
  <x:si>
    <x:t xml:space="preserve">전문화 요구치</x:t>
  </x:si>
  <x:si>
    <x:t xml:space="preserve">기타</x:t>
  </x:si>
  <x:si>
    <x:t xml:space="preserve">성급 업그레이드 비용</x:t>
  </x:si>
  <x:si>
    <x:t xml:space="preserve">배치 구매비용</x:t>
  </x:si>
  <x:si>
    <x:t xml:space="preserve">구조물</x:t>
  </x:si>
  <x:si>
    <x:t xml:space="preserve">방어벽</x:t>
  </x:si>
  <x:si>
    <x:t xml:space="preserve">강철 방어벽</x:t>
  </x:si>
  <x:si>
    <x:t xml:space="preserve">80골드</x:t>
  </x:si>
  <x:si>
    <x:t xml:space="preserve">5스테이지 진입 시 해금</x:t>
  </x:si>
  <x:si>
    <x:t xml:space="preserve">★1→2 15G / ★2→3 25G / ★3→4 40G / ★4→5 60G</x:t>
  </x:si>
  <x:si>
    <x:t xml:space="preserve">가시 방어벽
미스릴 방어벽</x:t>
  </x:si>
  <x:si>
    <x:t xml:space="preserve">150골드</x:t>
  </x:si>
  <x:si>
    <x:t xml:space="preserve">방어벽 3성 해금</x:t>
  </x:si>
  <x:si>
    <x:t xml:space="preserve">★1→2 25G / ★2→3 40G / ★3→4 60G / ★4→5 90G</x:t>
  </x:si>
  <x:si>
    <x:t xml:space="preserve">미스릴 방어벽</x:t>
  </x:si>
  <x:si>
    <x:t xml:space="preserve">강철 방어벽 3성 해금</x:t>
  </x:si>
  <x:si>
    <x:t xml:space="preserve">★1→2 40G / ★2→3 65G / ★3→4 95G / ★4→5 140G</x:t>
  </x:si>
  <x:si>
    <x:t xml:space="preserve">가시 방어벽</x:t>
  </x:si>
  <x:si>
    <x:t xml:space="preserve">불가능</x:t>
  </x:si>
  <x:si>
    <x:t xml:space="preserve">공격자에게 데미지 부여 및
출혈 상태이상 부여</x:t>
  </x:si>
  <x:si>
    <x:t xml:space="preserve">★1→2 40G / ★2→3 60G / ★3→4 90G / ★4→5 130G</x:t>
  </x:si>
  <x:si>
    <x:t xml:space="preserve">감시탑</x:t>
  </x:si>
  <x:si>
    <x:t xml:space="preserve">가능</x:t>
  </x:si>
  <x:si>
    <x:t xml:space="preserve">없음</x:t>
  </x:si>
  <x:si>
    <x:t xml:space="preserve">강화 감시탑</x:t>
  </x:si>
  <x:si>
    <x:t xml:space="preserve">50골드</x:t>
  </x:si>
  <x:si>
    <x:t xml:space="preserve">최초 해금상태</x:t>
  </x:si>
  <x:si>
    <x:t xml:space="preserve">★1→2 20G / ★2→3 35G / ★3→4 50G / ★4→5 75G</x:t>
  </x:si>
  <x:si>
    <x:t xml:space="preserve">저격 감시탑
연사 감시탑
관통 감시탑</x:t>
  </x:si>
  <x:si>
    <x:t xml:space="preserve">100골드</x:t>
  </x:si>
  <x:si>
    <x:t xml:space="preserve">감시탑 3성 해금</x:t>
  </x:si>
  <x:si>
    <x:t xml:space="preserve">★1→2 30G / ★2→3 45G / ★3→4 70G / ★4→5 100G</x:t>
  </x:si>
  <x:si>
    <x:t xml:space="preserve">저격 감시탑</x:t>
  </x:si>
  <x:si>
    <x:t xml:space="preserve">강화 감시탑 3성 해금</x:t>
  </x:si>
  <x:si>
    <x:t xml:space="preserve">★1→2 45G / ★2→3 70G / ★3→4 105G / ★4→5 150G</x:t>
  </x:si>
  <x:si>
    <x:t xml:space="preserve">연사 감시탑</x:t>
  </x:si>
  <x:si>
    <x:t xml:space="preserve">관통 감시탑</x:t>
  </x:si>
  <x:si>
    <x:t xml:space="preserve">같은 칸에 있는 모든 캐릭터에게
데미지 부여</x:t>
  </x:si>
  <x:si>
    <x:t xml:space="preserve">발리스타</x:t>
  </x:si>
  <x:si>
    <x:t xml:space="preserve">대형 발리스타</x:t>
  </x:si>
  <x:si>
    <x:t xml:space="preserve">★1→2 30G / ★2→3 50G / ★3→4 75G / ★4→5 110G</x:t>
  </x:si>
  <x:si>
    <x:t xml:space="preserve">드래곤 킬러
플레임 발리스타</x:t>
  </x:si>
  <x:si>
    <x:t xml:space="preserve">200골드</x:t>
  </x:si>
  <x:si>
    <x:t xml:space="preserve">발리스타 3성 해금</x:t>
  </x:si>
  <x:si>
    <x:t xml:space="preserve">★1→2 45G / ★2→3 75G / ★3→4 110G / ★4→5 160G</x:t>
  </x:si>
  <x:si>
    <x:t xml:space="preserve">드래곤 킬러</x:t>
  </x:si>
  <x:si>
    <x:t xml:space="preserve">공중만 가능</x:t>
  </x:si>
  <x:si>
    <x:t xml:space="preserve">데미지를 입은 공중 유닛 3초 기절</x:t>
  </x:si>
  <x:si>
    <x:t xml:space="preserve">대형 발리스타 3성 해금</x:t>
  </x:si>
  <x:si>
    <x:t xml:space="preserve">★1→2 65G / ★2→3 100G / ★3→4 145G / ★4→5 210G</x:t>
  </x:si>
  <x:si>
    <x:t xml:space="preserve">플레임 발리스타</x:t>
  </x:si>
  <x:si>
    <x:t xml:space="preserve">광역/지속</x:t>
  </x:si>
  <x:si>
    <x:t xml:space="preserve">데미지를 입은 유닛 칸 및 인근 1칸 화염 효과, 단 인근 1칸이라 함은 반드시 적 유닛 이동 경로여야함
10초동안 광역 데미지 부여</x:t>
  </x:si>
  <x:si>
    <x:t xml:space="preserve">투석기</x:t>
  </x:si>
  <x:si>
    <x:t xml:space="preserve">캐논타워</x:t>
  </x:si>
  <x:si>
    <x:t xml:space="preserve">10스테이지 진입 시 해금</x:t>
  </x:si>
  <x:si>
    <x:t xml:space="preserve">★1→2 35G / ★2→3 60G / ★3→4 90G / ★4→5 130G</x:t>
  </x:si>
  <x:si>
    <x:t xml:space="preserve">캐논 타워</x:t>
  </x:si>
  <x:si>
    <x:t xml:space="preserve">봄버 캐논타워
마력 캐논타워</x:t>
  </x:si>
  <x:si>
    <x:t xml:space="preserve">투석기 3성 해금</x:t>
  </x:si>
  <x:si>
    <x:t xml:space="preserve">★1→2 55G / ★2→3 85G / ★3→4 125G / ★4→5 180G</x:t>
  </x:si>
  <x:si>
    <x:t xml:space="preserve">봄버 캐논타워</x:t>
  </x:si>
  <x:si>
    <x:t xml:space="preserve">관통/지속/광역/화염</x:t>
  </x:si>
  <x:si>
    <x:t xml:space="preserve">같은 칸에 있는 모든 캐릭터에게
데미지 부여, 데미지를 입은 유닛 칸 및 인근 1칸 화염 효과, 단 인근 1칸이라 함은 반드시 적 유닛 이동 경로여야함, 10초동안 광역 데미지 부여</x:t>
  </x:si>
  <x:si>
    <x:t xml:space="preserve">캐논 타워 5성해금</x:t>
  </x:si>
  <x:si>
    <x:t xml:space="preserve">★1→2 80G / ★2→3 120G / ★3→4 175G / ★4→5 250G</x:t>
  </x:si>
  <x:si>
    <x:t xml:space="preserve">마력 캐논타워</x:t>
  </x:si>
  <x:si>
    <x:t xml:space="preserve">관통/광역</x:t>
  </x:si>
  <x:si>
    <x:t xml:space="preserve">같은 칸에 있는 모든 캐릭터에게
데미지 부여, 공중과 지상 상관 없이 해당 칸 및 인근 1칸의 모든 적 유닛에게 데미지 부여, 단 인근 1칸이라 함은 반드시 적 유닛 이동 경로여야 함.</x:t>
  </x:si>
  <x:si>
    <x:t xml:space="preserve">마력 수정</x:t>
  </x:si>
  <x:si>
    <x:t xml:space="preserve">충만한 마력수정</x:t>
  </x:si>
  <x:si>
    <x:t xml:space="preserve">15스테이지 진입 시 해금</x:t>
  </x:si>
  <x:si>
    <x:t xml:space="preserve">★1→2 40G / ★2→3 65G / ★3→4 100G / ★4→5 145G</x:t>
  </x:si>
  <x:si>
    <x:t xml:space="preserve">충만한 마력 수정</x:t>
  </x:si>
  <x:si>
    <x:t xml:space="preserve">같은 칸에 있는 모든 캐릭터에게
데미지 부여 및 해당 칸 인근 2칸에 동시 피해 부여</x:t>
  </x:si>
  <x:si>
    <x:t xml:space="preserve">1급 용암수정
1급 번개수정
1급 얼음수정</x:t>
  </x:si>
  <x:si>
    <x:t xml:space="preserve">마력 수정 3성 해금</x:t>
  </x:si>
  <x:si>
    <x:t xml:space="preserve">★1→2 60G / ★2→3 95G / ★3→4 140G / ★4→5 205G</x:t>
  </x:si>
  <x:si>
    <x:t xml:space="preserve">1급 용암 수정</x:t>
  </x:si>
  <x:si>
    <x:t xml:space="preserve">관통/광역/지속/화염</x:t>
  </x:si>
  <x:si>
    <x:t xml:space="preserve">같은 칸에 있는 모든 캐릭터에게
데미지 부여, 데미지를 입은 유닛 칸 및 인근 2칸 화염 효과, 단 인근 2칸이라 함은 반드시 적 유닛 이동 경로여야함, 10초동안 광역 데미지 부여</x:t>
  </x:si>
  <x:si>
    <x:t xml:space="preserve">충만한 마력 수정 5성 해금</x:t>
  </x:si>
  <x:si>
    <x:t xml:space="preserve">★1→2 90G / ★2→3 135G / ★3→4 195G / ★4→5 280G</x:t>
  </x:si>
  <x:si>
    <x:t xml:space="preserve">1급 번개 수정</x:t>
  </x:si>
  <x:si>
    <x:t xml:space="preserve">관통/이전</x:t>
  </x:si>
  <x:si>
    <x:t xml:space="preserve">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</x:t>
  </x:si>
  <x:si>
    <x:t xml:space="preserve">1급 얼음 수정</x:t>
  </x:si>
  <x:si>
    <x:t xml:space="preserve">관통/빙결/광역</x:t>
  </x:si>
  <x:si>
    <x:t xml:space="preserve">같은 칸에 있는 모든 캐릭터에게
데미지 부여, 데미지를 입은 유닛 칸 및 인근 2칸 빙결 효과 및 동일 데미지 부여, 단 인근 2칸이라 함은 반드시 적 유닛 이동 경로여야함,</x:t>
  </x:si>
  <x:si>
    <x:t xml:space="preserve">캐릭터</x:t>
  </x:si>
  <x:si>
    <x:t xml:space="preserve">견습 기사</x:t>
  </x:si>
  <x:si>
    <x:t xml:space="preserve">상급기사</x:t>
  </x:si>
  <x:si>
    <x:t xml:space="preserve">상급 기사</x:t>
  </x:si>
  <x:si>
    <x:t xml:space="preserve">기사단장
광전사</x:t>
  </x:si>
  <x:si>
    <x:t xml:space="preserve">견습 기사 3성 해금</x:t>
  </x:si>
  <x:si>
    <x:t xml:space="preserve">기사 단장</x:t>
  </x:si>
  <x:si>
    <x:t xml:space="preserve">상급 기사 5성 해금</x:t>
  </x:si>
  <x:si>
    <x:t xml:space="preserve">광전사</x:t>
  </x:si>
  <x:si>
    <x:t xml:space="preserve">견습 궁수</x:t>
  </x:si>
  <x:si>
    <x:t xml:space="preserve">저격수</x:t>
  </x:si>
  <x:si>
    <x:t xml:space="preserve">석궁수
연사궁병</x:t>
  </x:si>
  <x:si>
    <x:t xml:space="preserve">견습 궁수 3성 해금</x:t>
  </x:si>
  <x:si>
    <x:t xml:space="preserve">석궁수</x:t>
  </x:si>
  <x:si>
    <x:t xml:space="preserve">저격수 5성 해금</x:t>
  </x:si>
  <x:si>
    <x:t xml:space="preserve">연사 궁병</x:t>
  </x:si>
  <x:si>
    <x:t xml:space="preserve">투창병</x:t>
  </x:si>
  <x:si>
    <x:t xml:space="preserve">프리랜서</x:t>
  </x:si>
  <x:si>
    <x:t xml:space="preserve">★1→2 18G / ★2→3 30G / ★3→4 45G / ★4→5 65G</x:t>
  </x:si>
  <x:si>
    <x:t xml:space="preserve">프리 랜서</x:t>
  </x:si>
  <x:si>
    <x:t xml:space="preserve">엘리트랜서
마창병</x:t>
  </x:si>
  <x:si>
    <x:t xml:space="preserve">투창병 3성 해금</x:t>
  </x:si>
  <x:si>
    <x:t xml:space="preserve">★1→2 28G / ★2→3 45G / ★3→4 65G / ★4→5 95G</x:t>
  </x:si>
  <x:si>
    <x:t xml:space="preserve">엘리트 랜서</x:t>
  </x:si>
  <x:si>
    <x:t xml:space="preserve">프리랜서 5성 해금</x:t>
  </x:si>
  <x:si>
    <x:t xml:space="preserve">★1→2 42G / ★2→3 65G / ★3→4 95G / ★4→5 140G</x:t>
  </x:si>
  <x:si>
    <x:t xml:space="preserve">마창병</x:t>
  </x:si>
  <x:si>
    <x:t xml:space="preserve">관통/지속</x:t>
  </x:si>
  <x:si>
    <x:t xml:space="preserve">무희</x:t>
  </x:si>
  <x:si>
    <x:t xml:space="preserve">인근1칸 아군에게 공속/공격력증가</x:t>
  </x:si>
  <x:si>
    <x:t xml:space="preserve">무희단장</x:t>
  </x:si>
  <x:si>
    <x:t xml:space="preserve">스테이지 10 진입시 해금</x:t>
  </x:si>
  <x:si>
    <x:t xml:space="preserve">★1→2 20G / ★2→3 32G / ★3→4 48G / ★4→5 70G</x:t>
  </x:si>
  <x:si>
    <x:t xml:space="preserve">무희 단장</x:t>
  </x:si>
  <x:si>
    <x:t xml:space="preserve">인근2칸 아군에게 공속/공격력증가</x:t>
  </x:si>
  <x:si>
    <x:t xml:space="preserve">주술사
아이돌</x:t>
  </x:si>
  <x:si>
    <x:t xml:space="preserve">무희 3성 해금</x:t>
  </x:si>
  <x:si>
    <x:t xml:space="preserve">★1→2 32G / ★2→3 50G / ★3→4 75G / ★4→5 110G</x:t>
  </x:si>
  <x:si>
    <x:t xml:space="preserve">주술사</x:t>
  </x:si>
  <x:si>
    <x:t xml:space="preserve">타겟 인근 2칸에 이속/방어력/공격력 하락(중) 부여</x:t>
  </x:si>
  <x:si>
    <x:t xml:space="preserve">무희 단장 5성 해금</x:t>
  </x:si>
  <x:si>
    <x:t xml:space="preserve">★1→2 48G / ★2→3 75G / ★3→4 110G / ★4→5 160G</x:t>
  </x:si>
  <x:si>
    <x:t xml:space="preserve">아이돌</x:t>
  </x:si>
  <x:si>
    <x:t xml:space="preserve">모든 아군에게 공속/공격력 상승(소) 부여
모든 적군에게 이속 하락(소) 부여</x:t>
  </x:si>
  <x:si>
    <x:t xml:space="preserve">마탑 수습생</x:t>
  </x:si>
  <x:si>
    <x:t xml:space="preserve">대마법사</x:t>
  </x:si>
  <x:si>
    <x:t xml:space="preserve">스테이지 5 진입시 해금</x:t>
  </x:si>
  <x:si>
    <x:t xml:space="preserve">대현자
용언사</x:t>
  </x:si>
  <x:si>
    <x:t xml:space="preserve">마탑 수습생 3성 해금</x:t>
  </x:si>
  <x:si>
    <x:t xml:space="preserve">★1→2 35G / ★2→3 55G / ★3→4 80G / ★4→5 120G</x:t>
  </x:si>
  <x:si>
    <x:t xml:space="preserve">대 현자</x:t>
  </x:si>
  <x:si>
    <x:t xml:space="preserve">화염(지속데미지)/번개(이전데미지)/빙결(기절) 중 랜덤하게 공격</x:t>
  </x:si>
  <x:si>
    <x:t xml:space="preserve">대마법사 5성 해금</x:t>
  </x:si>
  <x:si>
    <x:t xml:space="preserve">★1→2 52G / ★2→3 80G / ★3→4 120G / ★4→5 175G</x:t>
  </x:si>
  <x:si>
    <x:t xml:space="preserve">용언사</x:t>
  </x:si>
  <x:si>
    <x:t xml:space="preserve">관통/광역/화염</x:t>
  </x:si>
  <x:si>
    <x:t xml:space="preserve">느리지만 데미지 개높음.
모든 적군에게 이속 하락(중)부여</x:t>
  </x:si>
  <x:si>
    <x:t xml:space="preserve">★1→2 55G / ★2→3 85G / ★3→4 125G / ★4→5 185G</x:t>
  </x:si>
  <x:si>
    <x:t xml:space="preserve">흑마법사</x:t>
  </x:si>
  <x:si>
    <x:t xml:space="preserve">모든 적군에게 이속 하락(소)부여
모든 적군에게 방어력 하락 (소) 부여
모든 적군에게 공격력 하락 (중) 부여</x:t>
  </x:si>
  <x:si>
    <x:t xml:space="preserve">마녀</x:t>
  </x:si>
  <x:si>
    <x:t xml:space="preserve">마녀대모</x:t>
  </x:si>
  <x:si>
    <x:t xml:space="preserve">★1→2 22G / ★2→3 35G / ★3→4 52G / ★4→5 78G</x:t>
  </x:si>
  <x:si>
    <x:t xml:space="preserve">마녀 대모</x:t>
  </x:si>
  <x:si>
    <x:t xml:space="preserve">죽음의화신
분노의화신
침묵의화신</x:t>
  </x:si>
  <x:si>
    <x:t xml:space="preserve">마녀 3성 해금</x:t>
  </x:si>
  <x:si>
    <x:t xml:space="preserve">★1→2 38G / ★2→3 58G / ★3→4 85G / ★4→5 125G</x:t>
  </x:si>
  <x:si>
    <x:t xml:space="preserve">죽음의 화신</x:t>
  </x:si>
  <x:si>
    <x:t xml:space="preserve">마녀 대모 5성 해금</x:t>
  </x:si>
  <x:si>
    <x:t xml:space="preserve">★1→2 58G / ★2→3 88G / ★3→4 130G / ★4→5 190G</x:t>
  </x:si>
  <x:si>
    <x:t xml:space="preserve">분노의 화신</x:t>
  </x:si>
  <x:si>
    <x:t xml:space="preserve">모든 아군에게 공속/공격력 상승(중)부여</x:t>
  </x:si>
  <x:si>
    <x:t xml:space="preserve">침묵의 화신</x:t>
  </x:si>
  <x:si>
    <x:t xml:space="preserve">5초 간격으로 스킬을 보유한 적군들에게 침묵 2초 부여</x:t>
  </x:si>
  <x:si>
    <x:t xml:space="preserve">TD 모드 적군 캐릭터 ( 적군 캐릭터는 성벽 및 방어벽류를 제외하고 공격할 수 없음 )</x:t>
  </x:si>
  <x:si>
    <x:t xml:space="preserve">지역</x:t>
  </x:si>
  <x:si>
    <x:t xml:space="preserve">몬스터명</x:t>
  </x:si>
  <x:si>
    <x:t xml:space="preserve">콘셉트</x:t>
  </x:si>
  <x:si>
    <x:t xml:space="preserve">TD 역할</x:t>
  </x:si>
  <x:si>
    <x:t xml:space="preserve">하드모드 변형 예시</x:t>
  </x:si>
  <x:si>
    <x:t xml:space="preserve">비고</x:t>
  </x:si>
  <x:si>
    <x:t xml:space="preserve">방벽 공격력</x:t>
  </x:si>
  <x:si>
    <x:t xml:space="preserve">방벽 공격주기(초)</x:t>
  </x:si>
  <x:si>
    <x:t xml:space="preserve">공중</x:t>
  </x:si>
  <x:si>
    <x:t xml:space="preserve">특수효과</x:t>
  </x:si>
  <x:si>
    <x:t xml:space="preserve">처치 골드</x:t>
  </x:si>
  <x:si>
    <x:t xml:space="preserve">권장 최초 등장</x:t>
  </x:si>
  <x:si>
    <x:t xml:space="preserve">하드 HP배율</x:t>
  </x:si>
  <x:si>
    <x:t xml:space="preserve">하드 공격배율</x:t>
  </x:si>
  <x:si>
    <x:t xml:space="preserve">서부 왕국</x:t>
  </x:si>
  <x:si>
    <x:t xml:space="preserve">인간형</x:t>
  </x:si>
  <x:si>
    <x:t xml:space="preserve">산악 약탈자</x:t>
  </x:si>
  <x:si>
    <x:t xml:space="preserve">산길을 점거한 무장 산적</x:t>
  </x:si>
  <x:si>
    <x:t xml:space="preserve">기본 보병</x:t>
  </x:si>
  <x:si>
    <x:t xml:space="preserve">타락한 산악 약탈자</x:t>
  </x:si>
  <x:si>
    <x:t xml:space="preserve">정규군 아님</x:t>
  </x:si>
  <x:si>
    <x:t xml:space="preserve">협곡 강도</x:t>
  </x:si>
  <x:si>
    <x:t xml:space="preserve">좁은 길에서 습격하는 도적</x:t>
  </x:si>
  <x:si>
    <x:t xml:space="preserve">고속 근접</x:t>
  </x:si>
  <x:si>
    <x:t xml:space="preserve">타락한 협곡 강도</x:t>
  </x:si>
  <x:si>
    <x:t xml:space="preserve">탈영 철갑병</x:t>
  </x:si>
  <x:si>
    <x:t xml:space="preserve">군을 이탈한 중갑 용병</x:t>
  </x:si>
  <x:si>
    <x:t xml:space="preserve">고방어</x:t>
  </x:si>
  <x:si>
    <x:t xml:space="preserve">타락한 철갑병</x:t>
  </x:si>
  <x:si>
    <x:t xml:space="preserve">변절/탈영 설정</x:t>
  </x:si>
  <x:si>
    <x:t xml:space="preserve">화약 밀수꾼</x:t>
  </x:si>
  <x:si>
    <x:t xml:space="preserve">광산 폭약을 훔쳐 쓰는 범죄자</x:t>
  </x:si>
  <x:si>
    <x:t xml:space="preserve">사망 시 폭발</x:t>
  </x:si>
  <x:si>
    <x:t xml:space="preserve">타락한 폭파병</x:t>
  </x:si>
  <x:si>
    <x:t xml:space="preserve">폭발형</x:t>
  </x:si>
  <x:si>
    <x:t xml:space="preserve">광산 파괴자</x:t>
  </x:si>
  <x:si>
    <x:t xml:space="preserve">곡괭이·망치로 방벽을 부수는 범죄집단</x:t>
  </x:si>
  <x:si>
    <x:t xml:space="preserve">방어벽 특화</x:t>
  </x:si>
  <x:si>
    <x:t xml:space="preserve">타락한 광산 파괴자</x:t>
  </x:si>
  <x:si>
    <x:t xml:space="preserve">방어벽 압박</x:t>
  </x:si>
  <x:si>
    <x:t xml:space="preserve">방어벽 대상 피해 증가</x:t>
  </x:si>
  <x:si>
    <x:t xml:space="preserve">비인간형</x:t>
  </x:si>
  <x:si>
    <x:t xml:space="preserve">협곡 늑대</x:t>
  </x:si>
  <x:si>
    <x:t xml:space="preserve">산악 무리사냥 야수</x:t>
  </x:si>
  <x:si>
    <x:t xml:space="preserve">고속 물량</x:t>
  </x:si>
  <x:si>
    <x:t xml:space="preserve">침식된 협곡 늑대</x:t>
  </x:si>
  <x:si>
    <x:t xml:space="preserve">야수</x:t>
  </x:si>
  <x:si>
    <x:t xml:space="preserve">뿔멧돼지</x:t>
  </x:si>
  <x:si>
    <x:t xml:space="preserve">거대한 돌진형 야수</x:t>
  </x:si>
  <x:si>
    <x:t xml:space="preserve">돌진</x:t>
  </x:si>
  <x:si>
    <x:t xml:space="preserve">침식된 뿔멧돼지</x:t>
  </x:si>
  <x:si>
    <x:t xml:space="preserve">바위등 도마뱀</x:t>
  </x:si>
  <x:si>
    <x:t xml:space="preserve">암석 갑피를 지닌 파충류</x:t>
  </x:si>
  <x:si>
    <x:t xml:space="preserve">침식된 바위등 도마뱀</x:t>
  </x:si>
  <x:si>
    <x:t xml:space="preserve">장갑형</x:t>
  </x:si>
  <x:si>
    <x:t xml:space="preserve">절벽 매</x:t>
  </x:si>
  <x:si>
    <x:t xml:space="preserve">절벽 지대를 나는 대형 맹금</x:t>
  </x:si>
  <x:si>
    <x:t xml:space="preserve">침식된 절벽매</x:t>
  </x:si>
  <x:si>
    <x:t xml:space="preserve">공중형</x:t>
  </x:si>
  <x:si>
    <x:t xml:space="preserve">지형 무시 비행</x:t>
  </x:si>
  <x:si>
    <x:t xml:space="preserve">암석 골렘</x:t>
  </x:si>
  <x:si>
    <x:t xml:space="preserve">폐광에서 깨어난 마력 생물</x:t>
  </x:si>
  <x:si>
    <x:t xml:space="preserve">고HP</x:t>
  </x:si>
  <x:si>
    <x:t xml:space="preserve">침식된 암석골렘</x:t>
  </x:si>
  <x:si>
    <x:t xml:space="preserve">중장형</x:t>
  </x:si>
  <x:si>
    <x:t xml:space="preserve">빙결 지속시간 40% 감소</x:t>
  </x:si>
  <x:si>
    <x:t xml:space="preserve">최초의 골렘 아즈로</x:t>
  </x:si>
  <x:si>
    <x:t xml:space="preserve">거대한 암석 골렘, 검은색</x:t>
  </x:si>
  <x:si>
    <x:t xml:space="preserve">고HP/고방어</x:t>
  </x:si>
  <x:si>
    <x:t xml:space="preserve">침식에 저항하는 아즈로</x:t>
  </x:si>
  <x:si>
    <x:t xml:space="preserve">5웨이브 중간보스</x:t>
  </x:si>
  <x:si>
    <x:t xml:space="preserve">아자르 삼국연합</x:t>
  </x:si>
  <x:si>
    <x:t xml:space="preserve">사막 약탈자</x:t>
  </x:si>
  <x:si>
    <x:t xml:space="preserve">대상단을 습격하는 도적</x:t>
  </x:si>
  <x:si>
    <x:t xml:space="preserve">타락한 사막 약탈자</x:t>
  </x:si>
  <x:si>
    <x:t xml:space="preserve">독침 암살자</x:t>
  </x:si>
  <x:si>
    <x:t xml:space="preserve">독침·단검을 사용하는 암살자</x:t>
  </x:si>
  <x:si>
    <x:t xml:space="preserve">독 지속피해</x:t>
  </x:si>
  <x:si>
    <x:t xml:space="preserve">타락한 암살자</x:t>
  </x:si>
  <x:si>
    <x:t xml:space="preserve">상태이상형</x:t>
  </x:si>
  <x:si>
    <x:t xml:space="preserve">오아시스 밀수꾼</x:t>
  </x:si>
  <x:si>
    <x:t xml:space="preserve">불법 약품과 폭약을 쓰는 밀수조직</x:t>
  </x:si>
  <x:si>
    <x:t xml:space="preserve">특수 공격</x:t>
  </x:si>
  <x:si>
    <x:t xml:space="preserve">타락한 오아시스 밀수꾼</x:t>
  </x:si>
  <x:si>
    <x:t xml:space="preserve">범죄조직</x:t>
  </x:si>
  <x:si>
    <x:t xml:space="preserve">사막 주술사</x:t>
  </x:si>
  <x:si>
    <x:t xml:space="preserve">고대 신을 숭배하는 이단자</x:t>
  </x:si>
  <x:si>
    <x:t xml:space="preserve">주변 적 버프</x:t>
  </x:si>
  <x:si>
    <x:t xml:space="preserve">타락한 사막 주술사</x:t>
  </x:si>
  <x:si>
    <x:t xml:space="preserve">버퍼</x:t>
  </x:si>
  <x:si>
    <x:t xml:space="preserve">주변 적 이동속도/방어 소폭 증가</x:t>
  </x:si>
  <x:si>
    <x:t xml:space="preserve">모래 전갈</x:t>
  </x:si>
  <x:si>
    <x:t xml:space="preserve">거대한 독전갈</x:t>
  </x:si>
  <x:si>
    <x:t xml:space="preserve">침식된 모래 전갈</x:t>
  </x:si>
  <x:si>
    <x:t xml:space="preserve">독충</x:t>
  </x:si>
  <x:si>
    <x:t xml:space="preserve">사막 늑대</x:t>
  </x:si>
  <x:si>
    <x:t xml:space="preserve">황갈색 군집형 야수</x:t>
  </x:si>
  <x:si>
    <x:t xml:space="preserve">침식된 사막 늑대</x:t>
  </x:si>
  <x:si>
    <x:t xml:space="preserve">갑각 풍뎅이</x:t>
  </x:si>
  <x:si>
    <x:t xml:space="preserve">단단한 갑각을 지닌 거대 풍뎅이</x:t>
  </x:si>
  <x:si>
    <x:t xml:space="preserve">침식된 갑각 풍뎅이</x:t>
  </x:si>
  <x:si>
    <x:t xml:space="preserve">모래망령</x:t>
  </x:si>
  <x:si>
    <x:t xml:space="preserve">사막에서 생긴 반투명 영체</x:t>
  </x:si>
  <x:si>
    <x:t xml:space="preserve">회피/물리저항</x:t>
  </x:si>
  <x:si>
    <x:t xml:space="preserve">침식된 모래망령</x:t>
  </x:si>
  <x:si>
    <x:t xml:space="preserve">영체</x:t>
  </x:si>
  <x:si>
    <x:t xml:space="preserve">물리 피해 20% 경감</x:t>
  </x:si>
  <x:si>
    <x:t xml:space="preserve">화염 정령</x:t>
  </x:si>
  <x:si>
    <x:t xml:space="preserve">고열 마력으로 태어난 생명체</x:t>
  </x:si>
  <x:si>
    <x:t xml:space="preserve">화염 저항</x:t>
  </x:si>
  <x:si>
    <x:t xml:space="preserve">침식으로 불타는 화염 정령</x:t>
  </x:si>
  <x:si>
    <x:t xml:space="preserve">정령</x:t>
  </x:si>
  <x:si>
    <x:t xml:space="preserve">고위 정령 이프리트</x:t>
  </x:si>
  <x:si>
    <x:t xml:space="preserve">푸르게 빛나는 화염정령의 수장</x:t>
  </x:si>
  <x:si>
    <x:t xml:space="preserve">화염 저항 / 고방어</x:t>
  </x:si>
  <x:si>
    <x:t xml:space="preserve">침식에 굴복한 이프리트</x:t>
  </x:si>
  <x:si>
    <x:t xml:space="preserve">해륜왕국</x:t>
  </x:si>
  <x:si>
    <x:t xml:space="preserve">해적 검객</x:t>
  </x:si>
  <x:si>
    <x:t xml:space="preserve">약탈선 출신의 근접 전투원</x:t>
  </x:si>
  <x:si>
    <x:t xml:space="preserve">타락한 해적 검객</x:t>
  </x:si>
  <x:si>
    <x:t xml:space="preserve">해적</x:t>
  </x:si>
  <x:si>
    <x:t xml:space="preserve">파도 도적</x:t>
  </x:si>
  <x:si>
    <x:t xml:space="preserve">해안 침투와 기습에 특화된 도적</x:t>
  </x:si>
  <x:si>
    <x:t xml:space="preserve">고속</x:t>
  </x:si>
  <x:si>
    <x:t xml:space="preserve">타락한 파도 도적</x:t>
  </x:si>
  <x:si>
    <x:t xml:space="preserve">고속형</x:t>
  </x:si>
  <x:si>
    <x:t xml:space="preserve">밀수 궁수</x:t>
  </x:si>
  <x:si>
    <x:t xml:space="preserve">항구 범죄조직의 원거리 전투원</x:t>
  </x:si>
  <x:si>
    <x:t xml:space="preserve">원거리</x:t>
  </x:si>
  <x:si>
    <x:t xml:space="preserve">타락한 밀수 궁수</x:t>
  </x:si>
  <x:si>
    <x:t xml:space="preserve">원거리형</x:t>
  </x:si>
  <x:si>
    <x:t xml:space="preserve">폭약 해적</x:t>
  </x:si>
  <x:si>
    <x:t xml:space="preserve">화약통과 폭탄을 사용하는 해적</x:t>
  </x:si>
  <x:si>
    <x:t xml:space="preserve">광역 폭발</x:t>
  </x:si>
  <x:si>
    <x:t xml:space="preserve">타락한 폭약 해적</x:t>
  </x:si>
  <x:si>
    <x:t xml:space="preserve">사망/접촉 시 소규모 폭발</x:t>
  </x:si>
  <x:si>
    <x:t xml:space="preserve">그림자 닌자</x:t>
  </x:si>
  <x:si>
    <x:t xml:space="preserve">해안에 잠입하는 암살자</x:t>
  </x:si>
  <x:si>
    <x:t xml:space="preserve">일시 은신</x:t>
  </x:si>
  <x:si>
    <x:t xml:space="preserve">타락한 그림자 닌자</x:t>
  </x:si>
  <x:si>
    <x:t xml:space="preserve">은신형</x:t>
  </x:si>
  <x:si>
    <x:t xml:space="preserve">철갑 바다게</x:t>
  </x:si>
  <x:si>
    <x:t xml:space="preserve">단단한 갑각을 가진 거대 해양 생물</x:t>
  </x:si>
  <x:si>
    <x:t xml:space="preserve">침식된 철갑 바다게</x:t>
  </x:si>
  <x:si>
    <x:t xml:space="preserve">해룡 치어</x:t>
  </x:si>
  <x:si>
    <x:t xml:space="preserve">작은 동양 용 형태의 해양 생물</x:t>
  </x:si>
  <x:si>
    <x:t xml:space="preserve">공중/고속</x:t>
  </x:si>
  <x:si>
    <x:t xml:space="preserve">검은 해룡 치어</x:t>
  </x:si>
  <x:si>
    <x:t xml:space="preserve">물귀신</x:t>
  </x:si>
  <x:si>
    <x:t xml:space="preserve">익사자의 영혼이 변한 수중 망령</x:t>
  </x:si>
  <x:si>
    <x:t xml:space="preserve">특수 이동</x:t>
  </x:si>
  <x:si>
    <x:t xml:space="preserve">침식된 물귀신</x:t>
  </x:si>
  <x:si>
    <x:t xml:space="preserve">해파리 정령</x:t>
  </x:si>
  <x:si>
    <x:t xml:space="preserve">마력성 해파리형 생물</x:t>
  </x:si>
  <x:si>
    <x:t xml:space="preserve">감속/마비</x:t>
  </x:si>
  <x:si>
    <x:t xml:space="preserve">침식된 해파리 정령</x:t>
  </x:si>
  <x:si>
    <x:t xml:space="preserve">심해 촉수수</x:t>
  </x:si>
  <x:si>
    <x:t xml:space="preserve">육지까지 기어오는 해양 괴물</x:t>
  </x:si>
  <x:si>
    <x:t xml:space="preserve">타락한 심해 촉수수</x:t>
  </x:si>
  <x:si>
    <x:t xml:space="preserve">심연의 고르라켄</x:t>
  </x:si>
  <x:si>
    <x:t xml:space="preserve">해양 괴물들의 왕</x:t>
  </x:si>
  <x:si>
    <x:t xml:space="preserve">방어벽 무효 / 고HP</x:t>
  </x:si>
  <x:si>
    <x:t xml:space="preserve">침식의 은총을 받은 고르라켄</x:t>
  </x:si>
  <x:si>
    <x:t xml:space="preserve">벨로자르 제국</x:t>
  </x:si>
  <x:si>
    <x:t xml:space="preserve">설원 약탈자</x:t>
  </x:si>
  <x:si>
    <x:t xml:space="preserve">혹한 지역의 무장 도적</x:t>
  </x:si>
  <x:si>
    <x:t xml:space="preserve">타락한 설원 약탈자</x:t>
  </x:si>
  <x:si>
    <x:t xml:space="preserve">탈영 중갑병</x:t>
  </x:si>
  <x:si>
    <x:t xml:space="preserve">제국군을 이탈한 중갑 용병</x:t>
  </x:si>
  <x:si>
    <x:t xml:space="preserve">중갑</x:t>
  </x:si>
  <x:si>
    <x:t xml:space="preserve">타락한 탈영 중갑병</x:t>
  </x:si>
  <x:si>
    <x:t xml:space="preserve">빙원 사냥꾼</x:t>
  </x:si>
  <x:si>
    <x:t xml:space="preserve">활·석궁을 쓰는 불법 밀렵꾼</x:t>
  </x:si>
  <x:si>
    <x:t xml:space="preserve">타락한 빙원 사냥꾼</x:t>
  </x:si>
  <x:si>
    <x:t xml:space="preserve">동토 광전사</x:t>
  </x:si>
  <x:si>
    <x:t xml:space="preserve">버려진 전사 집단</x:t>
  </x:si>
  <x:si>
    <x:t xml:space="preserve">저HP 광폭</x:t>
  </x:si>
  <x:si>
    <x:t xml:space="preserve">타락한 동토 광전사</x:t>
  </x:si>
  <x:si>
    <x:t xml:space="preserve">광폭형</x:t>
  </x:si>
  <x:si>
    <x:t xml:space="preserve">HP 40% 이하에서 이속·방벽피해 +25%</x:t>
  </x:si>
  <x:si>
    <x:t xml:space="preserve">금단 주술사</x:t>
  </x:si>
  <x:si>
    <x:t xml:space="preserve">설원 금단술을 사용하는 이단 주술사</x:t>
  </x:si>
  <x:si>
    <x:t xml:space="preserve">적 버프</x:t>
  </x:si>
  <x:si>
    <x:t xml:space="preserve">타락한 금단 주술사</x:t>
  </x:si>
  <x:si>
    <x:t xml:space="preserve">설원 늑대</x:t>
  </x:si>
  <x:si>
    <x:t xml:space="preserve">백색 군집형 야수</x:t>
  </x:si>
  <x:si>
    <x:t xml:space="preserve">침식된 설원 늑대</x:t>
  </x:si>
  <x:si>
    <x:t xml:space="preserve">동토 곰</x:t>
  </x:si>
  <x:si>
    <x:t xml:space="preserve">거대한 설원 곰</x:t>
  </x:si>
  <x:si>
    <x:t xml:space="preserve">침식된 동토 곰</x:t>
  </x:si>
  <x:si>
    <x:t xml:space="preserve">탱커</x:t>
  </x:si>
  <x:si>
    <x:t xml:space="preserve">빙갑 정령</x:t>
  </x:si>
  <x:si>
    <x:t xml:space="preserve">얼음 갑피를 두른 정령</x:t>
  </x:si>
  <x:si>
    <x:t xml:space="preserve">타락한 빙갑 정령</x:t>
  </x:si>
  <x:si>
    <x:t xml:space="preserve">설산 독수리</x:t>
  </x:si>
  <x:si>
    <x:t xml:space="preserve">설산을 나는 대형 포식조</x:t>
  </x:si>
  <x:si>
    <x:t xml:space="preserve">타락한 설산 독수리</x:t>
  </x:si>
  <x:si>
    <x:t xml:space="preserve">서리 골렘</x:t>
  </x:si>
  <x:si>
    <x:t xml:space="preserve">얼어붙은 거대 마력체</x:t>
  </x:si>
  <x:si>
    <x:t xml:space="preserve">방어벽 파괴</x:t>
  </x:si>
  <x:si>
    <x:t xml:space="preserve">하얀 서리 골렘</x:t>
  </x:si>
  <x:si>
    <x:t xml:space="preserve">무언의 사로스</x:t>
  </x:si>
  <x:si>
    <x:t xml:space="preserve">서리 골렘 다수가 결합하여 탄생한 마력괴수</x:t>
  </x:si>
  <x:si>
    <x:t xml:space="preserve">방어벽 무효 / 고hp / 캐릭터 빙결</x:t>
  </x:si>
  <x:si>
    <x:t xml:space="preserve">침식을 받아들인 사로스</x:t>
  </x:si>
  <x:si>
    <x:t xml:space="preserve">생트아르크 교황령</x:t>
  </x:si>
  <x:si>
    <x:t xml:space="preserve">이단 광신도</x:t>
  </x:si>
  <x:si>
    <x:t xml:space="preserve">왜곡된 신앙을 따르는 추종자</x:t>
  </x:si>
  <x:si>
    <x:t xml:space="preserve">기본 물량</x:t>
  </x:si>
  <x:si>
    <x:t xml:space="preserve">타락한 이단 광신도</x:t>
  </x:si>
  <x:si>
    <x:t xml:space="preserve">이단자</x:t>
  </x:si>
  <x:si>
    <x:t xml:space="preserve">배교 기사</x:t>
  </x:si>
  <x:si>
    <x:t xml:space="preserve">교단을 등진 중갑 전투원</x:t>
  </x:si>
  <x:si>
    <x:t xml:space="preserve">타락한 배교 기사</x:t>
  </x:si>
  <x:si>
    <x:t xml:space="preserve">변절자</x:t>
  </x:si>
  <x:si>
    <x:t xml:space="preserve">금단 심문관</x:t>
  </x:si>
  <x:si>
    <x:t xml:space="preserve">불법 처형과 고문을 행하는 심문관</x:t>
  </x:si>
  <x:si>
    <x:t xml:space="preserve">타락한 금단 심문관</x:t>
  </x:si>
  <x:si>
    <x:t xml:space="preserve">타락 사제</x:t>
  </x:si>
  <x:si>
    <x:t xml:space="preserve">성력을 왜곡해 사용하는 사제</x:t>
  </x:si>
  <x:si>
    <x:t xml:space="preserve">적 회복/버프</x:t>
  </x:si>
  <x:si>
    <x:t xml:space="preserve">침식된 타락 사제</x:t>
  </x:si>
  <x:si>
    <x:t xml:space="preserve">순교 광신자</x:t>
  </x:si>
  <x:si>
    <x:t xml:space="preserve">죽음을 두려워하지 않는 폭주형 추종자</x:t>
  </x:si>
  <x:si>
    <x:t xml:space="preserve">사망 시 주변 적 강화</x:t>
  </x:si>
  <x:si>
    <x:t xml:space="preserve">타락한 순교 광신자</x:t>
  </x:si>
  <x:si>
    <x:t xml:space="preserve">사망 버프형</x:t>
  </x:si>
  <x:si>
    <x:t xml:space="preserve">성당 가고일</x:t>
  </x:si>
  <x:si>
    <x:t xml:space="preserve">살아 움직이는 석상 괴물</x:t>
  </x:si>
  <x:si>
    <x:t xml:space="preserve">침식된 성당 가고일</x:t>
  </x:si>
  <x:si>
    <x:t xml:space="preserve">광휘 망령</x:t>
  </x:si>
  <x:si>
    <x:t xml:space="preserve">뒤틀린 성광 영체</x:t>
  </x:si>
  <x:si>
    <x:t xml:space="preserve">물리저항</x:t>
  </x:si>
  <x:si>
    <x:t xml:space="preserve">타락한 광휘 망령</x:t>
  </x:si>
  <x:si>
    <x:t xml:space="preserve">성유물 골렘</x:t>
  </x:si>
  <x:si>
    <x:t xml:space="preserve">폭주한 성물 수호체</x:t>
  </x:si>
  <x:si>
    <x:t xml:space="preserve">암흑 성유물 골렘</x:t>
  </x:si>
  <x:si>
    <x:t xml:space="preserve">타락 천사 파편체</x:t>
  </x:si>
  <x:si>
    <x:t xml:space="preserve">불완전하게 변질된 천상 생명체</x:t>
  </x:si>
  <x:si>
    <x:t xml:space="preserve">고속 공중</x:t>
  </x:si>
  <x:si>
    <x:t xml:space="preserve">침식된 천사 파편체</x:t>
  </x:si>
  <x:si>
    <x:t xml:space="preserve">저주받은 성상</x:t>
  </x:si>
  <x:si>
    <x:t xml:space="preserve">이동하는 석조 괴물</x:t>
  </x:si>
  <x:si>
    <x:t xml:space="preserve">침식된에 물든 성상</x:t>
  </x:si>
  <x:si>
    <x:t xml:space="preserve">기원의 대성상</x:t>
  </x:si>
  <x:si>
    <x:t xml:space="preserve">교황령 대성상이 변모한 모습</x:t>
  </x:si>
  <x:si>
    <x:t xml:space="preserve">침묵무효/방어벽무효/고방어</x:t>
  </x:si>
  <x:si>
    <x:t xml:space="preserve">사룡 숭배의 대성상</x:t>
  </x:si>
  <x:si>
    <x:t xml:space="preserve">상드라크 제국</x:t>
  </x:si>
  <x:si>
    <x:t xml:space="preserve">제국 변절자</x:t>
  </x:si>
  <x:si>
    <x:t xml:space="preserve">반란 세력에 가담한 전직 병사</x:t>
  </x:si>
  <x:si>
    <x:t xml:space="preserve">밸런스형</x:t>
  </x:si>
  <x:si>
    <x:t xml:space="preserve">타락한 제국 변절자</x:t>
  </x:si>
  <x:si>
    <x:t xml:space="preserve">탈영 석궁수</x:t>
  </x:si>
  <x:si>
    <x:t xml:space="preserve">무단 이탈한 장거리 전투원</x:t>
  </x:si>
  <x:si>
    <x:t xml:space="preserve">장거리</x:t>
  </x:si>
  <x:si>
    <x:t xml:space="preserve">타락한 탈영 석궁수</x:t>
  </x:si>
  <x:si>
    <x:t xml:space="preserve">탈영병</x:t>
  </x:si>
  <x:si>
    <x:t xml:space="preserve">암시장 마도사</x:t>
  </x:si>
  <x:si>
    <x:t xml:space="preserve">불법 마법을 사용하는 범죄 마도사</x:t>
  </x:si>
  <x:si>
    <x:t xml:space="preserve">마법 원거리</x:t>
  </x:si>
  <x:si>
    <x:t xml:space="preserve">타락한 암시장 마도사</x:t>
  </x:si>
  <x:si>
    <x:t xml:space="preserve">불법 마도사</x:t>
  </x:si>
  <x:si>
    <x:t xml:space="preserve">폭주 연금술사</x:t>
  </x:si>
  <x:si>
    <x:t xml:space="preserve">금단 약품과 폭탄을 사용하는 연금술사</x:t>
  </x:si>
  <x:si>
    <x:t xml:space="preserve">타락한 폭주 연금술사</x:t>
  </x:si>
  <x:si>
    <x:t xml:space="preserve">반역 중갑병</x:t>
  </x:si>
  <x:si>
    <x:t xml:space="preserve">쿠데타 세력의 중장갑 전투원</x:t>
  </x:si>
  <x:si>
    <x:t xml:space="preserve">타락한 반역 중갑병</x:t>
  </x:si>
  <x:si>
    <x:t xml:space="preserve">반역자</x:t>
  </x:si>
  <x:si>
    <x:t xml:space="preserve">마도 폭주체</x:t>
  </x:si>
  <x:si>
    <x:t xml:space="preserve">마력 실험 실패로 탄생한 생명체</x:t>
  </x:si>
  <x:si>
    <x:t xml:space="preserve">고속/폭발</x:t>
  </x:si>
  <x:si>
    <x:t xml:space="preserve">침식된 마도 폭주체</x:t>
  </x:si>
  <x:si>
    <x:t xml:space="preserve">폭주형</x:t>
  </x:si>
  <x:si>
    <x:t xml:space="preserve">마력 골렘</x:t>
  </x:si>
  <x:si>
    <x:t xml:space="preserve">통제에서 벗어난 제국 골렘</x:t>
  </x:si>
  <x:si>
    <x:t xml:space="preserve">타락한 마력 골렘</x:t>
  </x:si>
  <x:si>
    <x:t xml:space="preserve">변이 사냥개</x:t>
  </x:si>
  <x:si>
    <x:t xml:space="preserve">마력으로 변형된 군집 야수</x:t>
  </x:si>
  <x:si>
    <x:t xml:space="preserve">침식된 변이 사냥개</x:t>
  </x:si>
  <x:si>
    <x:t xml:space="preserve">마도 비행체</x:t>
  </x:si>
  <x:si>
    <x:t xml:space="preserve">통제를 잃은 무인 마력병기</x:t>
  </x:si>
  <x:si>
    <x:t xml:space="preserve">타락한 마도 비행체</x:t>
  </x:si>
  <x:si>
    <x:t xml:space="preserve">균열 괴수</x:t>
  </x:si>
  <x:si>
    <x:t xml:space="preserve">침식된 균열에서 나온 변이 생물</x:t>
  </x:si>
  <x:si>
    <x:t xml:space="preserve">후반 정예</x:t>
  </x:si>
  <x:si>
    <x:t xml:space="preserve">침식된 균열 괴수</x:t>
  </x:si>
  <x:si>
    <x:t xml:space="preserve">정예형</x:t>
  </x:si>
  <x:si>
    <x:t xml:space="preserve">종말의 인도자</x:t>
  </x:si>
  <x:si>
    <x:t xml:space="preserve">균열의 근원, 형태를 알 수 없는 공포</x:t>
  </x:si>
  <x:si>
    <x:t xml:space="preserve">사룡의 화신체</x:t>
  </x:si>
  <x:si>
    <x:t xml:space="preserve">스테이지</x:t>
  </x:si>
  <x:si>
    <x:t xml:space="preserve">모드</x:t>
  </x:si>
  <x:si>
    <x:t xml:space="preserve">보스명</x:t>
  </x:si>
  <x:si>
    <x:t xml:space="preserve">생김새/실루엣</x:t>
  </x:si>
  <x:si>
    <x:t xml:space="preserve">TD 핵심 기믹</x:t>
  </x:si>
  <x:si>
    <x:t xml:space="preserve">성문 피해</x:t>
  </x:si>
  <x:si>
    <x:t xml:space="preserve">스킬1</x:t>
  </x:si>
  <x:si>
    <x:t xml:space="preserve">스킬2</x:t>
  </x:si>
  <x:si>
    <x:t xml:space="preserve">스킬3</x:t>
  </x:si>
  <x:si>
    <x:t xml:space="preserve">TD→RPG 전환 연출</x:t>
  </x:si>
  <x:si>
    <x:t xml:space="preserve">권장 전투력</x:t>
  </x:si>
  <x:si>
    <x:t xml:space="preserve">NORMAL</x:t>
  </x:si>
  <x:si>
    <x:t xml:space="preserve">철각왕 브라움</x:t>
  </x:si>
  <x:si>
    <x:t xml:space="preserve">산악왕의 철갑을 두른 거대 산양형 마수</x:t>
  </x:si>
  <x:si>
    <x:t xml:space="preserve">돌진·방어벽 압박</x:t>
  </x:si>
  <x:si>
    <x:t xml:space="preserve">뿔박치기: 직선 경로 가속</x:t>
  </x:si>
  <x:si>
    <x:t xml:space="preserve">암반 붕괴: 배치칸 2곳 6초 비활성</x:t>
  </x:si>
  <x:si>
    <x:t xml:space="preserve">분쇄 포효: 방어벽 피해 +40% 8초</x:t>
  </x:si>
  <x:si>
    <x:t xml:space="preserve">광산왕 모르겐</x:t>
  </x:si>
  <x:si>
    <x:t xml:space="preserve">거대 곡괭이와 광석 갑주를 두른 변절 광부왕</x:t>
  </x:si>
  <x:si>
    <x:t xml:space="preserve">파쇄 타격: 방어벽 추가피해</x:t>
  </x:si>
  <x:si>
    <x:t xml:space="preserve">낙석 지대: 경로 2곳 피해</x:t>
  </x:si>
  <x:si>
    <x:t xml:space="preserve">광맥 폭주: DEF 상승</x:t>
  </x:si>
  <x:si>
    <x:t xml:space="preserve">붉은협곡의 바르칸</x:t>
  </x:si>
  <x:si>
    <x:t xml:space="preserve">붉은 망토와 대검을 든 산적왕</x:t>
  </x:si>
  <x:si>
    <x:t xml:space="preserve">고속 돌진</x:t>
  </x:si>
  <x:si>
    <x:t xml:space="preserve">협곡 질주: 이속 급상승</x:t>
  </x:si>
  <x:si>
    <x:t xml:space="preserve">도적 소집: 약탈자 증원</x:t>
  </x:si>
  <x:si>
    <x:t xml:space="preserve">피의 검격: 성문 피해 증가</x:t>
  </x:si>
  <x:si>
    <x:t xml:space="preserve">철익 그라핀</x:t>
  </x:si>
  <x:si>
    <x:t xml:space="preserve">금속깃을 지닌 초대형 절벽 매</x:t>
  </x:si>
  <x:si>
    <x:t xml:space="preserve">공중·급강하</x:t>
  </x:si>
  <x:si>
    <x:t xml:space="preserve">급강하: 방어벽 우회</x:t>
  </x:si>
  <x:si>
    <x:t xml:space="preserve">철깃 폭우: 배치칸 공격속도 저하</x:t>
  </x:si>
  <x:si>
    <x:t xml:space="preserve">폭풍 날갯짓: 원거리 명중률 저하</x:t>
  </x:si>
  <x:si>
    <x:t xml:space="preserve">산맥포식자 가르도스</x:t>
  </x:si>
  <x:si>
    <x:t xml:space="preserve">바위 갑피의 거대 도마뱀, 침식의 기운</x:t>
  </x:si>
  <x:si>
    <x:t xml:space="preserve">초고방어</x:t>
  </x:si>
  <x:si>
    <x:t xml:space="preserve">석화갑피: 피해감소</x:t>
  </x:si>
  <x:si>
    <x:t xml:space="preserve">꼬리휩쓸기: 경로 광역</x:t>
  </x:si>
  <x:si>
    <x:t xml:space="preserve">암반잠복: 짧은 무적</x:t>
  </x:si>
  <x:si>
    <x:t xml:space="preserve">사구왕 자하르</x:t>
  </x:si>
  <x:si>
    <x:t xml:space="preserve">황금 갑주의 거대 전갈</x:t>
  </x:si>
  <x:si>
    <x:t xml:space="preserve">독·중갑</x:t>
  </x:si>
  <x:si>
    <x:t xml:space="preserve">독침 폭우: 지속피해</x:t>
  </x:si>
  <x:si>
    <x:t xml:space="preserve">모래잠행: 타겟팅 해제</x:t>
  </x:si>
  <x:si>
    <x:t xml:space="preserve">황금갑각: DEF 증가</x:t>
  </x:si>
  <x:si>
    <x:t xml:space="preserve">불꽃도적 카심</x:t>
  </x:si>
  <x:si>
    <x:t xml:space="preserve">불붙은 쌍곡도를 든 도적왕</x:t>
  </x:si>
  <x:si>
    <x:t xml:space="preserve">고속·화염</x:t>
  </x:si>
  <x:si>
    <x:t xml:space="preserve">화염질주</x:t>
  </x:si>
  <x:si>
    <x:t xml:space="preserve">불꽃궤적: 지속장판</x:t>
  </x:si>
  <x:si>
    <x:t xml:space="preserve">광폭화: HP 40% 이하 공속 상승</x:t>
  </x:si>
  <x:si>
    <x:t xml:space="preserve">유리사막의 네프라</x:t>
  </x:si>
  <x:si>
    <x:t xml:space="preserve">유리 결정로 뒤덮인 모래정령</x:t>
  </x:si>
  <x:si>
    <x:t xml:space="preserve">반사·광역</x:t>
  </x:si>
  <x:si>
    <x:t xml:space="preserve">유리장막: 원거리 피해 일부 반사</x:t>
  </x:si>
  <x:si>
    <x:t xml:space="preserve">사막폭풍: 사거리 -1</x:t>
  </x:si>
  <x:si>
    <x:t xml:space="preserve">파편폭발: 광역</x:t>
  </x:si>
  <x:si>
    <x:t xml:space="preserve">오아시스의 배신자 라지르</x:t>
  </x:si>
  <x:si>
    <x:t xml:space="preserve">호화로운 천갑주와 독병을 든 밀수왕</x:t>
  </x:si>
  <x:si>
    <x:t xml:space="preserve">독·소환</x:t>
  </x:si>
  <x:si>
    <x:t xml:space="preserve">독안개: 경로 지속피해</x:t>
  </x:si>
  <x:si>
    <x:t xml:space="preserve">밀수단 호출: 증원</x:t>
  </x:si>
  <x:si>
    <x:t xml:space="preserve">가짜 오아시스: 이동경로 착시 연출</x:t>
  </x:si>
  <x:si>
    <x:t xml:space="preserve">태양먹는 아누라</x:t>
  </x:si>
  <x:si>
    <x:t xml:space="preserve">검은 태양 문양의 거대 망령, 침식의 기운</x:t>
  </x:si>
  <x:si>
    <x:t xml:space="preserve">영체·디버프</x:t>
  </x:si>
  <x:si>
    <x:t xml:space="preserve">일식: 아군 공속 감소</x:t>
  </x:si>
  <x:si>
    <x:t xml:space="preserve">열사병: 공격력 감소</x:t>
  </x:si>
  <x:si>
    <x:t xml:space="preserve">그림자 분열: 분신 2체</x:t>
  </x:si>
  <x:si>
    <x:t xml:space="preserve">해적왕 쿠로가네</x:t>
  </x:si>
  <x:si>
    <x:t xml:space="preserve">검은 갑판갑주와 대도 2자루</x:t>
  </x:si>
  <x:si>
    <x:t xml:space="preserve">상륙·소환</x:t>
  </x:si>
  <x:si>
    <x:t xml:space="preserve">해적선 포격</x:t>
  </x:si>
  <x:si>
    <x:t xml:space="preserve">부하 소환</x:t>
  </x:si>
  <x:si>
    <x:t xml:space="preserve">파도베기: 직선 광역</x:t>
  </x:si>
  <x:si>
    <x:t xml:space="preserve">청룡치어왕 류가</x:t>
  </x:si>
  <x:si>
    <x:t xml:space="preserve">긴 동양룡 형태의 청색 해룡</x:t>
  </x:si>
  <x:si>
    <x:t xml:space="preserve">공중·고속</x:t>
  </x:si>
  <x:si>
    <x:t xml:space="preserve">해무: 사거리 감소</x:t>
  </x:si>
  <x:si>
    <x:t xml:space="preserve">용오름: 경로 넉백</x:t>
  </x:si>
  <x:si>
    <x:t xml:space="preserve">해룡비상: 타겟팅 해제</x:t>
  </x:si>
  <x:si>
    <x:t xml:space="preserve">심해무녀 우미</x:t>
  </x:si>
  <x:si>
    <x:t xml:space="preserve">젖은 백색 무녀복의 수귀</x:t>
  </x:si>
  <x:si>
    <x:t xml:space="preserve">빙결·저주</x:t>
  </x:si>
  <x:si>
    <x:t xml:space="preserve">수령결계: 공격속도 감소</x:t>
  </x:si>
  <x:si>
    <x:t xml:space="preserve">익사자의 손: 1칸 봉쇄</x:t>
  </x:si>
  <x:si>
    <x:t xml:space="preserve">심해의 노래: 이속 감소</x:t>
  </x:si>
  <x:si>
    <x:t xml:space="preserve">대갑각왕 카니바</x:t>
  </x:si>
  <x:si>
    <x:t xml:space="preserve">성문 크기의 거대 게</x:t>
  </x:si>
  <x:si>
    <x:t xml:space="preserve">고방어·방어벽 파괴</x:t>
  </x:si>
  <x:si>
    <x:t xml:space="preserve">집게분쇄</x:t>
  </x:si>
  <x:si>
    <x:t xml:space="preserve">갑각수복: HP 회복</x:t>
  </x:si>
  <x:si>
    <x:t xml:space="preserve">옆걸음 돌진: 경로변경 없이 가속</x:t>
  </x:si>
  <x:si>
    <x:t xml:space="preserve">폭풍닌자 시구레</x:t>
  </x:si>
  <x:si>
    <x:t xml:space="preserve">거대 풍마수리검과 검은 망토, 침식의 기운</x:t>
  </x:si>
  <x:si>
    <x:t xml:space="preserve">은신·급습</x:t>
  </x:si>
  <x:si>
    <x:t xml:space="preserve">연막: 은신</x:t>
  </x:si>
  <x:si>
    <x:t xml:space="preserve">분신술: 3체</x:t>
  </x:si>
  <x:si>
    <x:t xml:space="preserve">천뢰수리검: 광역 기절</x:t>
  </x:si>
  <x:si>
    <x:t xml:space="preserve">백야왕 펜리르</x:t>
  </x:si>
  <x:si>
    <x:t xml:space="preserve">얼음갑주를 두른 거대 백색 늑대</x:t>
  </x:si>
  <x:si>
    <x:t xml:space="preserve">고속·빙결</x:t>
  </x:si>
  <x:si>
    <x:t xml:space="preserve">빙설질주</x:t>
  </x:si>
  <x:si>
    <x:t xml:space="preserve">늑대무리 소환</x:t>
  </x:si>
  <x:si>
    <x:t xml:space="preserve">동결포효: 공속 감소</x:t>
  </x:si>
  <x:si>
    <x:t xml:space="preserve">빙벽거인 요툰</x:t>
  </x:si>
  <x:si>
    <x:t xml:space="preserve">빙산 조각 같은 거인</x:t>
  </x:si>
  <x:si>
    <x:t xml:space="preserve">초고HP</x:t>
  </x:si>
  <x:si>
    <x:t xml:space="preserve">빙벽생성: 경로 일시 좁힘</x:t>
  </x:si>
  <x:si>
    <x:t xml:space="preserve">빙하분쇄: 방어벽 피해</x:t>
  </x:si>
  <x:si>
    <x:t xml:space="preserve">서리갑피: 피해감소</x:t>
  </x:si>
  <x:si>
    <x:t xml:space="preserve">설해마녀 스카디아</x:t>
  </x:si>
  <x:si>
    <x:t xml:space="preserve">얼음 왕관과 긴 지팡이</x:t>
  </x:si>
  <x:si>
    <x:t xml:space="preserve">빙결·디버프</x:t>
  </x:si>
  <x:si>
    <x:t xml:space="preserve">서리폭풍</x:t>
  </x:si>
  <x:si>
    <x:t xml:space="preserve">빙결표식</x:t>
  </x:si>
  <x:si>
    <x:t xml:space="preserve">절대빙결: 2칸 3초 정지</x:t>
  </x:si>
  <x:si>
    <x:t xml:space="preserve">동토광왕 브란</x:t>
  </x:si>
  <x:si>
    <x:t xml:space="preserve">거대한 도끼와 흉터 가득한 광전사</x:t>
  </x:si>
  <x:si>
    <x:t xml:space="preserve">광폭</x:t>
  </x:si>
  <x:si>
    <x:t xml:space="preserve">피의광폭</x:t>
  </x:si>
  <x:si>
    <x:t xml:space="preserve">도끼회전</x:t>
  </x:si>
  <x:si>
    <x:t xml:space="preserve">죽음거부: 1회 HP 20% 회복</x:t>
  </x:si>
  <x:si>
    <x:t xml:space="preserve">설산군주 아르켄</x:t>
  </x:si>
  <x:si>
    <x:t xml:space="preserve">거대 백색 독수리, 침식의 기운</x:t>
  </x:si>
  <x:si>
    <x:t xml:space="preserve">공중·폭풍</x:t>
  </x:si>
  <x:si>
    <x:t xml:space="preserve">폭풍날개</x:t>
  </x:si>
  <x:si>
    <x:t xml:space="preserve">급강하</x:t>
  </x:si>
  <x:si>
    <x:t xml:space="preserve">백야: 원거리 사거리 -1</x:t>
  </x:si>
  <x:si>
    <x:t xml:space="preserve">배교성기사 라미엘</x:t>
  </x:si>
  <x:si>
    <x:t xml:space="preserve">부서진 금빛 갑주와 검은 후광</x:t>
  </x:si>
  <x:si>
    <x:t xml:space="preserve">중갑·성광</x:t>
  </x:si>
  <x:si>
    <x:t xml:space="preserve">타락성광</x:t>
  </x:si>
  <x:si>
    <x:t xml:space="preserve">신성방패</x:t>
  </x:si>
  <x:si>
    <x:t xml:space="preserve">징벌검: 방어벽 추가피해</x:t>
  </x:si>
  <x:si>
    <x:t xml:space="preserve">성당의 가고일왕 그레고르</x:t>
  </x:si>
  <x:si>
    <x:t xml:space="preserve">대성당 첨탑 모양 날개</x:t>
  </x:si>
  <x:si>
    <x:t xml:space="preserve">공중·석화</x:t>
  </x:si>
  <x:si>
    <x:t xml:space="preserve">석화시선: 공속 감소</x:t>
  </x:si>
  <x:si>
    <x:t xml:space="preserve">첨탑낙하</x:t>
  </x:si>
  <x:si>
    <x:t xml:space="preserve">석상화: 일시 무적</x:t>
  </x:si>
  <x:si>
    <x:t xml:space="preserve">순교자 세베라</x:t>
  </x:si>
  <x:si>
    <x:t xml:space="preserve">붉은 성흔과 사슬을 감은 광신자</x:t>
  </x:si>
  <x:si>
    <x:t xml:space="preserve">사망버프·증원</x:t>
  </x:si>
  <x:si>
    <x:t xml:space="preserve">순교찬가</x:t>
  </x:si>
  <x:si>
    <x:t xml:space="preserve">광신도 소환</x:t>
  </x:si>
  <x:si>
    <x:t xml:space="preserve">성흔폭발</x:t>
  </x:si>
  <x:si>
    <x:t xml:space="preserve">성유물폭주체 렐릭스</x:t>
  </x:si>
  <x:si>
    <x:t xml:space="preserve">여러 성유물이 합쳐진 금속 골렘</x:t>
  </x:si>
  <x:si>
    <x:t xml:space="preserve">고방어·마력</x:t>
  </x:si>
  <x:si>
    <x:t xml:space="preserve">성유물장벽</x:t>
  </x:si>
  <x:si>
    <x:t xml:space="preserve">성광포</x:t>
  </x:si>
  <x:si>
    <x:t xml:space="preserve">봉인파동: 스킬 쿨다운 증가</x:t>
  </x:si>
  <x:si>
    <x:t xml:space="preserve">검은대주교 말키엘</x:t>
  </x:si>
  <x:si>
    <x:t xml:space="preserve">검은 법복과 뒤집힌 성표, 침식의 기운</x:t>
  </x:si>
  <x:si>
    <x:t xml:space="preserve">버프·침묵</x:t>
  </x:si>
  <x:si>
    <x:t xml:space="preserve">침묵선고</x:t>
  </x:si>
  <x:si>
    <x:t xml:space="preserve">광신강화</x:t>
  </x:si>
  <x:si>
    <x:t xml:space="preserve">흑성광: 광역 피해</x:t>
  </x:si>
  <x:si>
    <x:t xml:space="preserve">황실골렘 아르카논</x:t>
  </x:si>
  <x:si>
    <x:t xml:space="preserve">황금 장갑과 마도핵의 거대 골렘</x:t>
  </x:si>
  <x:si>
    <x:t xml:space="preserve">종합형</x:t>
  </x:si>
  <x:si>
    <x:t xml:space="preserve">마도포격</x:t>
  </x:si>
  <x:si>
    <x:t xml:space="preserve">자기수복</x:t>
  </x:si>
  <x:si>
    <x:t xml:space="preserve">중력파: 이속 감소</x:t>
  </x:si>
  <x:si>
    <x:t xml:space="preserve">반역장군 드라켄</x:t>
  </x:si>
  <x:si>
    <x:t xml:space="preserve">흑적 중갑과 장창</x:t>
  </x:si>
  <x:si>
    <x:t xml:space="preserve">지휘·증원</x:t>
  </x:si>
  <x:si>
    <x:t xml:space="preserve">돌격명령</x:t>
  </x:si>
  <x:si>
    <x:t xml:space="preserve">방패진</x:t>
  </x:si>
  <x:si>
    <x:t xml:space="preserve">처형창: 방어벽 추가피해</x:t>
  </x:si>
  <x:si>
    <x:t xml:space="preserve">실험체 제로</x:t>
  </x:si>
  <x:si>
    <x:t xml:space="preserve">불안정한 마도관이 박힌 인간형 괴수</x:t>
  </x:si>
  <x:si>
    <x:t xml:space="preserve">폭주·변이</x:t>
  </x:si>
  <x:si>
    <x:t xml:space="preserve">마력폭주</x:t>
  </x:si>
  <x:si>
    <x:t xml:space="preserve">세포재생</x:t>
  </x:si>
  <x:si>
    <x:t xml:space="preserve">불안정폭발</x:t>
  </x:si>
  <x:si>
    <x:t xml:space="preserve">공중요새 코르부스</x:t>
  </x:si>
  <x:si>
    <x:t xml:space="preserve">부유하는 마도병기</x:t>
  </x:si>
  <x:si>
    <x:t xml:space="preserve">공중·광역</x:t>
  </x:si>
  <x:si>
    <x:t xml:space="preserve">마력폭격</x:t>
  </x:si>
  <x:si>
    <x:t xml:space="preserve">드론증원</x:t>
  </x:si>
  <x:si>
    <x:t xml:space="preserve">방벽무시 포격</x:t>
  </x:si>
  <x:si>
    <x:t xml:space="preserve">균열군주 네메시스</x:t>
  </x:si>
  <x:si>
    <x:t xml:space="preserve">검은 균열을 두른 비정형 괴수</x:t>
  </x:si>
  <x:si>
    <x:t xml:space="preserve">심연·최종</x:t>
  </x:si>
  <x:si>
    <x:t xml:space="preserve">균열소환</x:t>
  </x:si>
  <x:si>
    <x:t xml:space="preserve">공포파동</x:t>
  </x:si>
  <x:si>
    <x:t xml:space="preserve">심연포식: HP 흡수</x:t>
  </x:si>
  <x:si>
    <x:t xml:space="preserve">HARD</x:t>
  </x:si>
  <x:si>
    <x:t xml:space="preserve">타락한 서부 왕국</x:t>
  </x:si>
  <x:si>
    <x:t xml:space="preserve">타락한 철각왕 브라움</x:t>
  </x:si>
  <x:si>
    <x:t xml:space="preserve">검은 결정이 뿔과 갑주를 뒤덮은 브라움</x:t>
  </x:si>
  <x:si>
    <x:t xml:space="preserve">광폭 돌진</x:t>
  </x:si>
  <x:si>
    <x:t xml:space="preserve">심연돌진</x:t>
  </x:si>
  <x:si>
    <x:t xml:space="preserve">방어벽 붕괴</x:t>
  </x:si>
  <x:si>
    <x:t xml:space="preserve">검은뿔 폭발</x:t>
  </x:si>
  <x:si>
    <x:t xml:space="preserve">침식된 광산왕 모르겐</x:t>
  </x:si>
  <x:si>
    <x:t xml:space="preserve">검은 광석이 살점을 뚫고 나온 광부왕</x:t>
  </x:si>
  <x:si>
    <x:t xml:space="preserve">방벽파괴</x:t>
  </x:si>
  <x:si>
    <x:t xml:space="preserve">침식파쇄</x:t>
  </x:si>
  <x:si>
    <x:t xml:space="preserve">검은낙석</x:t>
  </x:si>
  <x:si>
    <x:t xml:space="preserve">광맥폭주</x:t>
  </x:si>
  <x:si>
    <x:t xml:space="preserve">침식에 물들은 서부의 설화</x:t>
  </x:si>
  <x:si>
    <x:t xml:space="preserve">렛츠컷-록산 르부로 실루엣</x:t>
  </x:si>
  <x:si>
    <x:t xml:space="preserve">심연갑피</x:t>
  </x:si>
  <x:si>
    <x:t xml:space="preserve">지각파열</x:t>
  </x:si>
  <x:si>
    <x:t xml:space="preserve">포식재생</x:t>
  </x:si>
  <x:si>
    <x:t xml:space="preserve">타락한 벨로자르 제국</x:t>
  </x:si>
  <x:si>
    <x:t xml:space="preserve">침식된 백야왕 펜리르</x:t>
  </x:si>
  <x:si>
    <x:t xml:space="preserve">검은 서리와 붉은 눈의 거대 늑대</x:t>
  </x:si>
  <x:si>
    <x:t xml:space="preserve">고속빙결</x:t>
  </x:si>
  <x:si>
    <x:t xml:space="preserve">심연질주</x:t>
  </x:si>
  <x:si>
    <x:t xml:space="preserve">흑설포효</x:t>
  </x:si>
  <x:si>
    <x:t xml:space="preserve">빙혈분신</x:t>
  </x:si>
  <x:si>
    <x:t xml:space="preserve">검은 빙벽거인 요툰</x:t>
  </x:si>
  <x:si>
    <x:t xml:space="preserve">심연 결정으로 굳은 빙하 거인</x:t>
  </x:si>
  <x:si>
    <x:t xml:space="preserve">흑빙벽</x:t>
  </x:si>
  <x:si>
    <x:t xml:space="preserve">대지분쇄</x:t>
  </x:si>
  <x:si>
    <x:t xml:space="preserve">빙하재생</x:t>
  </x:si>
  <x:si>
    <x:t xml:space="preserve">침식에 물들은 북부의 설화</x:t>
  </x:si>
  <x:si>
    <x:t xml:space="preserve">렛츠컷-비비엔 실루엣</x:t>
  </x:si>
  <x:si>
    <x:t xml:space="preserve">빙결침묵</x:t>
  </x:si>
  <x:si>
    <x:t xml:space="preserve">흑서리폭풍</x:t>
  </x:si>
  <x:si>
    <x:t xml:space="preserve">빙결봉인</x:t>
  </x:si>
  <x:si>
    <x:t xml:space="preserve">절대영도</x:t>
  </x:si>
  <x:si>
    <x:t xml:space="preserve">타락한 아자르 삼국연합</x:t>
  </x:si>
  <x:si>
    <x:t xml:space="preserve">타락한 사구왕 자하르</x:t>
  </x:si>
  <x:si>
    <x:t xml:space="preserve">검은 독이 흐르는 거대 전갈</x:t>
  </x:si>
  <x:si>
    <x:t xml:space="preserve">독중갑</x:t>
  </x:si>
  <x:si>
    <x:t xml:space="preserve">심연독침</x:t>
  </x:si>
  <x:si>
    <x:t xml:space="preserve">사막잠행</x:t>
  </x:si>
  <x:si>
    <x:t xml:space="preserve">갑각폭주</x:t>
  </x:si>
  <x:si>
    <x:t xml:space="preserve">침식된 태양먹는 아누라</x:t>
  </x:si>
  <x:si>
    <x:t xml:space="preserve">검은 태양핵을 품은 대형 망령</x:t>
  </x:si>
  <x:si>
    <x:t xml:space="preserve">영체광역</x:t>
  </x:si>
  <x:si>
    <x:t xml:space="preserve">검은일식</x:t>
  </x:si>
  <x:si>
    <x:t xml:space="preserve">영혼흡수</x:t>
  </x:si>
  <x:si>
    <x:t xml:space="preserve">그림자분열</x:t>
  </x:si>
  <x:si>
    <x:t xml:space="preserve">침식에 물들은 남부의 설화</x:t>
  </x:si>
  <x:si>
    <x:t xml:space="preserve">렛츠컷-엘로디 실루엣</x:t>
  </x:si>
  <x:si>
    <x:t xml:space="preserve">화염광역</x:t>
  </x:si>
  <x:si>
    <x:t xml:space="preserve">심연화염</x:t>
  </x:si>
  <x:si>
    <x:t xml:space="preserve">불꽃분열</x:t>
  </x:si>
  <x:si>
    <x:t xml:space="preserve">청흑폭발</x:t>
  </x:si>
  <x:si>
    <x:t xml:space="preserve">타락한 해륜왕국</x:t>
  </x:si>
  <x:si>
    <x:t xml:space="preserve">침식된 해적왕 쿠로가네</x:t>
  </x:si>
  <x:si>
    <x:t xml:space="preserve">해초와 검은 결정이 뒤엉킨 해적왕</x:t>
  </x:si>
  <x:si>
    <x:t xml:space="preserve">소환광역</x:t>
  </x:si>
  <x:si>
    <x:t xml:space="preserve">침식포격</x:t>
  </x:si>
  <x:si>
    <x:t xml:space="preserve">망령선원</x:t>
  </x:si>
  <x:si>
    <x:t xml:space="preserve">파도참</x:t>
  </x:si>
  <x:si>
    <x:t xml:space="preserve">심연해룡 류가</x:t>
  </x:si>
  <x:si>
    <x:t xml:space="preserve">검은 비늘과 붉은 지느러미의 해룡</x:t>
  </x:si>
  <x:si>
    <x:t xml:space="preserve">공중고속</x:t>
  </x:si>
  <x:si>
    <x:t xml:space="preserve">심연해무</x:t>
  </x:si>
  <x:si>
    <x:t xml:space="preserve">흑룡오름</x:t>
  </x:si>
  <x:si>
    <x:t xml:space="preserve">해륜폭풍</x:t>
  </x:si>
  <x:si>
    <x:t xml:space="preserve">침식에 물들은 동부의 설화</x:t>
  </x:si>
  <x:si>
    <x:t xml:space="preserve">렛츠컷-이연화 실루엣</x:t>
  </x:si>
  <x:si>
    <x:t xml:space="preserve">방벽무효</x:t>
  </x:si>
  <x:si>
    <x:t xml:space="preserve">촉수압살</x:t>
  </x:si>
  <x:si>
    <x:t xml:space="preserve">심해흡입</x:t>
  </x:si>
  <x:si>
    <x:t xml:space="preserve">심연파도</x:t>
  </x:si>
  <x:si>
    <x:t xml:space="preserve">암운이 드리운 생트아르크 교황령</x:t>
  </x:si>
  <x:si>
    <x:t xml:space="preserve">심연 후광과 다수의 눈이 달린 대주교</x:t>
  </x:si>
  <x:si>
    <x:t xml:space="preserve">침묵버프</x:t>
  </x:si>
  <x:si>
    <x:t xml:space="preserve">영구침묵선고</x:t>
  </x:si>
  <x:si>
    <x:t xml:space="preserve">광신폭주</x:t>
  </x:si>
  <x:si>
    <x:t xml:space="preserve">흑성광강림</x:t>
  </x:si>
  <x:si>
    <x:t xml:space="preserve">사룡숭배 대성상</x:t>
  </x:si>
  <x:si>
    <x:t xml:space="preserve">대성상이 용의 두개골 형태로 변이</x:t>
  </x:si>
  <x:si>
    <x:t xml:space="preserve">고방어방벽무효</x:t>
  </x:si>
  <x:si>
    <x:t xml:space="preserve">사룡가호</x:t>
  </x:si>
  <x:si>
    <x:t xml:space="preserve">성상분열</x:t>
  </x:si>
  <x:si>
    <x:t xml:space="preserve">흑성광포</x:t>
  </x:si>
  <x:si>
    <x:t xml:space="preserve">침식에 물들은 용살자의 설화</x:t>
  </x:si>
  <x:si>
    <x:t xml:space="preserve">렛츠컷-프라이데이 실루엣</x:t>
  </x:si>
  <x:si>
    <x:t xml:space="preserve">공중광역</x:t>
  </x:si>
  <x:si>
    <x:t xml:space="preserve">검은깃폭우</x:t>
  </x:si>
  <x:si>
    <x:t xml:space="preserve">타락성가</x:t>
  </x:si>
  <x:si>
    <x:t xml:space="preserve">천벌역전</x:t>
  </x:si>
  <x:si>
    <x:t xml:space="preserve">심연에 침식당한 상드라크 제국</x:t>
  </x:si>
  <x:si>
    <x:t xml:space="preserve">심연황실골렘 아르카논</x:t>
  </x:si>
  <x:si>
    <x:t xml:space="preserve">황금 갑주가 검게 녹아내린 골렘</x:t>
  </x:si>
  <x:si>
    <x:t xml:space="preserve">심연마도포</x:t>
  </x:si>
  <x:si>
    <x:t xml:space="preserve">중력붕괴</x:t>
  </x:si>
  <x:si>
    <x:t xml:space="preserve">자가복원</x:t>
  </x:si>
  <x:si>
    <x:t xml:space="preserve">침식된 반역장군 드라켄</x:t>
  </x:si>
  <x:si>
    <x:t xml:space="preserve">갑주에 균열핵이 박힌 장군</x:t>
  </x:si>
  <x:si>
    <x:t xml:space="preserve">지휘광폭</x:t>
  </x:si>
  <x:si>
    <x:t xml:space="preserve">심연돌격명령</x:t>
  </x:si>
  <x:si>
    <x:t xml:space="preserve">검은방패진</x:t>
  </x:si>
  <x:si>
    <x:t xml:space="preserve">처형창진</x:t>
  </x:si>
  <x:si>
    <x:t xml:space="preserve">사룡의 화신 네메시스</x:t>
  </x:si>
  <x:si>
    <x:t xml:space="preserve">용골과 균열이 결합된 재앙형 괴수</x:t>
  </x:si>
  <x:si>
    <x:t xml:space="preserve">심연최종</x:t>
  </x:si>
  <x:si>
    <x:t xml:space="preserve">사룡의포효</x:t>
  </x:si>
  <x:si>
    <x:t xml:space="preserve">균열군세</x:t>
  </x:si>
  <x:si>
    <x:t xml:space="preserve">성벽파멸</x:t>
  </x:si>
  <x:si>
    <x:t xml:space="preserve">종말을 걷는 자 에레보스</x:t>
  </x:si>
  <x:si>
    <x:t xml:space="preserve">하반신이 균열 속에 잠긴 초거대 인간형</x:t>
  </x:si>
  <x:si>
    <x:t xml:space="preserve">최종광역</x:t>
  </x:si>
  <x:si>
    <x:t xml:space="preserve">종말의발걸음</x:t>
  </x:si>
  <x:si>
    <x:t xml:space="preserve">시간붕괴</x:t>
  </x:si>
  <x:si>
    <x:t xml:space="preserve">공포의천막</x:t>
  </x:si>
  <x:si>
    <x:t xml:space="preserve">침식의 근원, 사룡 발테리옹</x:t>
  </x:si>
  <x:si>
    <x:t xml:space="preserve">성벽 너머를 가득 채우는 흑룡형 재앙</x:t>
  </x:si>
  <x:si>
    <x:t xml:space="preserve">최종보스</x:t>
  </x:si>
  <x:si>
    <x:t xml:space="preserve">심연브레스</x:t>
  </x:si>
  <x:si>
    <x:t xml:space="preserve">재앙의날갯짓</x:t>
  </x:si>
  <x:si>
    <x:t xml:space="preserve">LAST WALL 파괴</x:t>
  </x:si>
  <x:si>
    <x:t xml:space="preserve">번호</x:t>
  </x:si>
  <x:si>
    <x:t xml:space="preserve">세력 구분</x:t>
  </x:si>
  <x:si>
    <x:t xml:space="preserve">등급 구분</x:t>
  </x:si>
  <x:si>
    <x:t xml:space="preserve">직업 설정</x:t>
  </x:si>
  <x:si>
    <x:t xml:space="preserve">캐릭터 스탯 (HP/ATK/DEF)</x:t>
  </x:si>
  <x:si>
    <x:t xml:space="preserve">조합재료1</x:t>
  </x:si>
  <x:si>
    <x:t xml:space="preserve">조합재료2</x:t>
  </x:si>
  <x:si>
    <x:t xml:space="preserve">조합재료3</x:t>
  </x:si>
  <x:si>
    <x:t xml:space="preserve">조합 검토</x:t>
  </x:si>
  <x:si>
    <x:t xml:space="preserve">권장 조합안</x:t>
  </x:si>
  <x:si>
    <x:t xml:space="preserve">레벨디자인 메모</x:t>
  </x:si>
  <x:si>
    <x:t xml:space="preserve">01</x:t>
  </x:si>
  <x:si>
    <x:t xml:space="preserve">생트아르크
교황령</x:t>
  </x:si>
  <x:si>
    <x:t xml:space="preserve">전설</x:t>
  </x:si>
  <x:si>
    <x:t xml:space="preserve">아리아</x:t>
  </x:si>
  <x:si>
    <x:t xml:space="preserve">성기사</x:t>
  </x:si>
  <x:si>
    <x:t xml:space="preserve">2600 / 175 / 125</x:t>
  </x:si>
  <x:si>
    <x:t xml:space="preserve">성광 참격 — 3칸 직선 관통 피해. 방어벽에 붙은 적에게 피해 +25%.</x:t>
  </x:si>
  <x:si>
    <x:t xml:space="preserve">수호의 맹세 — 인근 2칸 아군 ATK·공속 +15%, 가장 가까운 방어벽 DEF +20% (8초).</x:t>
  </x:si>
  <x:si>
    <x:t xml:space="preserve">최후의 성역 — 전 경로 성광 피해 + 방어벽에 5초간 피해 50% 감소 보호막.</x:t>
  </x:si>
  <x:si>
    <x:t xml:space="preserve">근접 화력+방어선 보조</x:t>
  </x:si>
  <x:si>
    <x:t xml:space="preserve">02</x:t>
  </x:si>
  <x:si>
    <x:t xml:space="preserve">해륜 왕국</x:t>
  </x:si>
  <x:si>
    <x:t xml:space="preserve">유나</x:t>
  </x:si>
  <x:si>
    <x:t xml:space="preserve">봉인술사</x:t>
  </x:si>
  <x:si>
    <x:t xml:space="preserve">2250 / 150 / 105</x:t>
  </x:si>
  <x:si>
    <x:t xml:space="preserve">봉인의 부적 — 단일 적 3초 속박, 보스는 35% 둔화.</x:t>
  </x:si>
  <x:si>
    <x:t xml:space="preserve">결계진 — 경로 2칸에 6초 결계, 적 이속 -35%·스킬 사용 지연.</x:t>
  </x:si>
  <x:si>
    <x:t xml:space="preserve">대봉인술 — 화면 내 정예/보스 스킬을 4초 봉인하고 일반 적 2초 행동불능.</x:t>
  </x:si>
  <x:si>
    <x:t xml:space="preserve">대현자</x:t>
  </x:si>
  <x:si>
    <x:t xml:space="preserve">전설은 조합재료3
필요하지 않음</x:t>
  </x:si>
  <x:si>
    <x:t xml:space="preserve">제어/보스 봉인</x:t>
  </x:si>
  <x:si>
    <x:t xml:space="preserve">유지 권장</x:t>
  </x:si>
  <x:si>
    <x:t xml:space="preserve">주술사 + 대현자</x:t>
  </x:si>
  <x:si>
    <x:t xml:space="preserve">전설은 2재료 원칙. 동일재료 중복·테마 불일치만 조정. 노멀 중후반에서 안정적으로 소환 가능해야 함.</x:t>
  </x:si>
  <x:si>
    <x:t xml:space="preserve">03</x:t>
  </x:si>
  <x:si>
    <x:t xml:space="preserve">리엘</x:t>
  </x:si>
  <x:si>
    <x:t xml:space="preserve">화염 마술사</x:t>
  </x:si>
  <x:si>
    <x:t xml:space="preserve">2100 / 205 / 90</x:t>
  </x:si>
  <x:si>
    <x:t xml:space="preserve">화염창 — 단일 고화력 + 6초 화상.</x:t>
  </x:si>
  <x:si>
    <x:t xml:space="preserve">용암지대 — 경로 2칸에 8초 지속 광역 화염.</x:t>
  </x:si>
  <x:si>
    <x:t xml:space="preserve">홍련지옥 — 화면 내 적 전체 3회 폭발 피해, 화상 중인 적 추가 피해 +40%.</x:t>
  </x:si>
  <x:si>
    <x:t xml:space="preserve">1급 용암수정</x:t>
  </x:si>
  <x:si>
    <x:t xml:space="preserve">광역 지속딜</x:t>
  </x:si>
  <x:si>
    <x:t xml:space="preserve">1급 용암수정 + 대현자</x:t>
  </x:si>
  <x:si>
    <x:t xml:space="preserve">04</x:t>
  </x:si>
  <x:si>
    <x:t xml:space="preserve">루비</x:t>
  </x:si>
  <x:si>
    <x:t xml:space="preserve">현상금 사냥꾼</x:t>
  </x:si>
  <x:si>
    <x:t xml:space="preserve">2200 / 190 / 95</x:t>
  </x:si>
  <x:si>
    <x:t xml:space="preserve">현상표식 — 가장 HP 높은 적에게 표식, 해당 적이 받는 피해 +15%.</x:t>
  </x:si>
  <x:si>
    <x:t xml:space="preserve">도탄사격 — 최대 5대상으로 피해 이전, 이전마다 피해 -10%.</x:t>
  </x:si>
  <x:si>
    <x:t xml:space="preserve">DEAD OR ALIVE — 보스/정예에게 강력한 단일 사격. HP 30% 이하 대상 추가 피해 +60%.</x:t>
  </x:si>
  <x:si>
    <x:t xml:space="preserve">연사궁병</x:t>
  </x:si>
  <x:si>
    <x:t xml:space="preserve">연사감시탑</x:t>
  </x:si>
  <x:si>
    <x:t xml:space="preserve">보스 킬러/다중사격</x:t>
  </x:si>
  <x:si>
    <x:t xml:space="preserve">연사궁병 + 연사 감시탑</x:t>
  </x:si>
  <x:si>
    <x:t xml:space="preserve">05</x:t>
  </x:si>
  <x:si>
    <x:t xml:space="preserve">에리카</x:t>
  </x:si>
  <x:si>
    <x:t xml:space="preserve">용혈의 전사</x:t>
  </x:si>
  <x:si>
    <x:t xml:space="preserve">2850 / 195 / 115</x:t>
  </x:si>
  <x:si>
    <x:t xml:space="preserve">용혈참 — 전방 2칸 광역 베기.</x:t>
  </x:si>
  <x:si>
    <x:t xml:space="preserve">혈룡폭주 — 10초 ATK +30%·공속 +25%, 종료 후 3초 공속 -15%.</x:t>
  </x:si>
  <x:si>
    <x:t xml:space="preserve">용의 숨결 — 넓은 부채꼴 화염 지속피해, 방어 높은 적에게 방어무시 25%.</x:t>
  </x:si>
  <x:si>
    <x:t xml:space="preserve">근접 광역/중갑 대응</x:t>
  </x:si>
  <x:si>
    <x:t xml:space="preserve">광전사 + 마창병</x:t>
  </x:si>
  <x:si>
    <x:t xml:space="preserve">06</x:t>
  </x:si>
  <x:si>
    <x:t xml:space="preserve">세라</x:t>
  </x:si>
  <x:si>
    <x:t xml:space="preserve">2350 / 120 / 110</x:t>
  </x:si>
  <x:si>
    <x:t xml:space="preserve">천상의 노래 — 인근 2칸 아군 ATK·공속 +12%.</x:t>
  </x:si>
  <x:si>
    <x:t xml:space="preserve">치유의 광휘 — 가장 손상된 방어벽 HP 20% 회복 + 5초 DEF +20%.</x:t>
  </x:si>
  <x:si>
    <x:t xml:space="preserve">세라핌 앙코르 — 모든 아군 ATK·공속 +18%, 모든 방어벽 10% 즉시 회복.</x:t>
  </x:si>
  <x:si>
    <x:t xml:space="preserve">전역 버퍼/방벽 유지</x:t>
  </x:si>
  <x:si>
    <x:t xml:space="preserve">07</x:t>
  </x:si>
  <x:si>
    <x:t xml:space="preserve">레이나</x:t>
  </x:si>
  <x:si>
    <x:t xml:space="preserve">빙결 마술사</x:t>
  </x:si>
  <x:si>
    <x:t xml:space="preserve">2150 / 185 / 100</x:t>
  </x:si>
  <x:si>
    <x:t xml:space="preserve">서리창 — 단일 피해 + 이속 -25% 4초.</x:t>
  </x:si>
  <x:si>
    <x:t xml:space="preserve">빙결감옥 — 경로 2칸 적 2초 빙결, 보스는 40% 둔화 3초.</x:t>
  </x:si>
  <x:si>
    <x:t xml:space="preserve">절대영도 — 화면 전체 1.5초 정지 후 강한 냉기 피해, 이후 6초 이속 -30%.</x:t>
  </x:si>
  <x:si>
    <x:t xml:space="preserve">광역 제어</x:t>
  </x:si>
  <x:si>
    <x:t xml:space="preserve">1급 얼음수정 + 대현자</x:t>
  </x:si>
  <x:si>
    <x:t xml:space="preserve">08</x:t>
  </x:si>
  <x:si>
    <x:t xml:space="preserve">카린</x:t>
  </x:si>
  <x:si>
    <x:t xml:space="preserve">암살자</x:t>
  </x:si>
  <x:si>
    <x:t xml:space="preserve">2050 / 220 / 85</x:t>
  </x:si>
  <x:si>
    <x:t xml:space="preserve">그림자 베기 — 가장 앞선 적에게 순간이동 베기 후 원위치, 방어 20% 무시.</x:t>
  </x:si>
  <x:si>
    <x:t xml:space="preserve">잔영난무 — 4초간 공격이 2회 추가 타격, 보스에게 추가 피해 +20%.</x:t>
  </x:si>
  <x:si>
    <x:t xml:space="preserve">홍련 처형 — 보스/정예 단일 초고화력. HP 25% 이하 대상에게 치명 피해 보정.</x:t>
  </x:si>
  <x:si>
    <x:t xml:space="preserve">암살/보스 폭딜</x:t>
  </x:si>
  <x:si>
    <x:t xml:space="preserve">09</x:t>
  </x:si>
  <x:si>
    <x:t xml:space="preserve">신화</x:t>
  </x:si>
  <x:si>
    <x:t xml:space="preserve">벨</x:t>
  </x:si>
  <x:si>
    <x:t xml:space="preserve">인형사</x:t>
  </x:si>
  <x:si>
    <x:t xml:space="preserve">3200 / 235 / 135</x:t>
  </x:si>
  <x:si>
    <x:t xml:space="preserve">저주인형 — 가장 HP 높은 적과 인형 연결, 받은 피해의 25%를 주변 2명에게 이전.</x:t>
  </x:si>
  <x:si>
    <x:t xml:space="preserve">마리오네트 — 6초간 경로 2칸 적의 이속 -40%, 정예 1체를 2초 행동불능.</x:t>
  </x:si>
  <x:si>
    <x:t xml:space="preserve">대인형극 — 10초간 주변 아군 공격 시 35% 확률로 인형이 추가타.</x:t>
  </x:si>
  <x:si>
    <x:t xml:space="preserve">제어+추가타</x:t>
  </x:si>
  <x:si>
    <x:t xml:space="preserve">주술사 + 충만한 마력수정 + 유나</x:t>
  </x:si>
  <x:si>
    <x:t xml:space="preserve">신화는 '상급 일반/구조물 2 + 전설 1'을 기본 원칙으로 권장. 전설 2명 요구는 과도한 연쇄비용이므로 축소.</x:t>
  </x:si>
  <x:si>
    <x:t xml:space="preserve">10</x:t>
  </x:si>
  <x:si>
    <x:t xml:space="preserve">미아</x:t>
  </x:si>
  <x:si>
    <x:t xml:space="preserve">보물 사냥꾼</x:t>
  </x:si>
  <x:si>
    <x:t xml:space="preserve">2950 / 260 / 120</x:t>
  </x:si>
  <x:si>
    <x:t xml:space="preserve">보물탄 — 3대상 관통, 마지막 대상 추가 피해.</x:t>
  </x:si>
  <x:si>
    <x:t xml:space="preserve">행운의 함정 — 경로 1칸에 8초 함정, 최초 6명에게 기절 1초 + 추가 골드 소량.</x:t>
  </x:si>
  <x:si>
    <x:t xml:space="preserve">왕의 보물고 — 8초간 발리스타/감시탑 계열 ATK +30%, 자신은 연속 포격.</x:t>
  </x:si>
  <x:si>
    <x:t xml:space="preserve">경제+공성 시너지</x:t>
  </x:si>
  <x:si>
    <x:t xml:space="preserve">11</x:t>
  </x:si>
  <x:si>
    <x:t xml:space="preserve">아이린</x:t>
  </x:si>
  <x:si>
    <x:t xml:space="preserve">전투 메이드</x:t>
  </x:si>
  <x:si>
    <x:t xml:space="preserve">3400 / 240 / 150</x:t>
  </x:si>
  <x:si>
    <x:t xml:space="preserve">클린 스위프 — 전방 부채꼴 광역 피해.</x:t>
  </x:si>
  <x:si>
    <x:t xml:space="preserve">전술 봉사 — 인근 2칸 아군 공격속도 +20%, 방어벽 수리속도/회복효과 +20%.</x:t>
  </x:si>
  <x:si>
    <x:t xml:space="preserve">퍼펙트 클리닝 — 화면 내 가장 강한 적 5체를 순차 타격, 처치 시 다음 타격 피해 증가.</x:t>
  </x:si>
  <x:si>
    <x:t xml:space="preserve">기사단장</x:t>
  </x:si>
  <x:si>
    <x:t xml:space="preserve">광역 정리/지원</x:t>
  </x:si>
  <x:si>
    <x:t xml:space="preserve">기사단장 + 마력 캐논타워 + 아리아</x:t>
  </x:si>
  <x:si>
    <x:t xml:space="preserve">12</x:t>
  </x:si>
  <x:si>
    <x:t xml:space="preserve">네온</x:t>
  </x:si>
  <x:si>
    <x:t xml:space="preserve">형상 마술사</x:t>
  </x:si>
  <x:si>
    <x:t xml:space="preserve">2850 / 255 / 110</x:t>
  </x:si>
  <x:si>
    <x:t xml:space="preserve">형상복제 — 인접 아군 1명의 피해종류를 8초 복제.</x:t>
  </x:si>
  <x:si>
    <x:t xml:space="preserve">프리즘 왜곡 — 경로 2칸에 랜덤 화염/빙결/번개 효과.</x:t>
  </x:si>
  <x:si>
    <x:t xml:space="preserve">무한 프리즘 — 12초간 3개의 환영 생성, 기본공격 45% 위력으로 동시 공격.</x:t>
  </x:si>
  <x:si>
    <x:t xml:space="preserve">유연한 속성 딜러</x:t>
  </x:si>
  <x:si>
    <x:t xml:space="preserve">흑마법사 + 대현자 + 유나</x:t>
  </x:si>
  <x:si>
    <x:t xml:space="preserve">13</x:t>
  </x:si>
  <x:si>
    <x:t xml:space="preserve">브레몽 왕국</x:t>
  </x:si>
  <x:si>
    <x:t xml:space="preserve">샤샤</x:t>
  </x:si>
  <x:si>
    <x:t xml:space="preserve">공병/폭파병</x:t>
  </x:si>
  <x:si>
    <x:t xml:space="preserve">3100 / 270 / 120</x:t>
  </x:si>
  <x:si>
    <x:t xml:space="preserve">접착 폭약 — 경로 1칸에 지뢰 설치, 5체까지 광역.</x:t>
  </x:si>
  <x:si>
    <x:t xml:space="preserve">연쇄기폭 — 현재 설치된 폭약을 연속 폭발, 방어 높은 적 방어 20% 무시.</x:t>
  </x:si>
  <x:si>
    <x:t xml:space="preserve">최종 폭파계획 — 3개 경로 핵심지점에 대폭발, 보스에게 별도 단일 추가폭발.</x:t>
  </x:si>
  <x:si>
    <x:t xml:space="preserve">지형 폭파/광역</x:t>
  </x:si>
  <x:si>
    <x:t xml:space="preserve">봄버 캐논타워 + 석궁수 + 루비</x:t>
  </x:si>
  <x:si>
    <x:t xml:space="preserve">14</x:t>
  </x:si>
  <x:si>
    <x:t xml:space="preserve">루나</x:t>
  </x:si>
  <x:si>
    <x:t xml:space="preserve">사제 / 운명술사</x:t>
  </x:si>
  <x:si>
    <x:t xml:space="preserve">2800 / 230 / 125</x:t>
  </x:si>
  <x:si>
    <x:t xml:space="preserve">운명의 표식 — 적 1체가 받는 피해 +18%, 처치 시 다음 적에게 이전.</x:t>
  </x:si>
  <x:si>
    <x:t xml:space="preserve">역행의 별 — 가장 앞선 적 3체를 경로 1칸 뒤로 되돌림, 보스는 1.5초 정지.</x:t>
  </x:si>
  <x:si>
    <x:t xml:space="preserve">운명개변 — 8초간 아군 치명/강화효과 발동률 상승, 적의 이동·스킬 주기 20% 지연.</x:t>
  </x:si>
  <x:si>
    <x:t xml:space="preserve">시간·운명 제어</x:t>
  </x:si>
  <x:si>
    <x:t xml:space="preserve">15</x:t>
  </x:si>
  <x:si>
    <x:t xml:space="preserve">비올라</x:t>
  </x:si>
  <x:si>
    <x:t xml:space="preserve">마녀 / 독술사</x:t>
  </x:si>
  <x:si>
    <x:t xml:space="preserve">2750 / 250 / 105</x:t>
  </x:si>
  <x:si>
    <x:t xml:space="preserve">독화살비 — 경로 2칸 독 지속피해.</x:t>
  </x:si>
  <x:si>
    <x:t xml:space="preserve">역병 전염 — 독 걸린 적 사망 시 주변 2명에게 독 이전.</x:t>
  </x:si>
  <x:si>
    <x:t xml:space="preserve">죽음의 정원 — 10초간 넓은 독지대. 보스에게 중첩 5회 시 방어 -20%.</x:t>
  </x:si>
  <x:si>
    <x:t xml:space="preserve">독/장기전</x:t>
  </x:si>
  <x:si>
    <x:t xml:space="preserve">16</x:t>
  </x:si>
  <x:si>
    <x:t xml:space="preserve">클로에</x:t>
  </x:si>
  <x:si>
    <x:t xml:space="preserve">아이돌 / 음률술사</x:t>
  </x:si>
  <x:si>
    <x:t xml:space="preserve">2900 / 190 / 125</x:t>
  </x:si>
  <x:si>
    <x:t xml:space="preserve">비트 업 — 인근 2칸 아군 공속 +18% 6초.</x:t>
  </x:si>
  <x:si>
    <x:t xml:space="preserve">소닉 웨이브 — 넓은 직선 광역 + 1초 기절.</x:t>
  </x:si>
  <x:si>
    <x:t xml:space="preserve">라스트 앙코르 — 10초간 전 아군 공속 +15%, 적 이속 -20%, 스킬 쿨다운 10% 단축.</x:t>
  </x:si>
  <x:si>
    <x:t xml:space="preserve">글로벌 템포 버퍼</x:t>
  </x:si>
  <x:si>
    <x:t xml:space="preserve">아이돌 + 주술사 + 세라</x:t>
  </x:si>
  <x:si>
    <x:t xml:space="preserve">17</x:t>
  </x:si>
  <x:si>
    <x:t xml:space="preserve">아델</x:t>
  </x:si>
  <x:si>
    <x:t xml:space="preserve">중갑기사 / 수호자</x:t>
  </x:si>
  <x:si>
    <x:t xml:space="preserve">3800 / 205 / 175</x:t>
  </x:si>
  <x:si>
    <x:t xml:space="preserve">수호의 일격 — 단일 강타 + 주변 적 20% 둔화.</x:t>
  </x:si>
  <x:si>
    <x:t xml:space="preserve">미스릴 가호 — 가장 가까운 방어벽이 8초간 받는 피해 -35%.</x:t>
  </x:si>
  <x:si>
    <x:t xml:space="preserve">불락의 성채 — 6초간 방어벽 파괴를 1회 무효화하고 주변 아군 ATK +15%.</x:t>
  </x:si>
  <x:si>
    <x:t xml:space="preserve">방어벽 특화 수호자</x:t>
  </x:si>
  <x:si>
    <x:t xml:space="preserve">기사단장 + 미스릴 방어벽 + 아리아</x:t>
  </x:si>
  <x:si>
    <x:t xml:space="preserve">18</x:t>
  </x:si>
  <x:si>
    <x:t xml:space="preserve">무소속</x:t>
  </x:si>
  <x:si>
    <x:t xml:space="preserve">니아</x:t>
  </x:si>
  <x:si>
    <x:t xml:space="preserve">악마 / 혈마법사</x:t>
  </x:si>
  <x:si>
    <x:t xml:space="preserve">3000 / 285 / 105</x:t>
  </x:si>
  <x:si>
    <x:t xml:space="preserve">혈창 — 3대상 관통, 대상 현재 HP 비례 추가피해.</x:t>
  </x:si>
  <x:si>
    <x:t xml:space="preserve">피의 저주 — 보스/정예 방어 -18%, 받는 지속피해 +30% 8초.</x:t>
  </x:si>
  <x:si>
    <x:t xml:space="preserve">진홍월식 — 화면 전체 지속피해 8초, HP가 높은 적일수록 첫 타격 강화.</x:t>
  </x:si>
  <x:si>
    <x:t xml:space="preserve">보스 디버프/지속딜</x:t>
  </x:si>
  <x:si>
    <x:t xml:space="preserve">흑마법사 + 마녀대모 + 리엘</x:t>
  </x:si>
  <x:si>
    <x:t xml:space="preserve">19</x:t>
  </x:si>
  <x:si>
    <x:t xml:space="preserve">오로라</x:t>
  </x:si>
  <x:si>
    <x:t xml:space="preserve">별술사 / 천체마법사</x:t>
  </x:si>
  <x:si>
    <x:t xml:space="preserve">2950 / 275 / 115</x:t>
  </x:si>
  <x:si>
    <x:t xml:space="preserve">유성낙하 — 지정 경로 1칸 강한 광역.</x:t>
  </x:si>
  <x:si>
    <x:t xml:space="preserve">별자리 결속 — 서로 다른 직업 아군이 인접할수록 ATK·사거리 소폭 증가.</x:t>
  </x:si>
  <x:si>
    <x:t xml:space="preserve">천구붕괴 — 5개의 유성이 순차 낙하, 마지막은 보스 위치 고정 타격.</x:t>
  </x:si>
  <x:si>
    <x:t xml:space="preserve">광역/조합 시너지</x:t>
  </x:si>
  <x:si>
    <x:t xml:space="preserve">20</x:t>
  </x:si>
  <x:si>
    <x:t xml:space="preserve">이브</x:t>
  </x:si>
  <x:si>
    <x:t xml:space="preserve">시간술사</x:t>
  </x:si>
  <x:si>
    <x:t xml:space="preserve">2850 / 250 / 120</x:t>
  </x:si>
  <x:si>
    <x:t xml:space="preserve">시간지연 — 경로 2칸 이속 -35% 5초.</x:t>
  </x:si>
  <x:si>
    <x:t xml:space="preserve">되감기 — 가장 앞선 적 4체를 1~2칸 뒤로 이동, 보스는 스킬 게이지 감소.</x:t>
  </x:si>
  <x:si>
    <x:t xml:space="preserve">멈춰버린 세계 — 3초간 일반 적 완전 정지, 보스 1초 정지 + 아군 공속 20% 증가.</x:t>
  </x:si>
  <x:si>
    <x:t xml:space="preserve">최상급 시간제어</x:t>
  </x:si>
  <x:si>
    <x:t xml:space="preserve">LUCKY GIRLS TD 레벨디자인 기준</x:t>
  </x:si>
  <x:si>
    <x:t xml:space="preserve">핵심 수치 요약</x:t>
  </x:si>
  <x:si>
    <x:t xml:space="preserve">구간</x:t>
  </x:si>
  <x:si>
    <x:t xml:space="preserve">목표 체감</x:t>
  </x:si>
  <x:si>
    <x:t xml:space="preserve">무과금 진행 기준</x:t>
  </x:si>
  <x:si>
    <x:t xml:space="preserve">결제 역할</x:t>
  </x:si>
  <x:si>
    <x:t xml:space="preserve">항목</x:t>
  </x:si>
  <x:si>
    <x:t xml:space="preserve">값</x:t>
  </x:si>
  <x:si>
    <x:t xml:space="preserve">Normal 1~10</x:t>
  </x:si>
  <x:si>
    <x:t xml:space="preserve">학습+성장 체감. 실패 0~1회 수준</x:t>
  </x:si>
  <x:si>
    <x:t xml:space="preserve">기본 지급과 스테이지 보상만으로 진행 가능</x:t>
  </x:si>
  <x:si>
    <x:t xml:space="preserve">빠른 승급/조합 완성</x:t>
  </x:si>
  <x:si>
    <x:t xml:space="preserve">Normal 11~20</x:t>
  </x:si>
  <x:si>
    <x:t xml:space="preserve">조합과 경로 대응 요구</x:t>
  </x:si>
  <x:si>
    <x:t xml:space="preserve">일일 성장 병행 시 막힘 없이 진행</x:t>
  </x:si>
  <x:si>
    <x:t xml:space="preserve">성급 업그레이드 시간 단축</x:t>
  </x:si>
  <x:si>
    <x:t xml:space="preserve">밸런스 가드레일</x:t>
  </x:si>
  <x:si>
    <x:t xml:space="preserve">권장값</x:t>
  </x:si>
  <x:si>
    <x:t xml:space="preserve">설명</x:t>
  </x:si>
  <x:si>
    <x:t xml:space="preserve">Normal 권장 전투력 여유</x:t>
  </x:si>
  <x:si>
    <x:t xml:space="preserve">플레이어 예상 전투력의 85~105%</x:t>
  </x:si>
  <x:si>
    <x:t xml:space="preserve">전략/배치로 극복 가능한 수준</x:t>
  </x:si>
  <x:si>
    <x:t xml:space="preserve">Hard 권장 전투력 여유</x:t>
  </x:si>
  <x:si>
    <x:t xml:space="preserve">플레이어 예상 전투력의 115~140%</x:t>
  </x:si>
  <x:si>
    <x:t xml:space="preserve">초진입은 벽처럼 느끼되 파밍으로 따라잡음</x:t>
  </x:si>
  <x:si>
    <x:t xml:space="preserve">동시 화면 적 수 상한</x:t>
  </x:si>
  <x:si>
    <x:t xml:space="preserve">Normal 35 / Hard 45</x:t>
  </x:si>
  <x:si>
    <x:t xml:space="preserve">도트 가독성과 모바일 성능 보호</x:t>
  </x:si>
  <x:si>
    <x:t xml:space="preserve">방어벽 필수화 금지</x:t>
  </x:si>
  <x:si>
    <x:t xml:space="preserve">특정 웨이브 선택적 강점</x:t>
  </x:si>
  <x:si>
    <x:t xml:space="preserve">방어벽이 없으면 즉시 실패하는 구조는 피함</x:t>
  </x:si>
  <x:si>
    <x:t xml:space="preserve">로컬순번</x:t>
  </x:si>
  <x:si>
    <x:t xml:space="preserve">진입로</x:t>
  </x:si>
  <x:si>
    <x:t xml:space="preserve">웨이브</x:t>
  </x:si>
  <x:si>
    <x:t xml:space="preserve">총 적 수</x:t>
  </x:si>
  <x:si>
    <x:t xml:space="preserve">동시 상한</x:t>
  </x:si>
  <x:si>
    <x:t xml:space="preserve">스폰 간격(초)</x:t>
  </x:si>
  <x:si>
    <x:t xml:space="preserve">구성 예시</x:t>
  </x:si>
  <x:si>
    <x:t xml:space="preserve">HP 배율</x:t>
  </x:si>
  <x:si>
    <x:t xml:space="preserve">공격 배율</x:t>
  </x:si>
  <x:si>
    <x:t xml:space="preserve">설계 의도</x:t>
  </x:si>
  <x:si>
    <x:t xml:space="preserve">일반</x:t>
  </x:si>
  <x:si>
    <x:t xml:space="preserve">탈영 철갑병 + 산악 약탈자 + 협곡 강도</x:t>
  </x:si>
  <x:si>
    <x:t xml:space="preserve">학습/자원축적</x:t>
  </x:si>
  <x:si>
    <x:t xml:space="preserve">산악 약탈자 + 협곡 강도 + 탈영 철갑병</x:t>
  </x:si>
  <x:si>
    <x:t xml:space="preserve">협곡 강도 + 탈영 철갑병 + 화약 밀수꾼</x:t>
  </x:si>
  <x:si>
    <x:t xml:space="preserve">조합 압박</x:t>
  </x:si>
  <x:si>
    <x:t xml:space="preserve">중간보스</x:t>
  </x:si>
  <x:si>
    <x:t xml:space="preserve">최초의 골렘 아즈로 1 + 일반몹 10</x:t>
  </x:si>
  <x:si>
    <x:t xml:space="preserve">중간점검</x:t>
  </x:si>
  <x:si>
    <x:t xml:space="preserve">탈영 철갑병 + 화약 밀수꾼 + 광산 파괴자</x:t>
  </x:si>
  <x:si>
    <x:t xml:space="preserve">다중경로 압박</x:t>
  </x:si>
  <x:si>
    <x:t xml:space="preserve">화약 밀수꾼 + 광산 파괴자 + 산악 약탈자</x:t>
  </x:si>
  <x:si>
    <x:t xml:space="preserve">광산 파괴자 + 산악 약탈자 + 협곡 강도</x:t>
  </x:si>
  <x:si>
    <x:t xml:space="preserve">광산 파괴자 + 협곡 늑대 + 산악 약탈자</x:t>
  </x:si>
  <x:si>
    <x:t xml:space="preserve">최종 준비</x:t>
  </x:si>
  <x:si>
    <x:t xml:space="preserve">스테이지 보스</x:t>
  </x:si>
  <x:si>
    <x:t xml:space="preserve">철각왕 브라움 1 + 호위 일반몹 18</x:t>
  </x:si>
  <x:si>
    <x:t xml:space="preserve">보스+RPG 전환</x:t>
  </x:si>
  <x:si>
    <x:t xml:space="preserve">화약 밀수꾼 + 산악 약탈자 + 협곡 강도</x:t>
  </x:si>
  <x:si>
    <x:t xml:space="preserve">최초의 골렘 아즈로 1 + 일반몹 11</x:t>
  </x:si>
  <x:si>
    <x:t xml:space="preserve">화약 밀수꾼 + 광산 파괴자 + 협곡 늑대</x:t>
  </x:si>
  <x:si>
    <x:t xml:space="preserve">광산 파괴자 + 협곡 늑대 + 뿔멧돼지</x:t>
  </x:si>
  <x:si>
    <x:t xml:space="preserve">광산왕 모르겐 1 + 호위 일반몹 19</x:t>
  </x:si>
  <x:si>
    <x:t xml:space="preserve">최초의 골렘 아즈로 1 + 일반몹 13</x:t>
  </x:si>
  <x:si>
    <x:t xml:space="preserve">붉은협곡의 바르칸 1 + 호위 일반몹 21</x:t>
  </x:si>
  <x:si>
    <x:t xml:space="preserve">협곡 늑대 + 산악 약탈자 + 협곡 강도</x:t>
  </x:si>
  <x:si>
    <x:t xml:space="preserve">철익 그라핀 1 + 호위 일반몹 21</x:t>
  </x:si>
  <x:si>
    <x:t xml:space="preserve">뿔멧돼지 + 산악 약탈자 + 협곡 강도</x:t>
  </x:si>
  <x:si>
    <x:t xml:space="preserve">최초의 골렘 아즈로 1 + 일반몹 15</x:t>
  </x:si>
  <x:si>
    <x:t xml:space="preserve">산맥포식자 가르도스 1 + 호위 일반몹 23</x:t>
  </x:si>
  <x:si>
    <x:t xml:space="preserve">독침 암살자 + 오아시스 밀수꾼 + 사막 약탈자</x:t>
  </x:si>
  <x:si>
    <x:t xml:space="preserve">오아시스 밀수꾼 + 사막 약탈자 + 독침 암살자</x:t>
  </x:si>
  <x:si>
    <x:t xml:space="preserve">독침 암살자 + 오아시스 밀수꾼 + 사막 주술사</x:t>
  </x:si>
  <x:si>
    <x:t xml:space="preserve">오아시스 밀수꾼 + 사막 주술사 + 사막 약탈자</x:t>
  </x:si>
  <x:si>
    <x:t xml:space="preserve">고위 정령 이프리트 1 + 일반몹 13</x:t>
  </x:si>
  <x:si>
    <x:t xml:space="preserve">오아시스 밀수꾼 + 사막 주술사 + 모래 전갈</x:t>
  </x:si>
  <x:si>
    <x:t xml:space="preserve">사막 주술사 + 모래 전갈 + 사막 약탈자</x:t>
  </x:si>
  <x:si>
    <x:t xml:space="preserve">모래 전갈 + 사막 약탈자 + 독침 암살자</x:t>
  </x:si>
  <x:si>
    <x:t xml:space="preserve">사막 주술사 + 모래 전갈 + 사막 늑대</x:t>
  </x:si>
  <x:si>
    <x:t xml:space="preserve">사구왕 자하르 1 + 호위 일반몹 21</x:t>
  </x:si>
  <x:si>
    <x:t xml:space="preserve">사막 약탈자 + 독침 암살자 + 오아시스 밀수꾼</x:t>
  </x:si>
  <x:si>
    <x:t xml:space="preserve">불꽃도적 카심 1 + 호위 일반몹 21</x:t>
  </x:si>
  <x:si>
    <x:t xml:space="preserve">사막 늑대 + 사막 약탈자 + 독침 암살자</x:t>
  </x:si>
  <x:si>
    <x:t xml:space="preserve">고위 정령 이프리트 1 + 일반몹 15</x:t>
  </x:si>
  <x:si>
    <x:t xml:space="preserve">유리사막의 네프라 1 + 호위 일반몹 23</x:t>
  </x:si>
  <x:si>
    <x:t xml:space="preserve">모래 전갈 + 사막 늑대 + 사막 약탈자</x:t>
  </x:si>
  <x:si>
    <x:t xml:space="preserve">사막 늑대 + 갑각 풍뎅이 + 사막 약탈자</x:t>
  </x:si>
  <x:si>
    <x:t xml:space="preserve">갑각 풍뎅이 + 사막 약탈자 + 독침 암살자</x:t>
  </x:si>
  <x:si>
    <x:t xml:space="preserve">고위 정령 이프리트 1 + 일반몹 16</x:t>
  </x:si>
  <x:si>
    <x:t xml:space="preserve">모래망령 + 사막 약탈자 + 독침 암살자</x:t>
  </x:si>
  <x:si>
    <x:t xml:space="preserve">오아시스의 배신자 라지르 1 + 호위 일반몹 24</x:t>
  </x:si>
  <x:si>
    <x:t xml:space="preserve">모래 전갈 + 사막 늑대 + 갑각 풍뎅이</x:t>
  </x:si>
  <x:si>
    <x:t xml:space="preserve">사막 늑대 + 갑각 풍뎅이 + 모래망령</x:t>
  </x:si>
  <x:si>
    <x:t xml:space="preserve">갑각 풍뎅이 + 모래망령 + 사막 약탈자</x:t>
  </x:si>
  <x:si>
    <x:t xml:space="preserve">고위 정령 이프리트 1 + 일반몹 18</x:t>
  </x:si>
  <x:si>
    <x:t xml:space="preserve">모래망령 + 화염 정령 + 사막 약탈자</x:t>
  </x:si>
  <x:si>
    <x:t xml:space="preserve">화염 정령 + 사막 약탈자 + 독침 암살자</x:t>
  </x:si>
  <x:si>
    <x:t xml:space="preserve">태양먹는 아누라 1 + 호위 일반몹 26</x:t>
  </x:si>
  <x:si>
    <x:t xml:space="preserve">해적 검객 + 파도 도적 + 밀수 궁수</x:t>
  </x:si>
  <x:si>
    <x:t xml:space="preserve">파도 도적 + 밀수 궁수 + 해적 검객</x:t>
  </x:si>
  <x:si>
    <x:t xml:space="preserve">밀수 궁수 + 폭약 해적 + 해적 검객</x:t>
  </x:si>
  <x:si>
    <x:t xml:space="preserve">폭약 해적 + 해적 검객 + 파도 도적</x:t>
  </x:si>
  <x:si>
    <x:t xml:space="preserve">심연의 고르라켄 1 + 일반몹 16</x:t>
  </x:si>
  <x:si>
    <x:t xml:space="preserve">밀수 궁수 + 폭약 해적 + 그림자 닌자</x:t>
  </x:si>
  <x:si>
    <x:t xml:space="preserve">폭약 해적 + 그림자 닌자 + 해적 검객</x:t>
  </x:si>
  <x:si>
    <x:t xml:space="preserve">그림자 닌자 + 해적 검객 + 파도 도적</x:t>
  </x:si>
  <x:si>
    <x:t xml:space="preserve">해적왕 쿠로가네 1 + 호위 일반몹 24</x:t>
  </x:si>
  <x:si>
    <x:t xml:space="preserve">파도 도적 + 밀수 궁수 + 폭약 해적</x:t>
  </x:si>
  <x:si>
    <x:t xml:space="preserve">청룡치어왕 류가 1 + 호위 일반몹 24</x:t>
  </x:si>
  <x:si>
    <x:t xml:space="preserve">그림자 닌자 + 철갑 바다게 + 해적 검객</x:t>
  </x:si>
  <x:si>
    <x:t xml:space="preserve">철갑 바다게 + 해적 검객 + 파도 도적</x:t>
  </x:si>
  <x:si>
    <x:t xml:space="preserve">심연의 고르라켄 1 + 일반몹 18</x:t>
  </x:si>
  <x:si>
    <x:t xml:space="preserve">철갑 바다게 + 해룡 치어 + 해적 검객</x:t>
  </x:si>
  <x:si>
    <x:t xml:space="preserve">해룡 치어 + 해적 검객 + 파도 도적</x:t>
  </x:si>
  <x:si>
    <x:t xml:space="preserve">해룡 치어 + 물귀신 + 해적 검객</x:t>
  </x:si>
  <x:si>
    <x:t xml:space="preserve">심해무녀 우미 1 + 호위 일반몹 26</x:t>
  </x:si>
  <x:si>
    <x:t xml:space="preserve">폭약 해적 + 그림자 닌자 + 철갑 바다게</x:t>
  </x:si>
  <x:si>
    <x:t xml:space="preserve">그림자 닌자 + 철갑 바다게 + 해룡 치어</x:t>
  </x:si>
  <x:si>
    <x:t xml:space="preserve">심연의 고르라켄 1 + 일반몹 19</x:t>
  </x:si>
  <x:si>
    <x:t xml:space="preserve">철갑 바다게 + 해룡 치어 + 물귀신</x:t>
  </x:si>
  <x:si>
    <x:t xml:space="preserve">대갑각왕 카니바 1 + 호위 일반몹 27</x:t>
  </x:si>
  <x:si>
    <x:t xml:space="preserve">심연의 고르라켄 1 + 일반몹 21</x:t>
  </x:si>
  <x:si>
    <x:t xml:space="preserve">폭풍닌자 시구레 1 + 호위 일반몹 29</x:t>
  </x:si>
  <x:si>
    <x:t xml:space="preserve">빙원 사냥꾼 + 설원 약탈자 + 탈영 중갑병</x:t>
  </x:si>
  <x:si>
    <x:t xml:space="preserve">설원 약탈자 + 탈영 중갑병 + 빙원 사냥꾼</x:t>
  </x:si>
  <x:si>
    <x:t xml:space="preserve">동토 광전사 + 설원 약탈자 + 탈영 중갑병</x:t>
  </x:si>
  <x:si>
    <x:t xml:space="preserve">무언의 사로스 1 + 일반몹 18</x:t>
  </x:si>
  <x:si>
    <x:t xml:space="preserve">빙원 사냥꾼 + 동토 광전사 + 금단 주술사</x:t>
  </x:si>
  <x:si>
    <x:t xml:space="preserve">동토 광전사 + 금단 주술사 + 설원 약탈자</x:t>
  </x:si>
  <x:si>
    <x:t xml:space="preserve">금단 주술사 + 설원 약탈자 + 탈영 중갑병</x:t>
  </x:si>
  <x:si>
    <x:t xml:space="preserve">탈영 중갑병 + 빙원 사냥꾼 + 동토 광전사</x:t>
  </x:si>
  <x:si>
    <x:t xml:space="preserve">백야왕 펜리르 1 + 호위 일반몹 26</x:t>
  </x:si>
  <x:si>
    <x:t xml:space="preserve">빙원 사냥꾼 + 동토 광전사 + 설원 약탈자</x:t>
  </x:si>
  <x:si>
    <x:t xml:space="preserve">무언의 사로스 1 + 일반몹 19</x:t>
  </x:si>
  <x:si>
    <x:t xml:space="preserve">설원 늑대 + 설원 약탈자 + 탈영 중갑병</x:t>
  </x:si>
  <x:si>
    <x:t xml:space="preserve">설원 늑대 + 동토 곰 + 설원 약탈자</x:t>
  </x:si>
  <x:si>
    <x:t xml:space="preserve">빙벽거인 요툰 1 + 호위 일반몹 27</x:t>
  </x:si>
  <x:si>
    <x:t xml:space="preserve">동토 광전사 + 금단 주술사 + 설원 늑대</x:t>
  </x:si>
  <x:si>
    <x:t xml:space="preserve">금단 주술사 + 설원 늑대 + 설원 약탈자</x:t>
  </x:si>
  <x:si>
    <x:t xml:space="preserve">무언의 사로스 1 + 일반몹 21</x:t>
  </x:si>
  <x:si>
    <x:t xml:space="preserve">금단 주술사 + 설원 늑대 + 동토 곰</x:t>
  </x:si>
  <x:si>
    <x:t xml:space="preserve">설해마녀 스카디아 1 + 호위 일반몹 29</x:t>
  </x:si>
  <x:si>
    <x:t xml:space="preserve">동토광왕 브란 1 + 호위 일반몹 29</x:t>
  </x:si>
  <x:si>
    <x:t xml:space="preserve">빙갑 정령 + 설원 약탈자 + 탈영 중갑병</x:t>
  </x:si>
  <x:si>
    <x:t xml:space="preserve">무언의 사로스 1 + 일반몹 23</x:t>
  </x:si>
  <x:si>
    <x:t xml:space="preserve">설산 독수리 + 설원 약탈자 + 탈영 중갑병</x:t>
  </x:si>
  <x:si>
    <x:t xml:space="preserve">서리 골렘 + 설원 약탈자 + 탈영 중갑병</x:t>
  </x:si>
  <x:si>
    <x:t xml:space="preserve">설산군주 아르켄 1 + 호위 일반몹 31</x:t>
  </x:si>
  <x:si>
    <x:t xml:space="preserve">배교 기사 + 금단 심문관 + 이단 광신도</x:t>
  </x:si>
  <x:si>
    <x:t xml:space="preserve">금단 심문관 + 이단 광신도 + 배교 기사</x:t>
  </x:si>
  <x:si>
    <x:t xml:space="preserve">이단 광신도 + 배교 기사 + 금단 심문관</x:t>
  </x:si>
  <x:si>
    <x:t xml:space="preserve">배교 기사 + 금단 심문관 + 타락 사제</x:t>
  </x:si>
  <x:si>
    <x:t xml:space="preserve">기원의 대성상 1 + 일반몹 23</x:t>
  </x:si>
  <x:si>
    <x:t xml:space="preserve">금단 심문관 + 타락 사제 + 순교 광신자</x:t>
  </x:si>
  <x:si>
    <x:t xml:space="preserve">타락 사제 + 순교 광신자 + 이단 광신도</x:t>
  </x:si>
  <x:si>
    <x:t xml:space="preserve">순교 광신자 + 이단 광신도 + 배교 기사</x:t>
  </x:si>
  <x:si>
    <x:t xml:space="preserve">배교성기사 라미엘 1 + 호위 일반몹 31</x:t>
  </x:si>
  <x:si>
    <x:t xml:space="preserve">타락 사제 + 이단 광신도 + 배교 기사</x:t>
  </x:si>
  <x:si>
    <x:t xml:space="preserve">순교 광신자 + 성당 가고일 + 이단 광신도</x:t>
  </x:si>
  <x:si>
    <x:t xml:space="preserve">성당 가고일 + 이단 광신도 + 배교 기사</x:t>
  </x:si>
  <x:si>
    <x:t xml:space="preserve">타락 사제 + 순교 광신자 + 성당 가고일</x:t>
  </x:si>
  <x:si>
    <x:t xml:space="preserve">성당의 가고일왕 그레고르 1 + 호위 일반몹 31</x:t>
  </x:si>
  <x:si>
    <x:t xml:space="preserve">기원의 대성상 1 + 일반몹 25</x:t>
  </x:si>
  <x:si>
    <x:t xml:space="preserve">순교자 세베라 1 + 호위 일반몹 33</x:t>
  </x:si>
  <x:si>
    <x:t xml:space="preserve">광휘 망령 + 이단 광신도 + 배교 기사</x:t>
  </x:si>
  <x:si>
    <x:t xml:space="preserve">기원의 대성상 1 + 일반몹 26</x:t>
  </x:si>
  <x:si>
    <x:t xml:space="preserve">광휘 망령 + 성유물 골렘 + 이단 광신도</x:t>
  </x:si>
  <x:si>
    <x:t xml:space="preserve">성유물 골렘 + 이단 광신도 + 배교 기사</x:t>
  </x:si>
  <x:si>
    <x:t xml:space="preserve">광휘 망령 + 성유물 골렘 + 타락 천사 파편체</x:t>
  </x:si>
  <x:si>
    <x:t xml:space="preserve">성유물폭주체 렐릭스 1 + 호위 일반몹 34</x:t>
  </x:si>
  <x:si>
    <x:t xml:space="preserve">성당 가고일 + 광휘 망령 + 이단 광신도</x:t>
  </x:si>
  <x:si>
    <x:t xml:space="preserve">순교 광신자 + 성당 가고일 + 광휘 망령</x:t>
  </x:si>
  <x:si>
    <x:t xml:space="preserve">성당 가고일 + 광휘 망령 + 성유물 골렘</x:t>
  </x:si>
  <x:si>
    <x:t xml:space="preserve">기원의 대성상 1 + 일반몹 28</x:t>
  </x:si>
  <x:si>
    <x:t xml:space="preserve">검은대주교 말키엘 1 + 호위 일반몹 36</x:t>
  </x:si>
  <x:si>
    <x:t xml:space="preserve">제국 변절자 + 탈영 석궁수 + 암시장 마도사</x:t>
  </x:si>
  <x:si>
    <x:t xml:space="preserve">탈영 석궁수 + 암시장 마도사 + 제국 변절자</x:t>
  </x:si>
  <x:si>
    <x:t xml:space="preserve">탈영 석궁수 + 암시장 마도사 + 폭주 연금술사</x:t>
  </x:si>
  <x:si>
    <x:t xml:space="preserve">암시장 마도사 + 폭주 연금술사 + 제국 변절자</x:t>
  </x:si>
  <x:si>
    <x:t xml:space="preserve">종말의 인도자 1 + 일반몹 25</x:t>
  </x:si>
  <x:si>
    <x:t xml:space="preserve">암시장 마도사 + 폭주 연금술사 + 반역 중갑병</x:t>
  </x:si>
  <x:si>
    <x:t xml:space="preserve">폭주 연금술사 + 반역 중갑병 + 제국 변절자</x:t>
  </x:si>
  <x:si>
    <x:t xml:space="preserve">반역 중갑병 + 제국 변절자 + 탈영 석궁수</x:t>
  </x:si>
  <x:si>
    <x:t xml:space="preserve">마도 폭주체 + 제국 변절자 + 탈영 석궁수</x:t>
  </x:si>
  <x:si>
    <x:t xml:space="preserve">황실골렘 아르카논 1 + 호위 일반몹 33</x:t>
  </x:si>
  <x:si>
    <x:t xml:space="preserve">종말의 인도자 1 + 일반몹 26</x:t>
  </x:si>
  <x:si>
    <x:t xml:space="preserve">폭주 연금술사 + 반역 중갑병 + 마도 폭주체</x:t>
  </x:si>
  <x:si>
    <x:t xml:space="preserve">반역 중갑병 + 마도 폭주체 + 제국 변절자</x:t>
  </x:si>
  <x:si>
    <x:t xml:space="preserve">반역장군 드라켄 1 + 호위 일반몹 34</x:t>
  </x:si>
  <x:si>
    <x:t xml:space="preserve">종말의 인도자 1 + 일반몹 28</x:t>
  </x:si>
  <x:si>
    <x:t xml:space="preserve">마력 골렘 + 제국 변절자 + 탈영 석궁수</x:t>
  </x:si>
  <x:si>
    <x:t xml:space="preserve">마도 폭주체 + 마력 골렘 + 변이 사냥개</x:t>
  </x:si>
  <x:si>
    <x:t xml:space="preserve">실험체 제로 1 + 호위 일반몹 36</x:t>
  </x:si>
  <x:si>
    <x:t xml:space="preserve">반역 중갑병 + 마도 폭주체 + 마력 골렘</x:t>
  </x:si>
  <x:si>
    <x:t xml:space="preserve">마도 폭주체 + 마력 골렘 + 제국 변절자</x:t>
  </x:si>
  <x:si>
    <x:t xml:space="preserve">공중요새 코르부스 1 + 호위 일반몹 36</x:t>
  </x:si>
  <x:si>
    <x:t xml:space="preserve">종말의 인도자 1 + 일반몹 31</x:t>
  </x:si>
  <x:si>
    <x:t xml:space="preserve">균열 괴수 + 제국 변절자 + 탈영 석궁수</x:t>
  </x:si>
  <x:si>
    <x:t xml:space="preserve">균열군주 네메시스 1 + 호위 일반몹 39</x:t>
  </x:si>
  <x:si>
    <x:t xml:space="preserve">탈영 철갑병 + 화약 밀수꾼 + 산악 약탈자</x:t>
  </x:si>
  <x:si>
    <x:t xml:space="preserve">최초의 골렘 아즈로 1 + 일반몹 30</x:t>
  </x:si>
  <x:si>
    <x:t xml:space="preserve">타락한 철각왕 브라움 1 + 호위 일반몹 41</x:t>
  </x:si>
  <x:si>
    <x:t xml:space="preserve">최초의 골렘 아즈로 1 + 일반몹 31</x:t>
  </x:si>
  <x:si>
    <x:t xml:space="preserve">침식된 광산왕 모르겐 1 + 호위 일반몹 42</x:t>
  </x:si>
  <x:si>
    <x:t xml:space="preserve">최초의 골렘 아즈로 1 + 일반몹 34</x:t>
  </x:si>
  <x:si>
    <x:t xml:space="preserve">협곡 늑대 + 뿔멧돼지 + 산악 약탈자</x:t>
  </x:si>
  <x:si>
    <x:t xml:space="preserve">무언의 사로스 1 + 일반몹 33</x:t>
  </x:si>
  <x:si>
    <x:t xml:space="preserve">침식된 백야왕 펜리르 1 + 호위 일반몹 44</x:t>
  </x:si>
  <x:si>
    <x:t xml:space="preserve">무언의 사로스 1 + 일반몹 34</x:t>
  </x:si>
  <x:si>
    <x:t xml:space="preserve">검은 빙벽거인 요툰 1 + 호위 일반몹 45</x:t>
  </x:si>
  <x:si>
    <x:t xml:space="preserve">무언의 사로스 1 + 일반몹 37</x:t>
  </x:si>
  <x:si>
    <x:t xml:space="preserve">설원 늑대 + 동토 곰 + 빙갑 정령</x:t>
  </x:si>
  <x:si>
    <x:t xml:space="preserve">고위 정령 이프리트 1 + 일반몹 36</x:t>
  </x:si>
  <x:si>
    <x:t xml:space="preserve">타락한 사구왕 자하르 1 + 호위 일반몹 47</x:t>
  </x:si>
  <x:si>
    <x:t xml:space="preserve">사막 주술사 + 사막 약탈자 + 독침 암살자</x:t>
  </x:si>
  <x:si>
    <x:t xml:space="preserve">고위 정령 이프리트 1 + 일반몹 37</x:t>
  </x:si>
  <x:si>
    <x:t xml:space="preserve">침식된 태양먹는 아누라 1 + 호위 일반몹 48</x:t>
  </x:si>
  <x:si>
    <x:t xml:space="preserve">고위 정령 이프리트 1 + 일반몹 40</x:t>
  </x:si>
  <x:si>
    <x:t xml:space="preserve">밀수 궁수 + 해적 검객 + 파도 도적</x:t>
  </x:si>
  <x:si>
    <x:t xml:space="preserve">심연의 고르라켄 1 + 일반몹 39</x:t>
  </x:si>
  <x:si>
    <x:t xml:space="preserve">침식된 해적왕 쿠로가네 1 + 호위 일반몹 50</x:t>
  </x:si>
  <x:si>
    <x:t xml:space="preserve">심연의 고르라켄 1 + 일반몹 41</x:t>
  </x:si>
  <x:si>
    <x:t xml:space="preserve">심연해룡 류가 1 + 호위 일반몹 51</x:t>
  </x:si>
  <x:si>
    <x:t xml:space="preserve">심연의 고르라켄 1 + 일반몹 44</x:t>
  </x:si>
  <x:si>
    <x:t xml:space="preserve">금단 심문관 + 타락 사제 + 이단 광신도</x:t>
  </x:si>
  <x:si>
    <x:t xml:space="preserve">기원의 대성상 1 + 일반몹 43</x:t>
  </x:si>
  <x:si>
    <x:t xml:space="preserve">검은대주교 말키엘 1 + 호위 일반몹 54</x:t>
  </x:si>
  <x:si>
    <x:t xml:space="preserve">기원의 대성상 1 + 일반몹 44</x:t>
  </x:si>
  <x:si>
    <x:t xml:space="preserve">사룡숭배 대성상 1 + 호위 일반몹 55</x:t>
  </x:si>
  <x:si>
    <x:t xml:space="preserve">기원의 대성상 1 + 일반몹 47</x:t>
  </x:si>
  <x:si>
    <x:t xml:space="preserve">암시장 마도사 + 제국 변절자 + 탈영 석궁수</x:t>
  </x:si>
  <x:si>
    <x:t xml:space="preserve">종말의 인도자 1 + 일반몹 46</x:t>
  </x:si>
  <x:si>
    <x:t xml:space="preserve">심연황실골렘 아르카논 1 + 호위 일반몹 57</x:t>
  </x:si>
  <x:si>
    <x:t xml:space="preserve">종말의 인도자 1 + 일반몹 47</x:t>
  </x:si>
  <x:si>
    <x:t xml:space="preserve">침식된 반역장군 드라켄 1 + 호위 일반몹 58</x:t>
  </x:si>
  <x:si>
    <x:t xml:space="preserve">종말의 인도자 1 + 일반몹 50</x:t>
  </x:si>
  <x:si>
    <x:t xml:space="preserve">사룡의 화신 네메시스 1 + 호위 일반몹 61</x:t>
  </x:si>
  <x:si>
    <x:t xml:space="preserve">종말의 인도자 1 + 일반몹 51</x:t>
  </x:si>
  <x:si>
    <x:t xml:space="preserve">변이 사냥개 + 제국 변절자 + 탈영 석궁수</x:t>
  </x:si>
  <x:si>
    <x:t xml:space="preserve">종말을 걷는 자 에레보스 1 + 호위 일반몹 62</x:t>
  </x:si>
  <x:si>
    <x:t xml:space="preserve">마력 골렘 + 변이 사냥개 + 제국 변절자</x:t>
  </x:si>
  <x:si>
    <x:t xml:space="preserve">종말의 인도자 1 + 일반몹 52</x:t>
  </x:si>
  <x:si>
    <x:t xml:space="preserve">등급</x:t>
  </x:si>
  <x:si>
    <x:t xml:space="preserve">영웅</x:t>
  </x:si>
  <x:si>
    <x:t xml:space="preserve">현재 조합</x:t>
  </x:si>
  <x:si>
    <x:t xml:space="preserve">권장 조합</x:t>
  </x:si>
  <x:si>
    <x:t xml:space="preserve">판정</x:t>
  </x:si>
  <x:si>
    <x:t xml:space="preserve">이유</x:t>
  </x:si>
  <x:si>
    <x:t xml:space="preserve">기사단장 + 기사단장</x:t>
  </x:si>
  <x:si>
    <x:t xml:space="preserve">유지</x:t>
  </x:si>
  <x:si>
    <x:t xml:space="preserve">현재 조합이 등급 비용과 캐릭터 테마에 대체로 부합.</x:t>
  </x:si>
  <x:si>
    <x:t xml:space="preserve">연사궁병 + 연사감시탑</x:t>
  </x:si>
  <x:si>
    <x:t xml:space="preserve">아이돌 + 흑마법사</x:t>
  </x:si>
  <x:si>
    <x:t xml:space="preserve">1급 얼음 수정 + 대현자</x:t>
  </x:si>
  <x:si>
    <x:t xml:space="preserve">기사단장 + 연사궁병</x:t>
  </x:si>
  <x:si>
    <x:t xml:space="preserve">대형 발리스타 + 리엘 + 루비</x:t>
  </x:si>
  <x:si>
    <x:t xml:space="preserve">대현자 + 리엘 + 레이나</x:t>
  </x:si>
  <x:si>
    <x:t xml:space="preserve">죽음의 화신 + 침묵의 화신 + 유나</x:t>
  </x:si>
  <x:si>
    <x:t xml:space="preserve">주술사 + 유나 + 세라</x:t>
  </x:si>
  <x:si>
    <x:t xml:space="preserve">아이돌 + 카린 + 세라</x:t>
  </x:si>
</x:sst>
</file>

<file path=xl/styles.xml><?xml version="1.0" encoding="utf-8"?>
<x:styleSheet xmlns:x="http://schemas.openxmlformats.org/spreadsheetml/2006/main">
  <x:numFmts count="8">
    <x:numFmt numFmtId="200" formatCode="0"/>
    <x:numFmt numFmtId="201" formatCode="0.0%"/>
    <x:numFmt numFmtId="202" formatCode="#,##0"/>
    <x:numFmt numFmtId="203" formatCode="0%"/>
    <x:numFmt numFmtId="204" formatCode="0.00"/>
    <x:numFmt numFmtId="205" formatCode="0.0"/>
    <x:numFmt numFmtId="206" formatCode="#,##0.0"/>
    <x:numFmt numFmtId="207" formatCode="0.00x"/>
  </x:numFmts>
  <x:fonts count="11">
    <x:font>
      <x:sz val="11"/>
      <x:color theme="1"/>
      <x:name val="맑은 고딕"/>
    </x:font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맑은 고딕"/>
    </x:font>
    <x:font>
      <x:sz val="8"/>
      <x:name val="돋움"/>
    </x:font>
    <x:font>
      <x:sz val="11"/>
      <x:name val="맑은 고딕"/>
    </x:font>
    <x:font>
      <x:b/>
      <x:sz val="11"/>
      <x:name val="Carlito"/>
    </x:font>
    <x:font>
      <x:b/>
      <x:sz val="14"/>
      <x:color rgb="FFFFFFFF"/>
      <x:name val="맑은 고딕"/>
    </x:font>
    <x:font>
      <x:sz val="11"/>
      <x:color theme="1"/>
      <x:name val="맑은 고딕"/>
    </x:font>
    <x:font>
      <x:b/>
      <x:sz val="11"/>
      <x:color theme="1"/>
      <x:name val="맑은 고딕"/>
    </x:font>
    <x:font>
      <x:b/>
      <x:sz val="16"/>
      <x:color theme="1"/>
      <x:name val="맑은 고딕"/>
    </x:font>
  </x:fonts>
  <x:fills count="20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FFFF00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D9EAD3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9E480E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8064A2"/>
      </x:patternFill>
    </x:fill>
    <x:fill>
      <x:patternFill patternType="solid">
        <x:fgColor rgb="FF9E480E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9E480E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9E480E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9E480E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9E480E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9E480E"/>
      </x:patternFill>
    </x:fill>
    <x:fill>
      <x:patternFill patternType="solid">
        <x:fgColor rgb="FFF4B183"/>
      </x:patternFill>
    </x:fill>
    <x:fill>
      <x:patternFill patternType="solid">
        <x:fgColor rgb="FF70AD47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A9D18E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1F2"/>
      </x:patternFill>
    </x:fill>
    <x:fill>
      <x:patternFill patternType="solid">
        <x:fgColor rgb="FFFFD966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</x:fills>
  <x:borders count="2">
    <x:border/>
    <x:border/>
  </x:borders>
  <x:cellStyleXfs count="2">
    <x:xf numFmtId="0" fontId="0" fillId="0" borderId="0">
      <x:alignment vertical="center"/>
    </x:xf>
    <x:xf numFmtId="0" fontId="1" fillId="0" borderId="0"/>
  </x:cellStyleXfs>
  <x:cellXfs count="793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/>
    <x:xf numFmtId="0" fontId="3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top" wrapText="1"/>
    </x:xf>
    <x:xf numFmtId="0" fontId="5" fillId="0" borderId="0" xfId="0" applyFont="1" applyAlignment="1">
      <x:alignment horizontal="center" vertical="top" wrapText="1"/>
    </x:xf>
    <x:xf numFmtId="0" fontId="6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7" fillId="3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3" fillId="2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 wrapText="1"/>
    </x:xf>
    <x:xf numFmtId="0" fontId="0" fillId="4" borderId="0" xfId="0" applyFill="1" applyAlignment="1">
      <x:alignment vertical="center" wrapText="1"/>
    </x:xf>
    <x:xf numFmtId="0" fontId="8" fillId="4" borderId="0" xfId="0" applyFont="1" applyFill="1" applyAlignment="1">
      <x:alignment vertical="center" wrapText="1"/>
    </x:xf>
    <x:xf numFmtId="0" fontId="0" fillId="4" borderId="0" xfId="0" applyFill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horizontal="center" vertical="center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/>
    </x:xf>
    <x:xf numFmtId="0" fontId="7" fillId="18" borderId="0" xfId="0" applyNumberFormat="1" applyFont="1" applyFill="1" applyBorder="1" applyAlignment="1">
      <x:alignment vertical="center"/>
    </x:xf>
    <x:xf numFmtId="0" fontId="7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/>
    </x:xf>
    <x:xf numFmtId="0" fontId="3" fillId="20" borderId="0" xfId="0" applyNumberFormat="1" applyFont="1" applyFill="1" applyBorder="1" applyAlignment="1">
      <x:alignment vertical="center"/>
    </x:xf>
    <x:xf numFmtId="0" fontId="3" fillId="20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vertical="center"/>
    </x:xf>
    <x:xf numFmtId="0" fontId="3" fillId="21" borderId="0" xfId="0" applyNumberFormat="1" applyFont="1" applyFill="1" applyBorder="1" applyAlignment="1">
      <x:alignment vertic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 wrapText="1"/>
    </x:xf>
    <x:xf numFmtId="0" fontId="9" fillId="22" borderId="0" xfId="0" applyNumberFormat="1" applyFont="1" applyFill="1" applyBorder="1" applyAlignment="1">
      <x:alignment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9" fillId="22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/>
    </x:xf>
    <x:xf numFmtId="0" fontId="7" fillId="23" borderId="0" xfId="0" applyNumberFormat="1" applyFont="1" applyFill="1" applyBorder="1" applyAlignment="1">
      <x:alignment vertical="center"/>
    </x:xf>
    <x:xf numFmtId="0" fontId="7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vertical="center"/>
    </x:xf>
    <x:xf numFmtId="0" fontId="3" fillId="26" borderId="0" xfId="0" applyNumberFormat="1" applyFont="1" applyFill="1" applyBorder="1" applyAlignment="1">
      <x:alignment vertical="center"/>
    </x:xf>
    <x:xf numFmtId="0" fontId="3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 applyAlignment="1">
      <x:alignment vertical="center" wrapText="1"/>
    </x:xf>
    <x:xf numFmtId="0" fontId="9" fillId="27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/>
    </x:xf>
    <x:xf numFmtId="0" fontId="3" fillId="28" borderId="0" xfId="0" applyNumberFormat="1" applyFont="1" applyFill="1" applyBorder="1" applyAlignment="1">
      <x:alignment vertical="center"/>
    </x:xf>
    <x:xf numFmtId="0" fontId="3" fillId="28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vertical="center"/>
    </x:xf>
    <x:xf numFmtId="0" fontId="7" fillId="29" borderId="0" xfId="0" applyNumberFormat="1" applyFont="1" applyFill="1" applyBorder="1" applyAlignment="1">
      <x:alignment vertical="center"/>
    </x:xf>
    <x:xf numFmtId="0" fontId="7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 applyAlignment="1">
      <x:alignment vertical="center" wrapText="1"/>
    </x:xf>
    <x:xf numFmtId="0" fontId="9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vertical="center"/>
    </x:xf>
    <x:xf numFmtId="0" fontId="3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vertical="center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 applyAlignment="1">
      <x:alignment vertical="center"/>
    </x:xf>
    <x:xf numFmtId="0" fontId="7" fillId="34" borderId="0" xfId="0" applyNumberFormat="1" applyFont="1" applyFill="1" applyBorder="1" applyAlignment="1">
      <x:alignment vertical="center"/>
    </x:xf>
    <x:xf numFmtId="0" fontId="7" fillId="34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 applyAlignment="1">
      <x:alignment vertical="center"/>
    </x:xf>
    <x:xf numFmtId="0" fontId="3" fillId="35" borderId="0" xfId="0" applyNumberFormat="1" applyFont="1" applyFill="1" applyBorder="1" applyAlignment="1">
      <x:alignment vertical="center"/>
    </x:xf>
    <x:xf numFmtId="0" fontId="3" fillId="35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 applyAlignment="1">
      <x:alignment vertical="center" wrapText="1"/>
    </x:xf>
    <x:xf numFmtId="0" fontId="9" fillId="37" borderId="0" xfId="0" applyNumberFormat="1" applyFont="1" applyFill="1" applyBorder="1" applyAlignment="1">
      <x:alignment vertical="center" wrapText="1"/>
    </x:xf>
    <x:xf numFmtId="0" fontId="3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 applyAlignment="1">
      <x:alignment vertical="center" wrapText="1"/>
    </x:xf>
    <x:xf numFmtId="0" fontId="9" fillId="39" borderId="0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 applyAlignment="1">
      <x:alignment vertical="center"/>
    </x:xf>
    <x:xf numFmtId="0" fontId="7" fillId="40" borderId="0" xfId="0" applyNumberFormat="1" applyFont="1" applyFill="1" applyBorder="1" applyAlignment="1">
      <x:alignment vertical="center"/>
    </x:xf>
    <x:xf numFmtId="0" fontId="7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 wrapText="1"/>
    </x:xf>
    <x:xf numFmtId="0" fontId="3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vertical="center"/>
    </x:xf>
    <x:xf numFmtId="0" fontId="3" fillId="43" borderId="0" xfId="0" applyNumberFormat="1" applyFont="1" applyFill="1" applyBorder="1" applyAlignment="1">
      <x:alignment vertical="center"/>
    </x:xf>
    <x:xf numFmtId="0" fontId="3" fillId="43" borderId="0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 applyAlignment="1">
      <x:alignment vertical="center"/>
    </x:xf>
    <x:xf numFmtId="0" fontId="3" fillId="44" borderId="0" xfId="0" applyNumberFormat="1" applyFont="1" applyFill="1" applyBorder="1" applyAlignment="1">
      <x:alignment vertical="center"/>
    </x:xf>
    <x:xf numFmtId="0" fontId="3" fillId="44" borderId="0" xfId="0" applyNumberFormat="1" applyFont="1" applyFill="1" applyBorder="1" applyAlignment="1">
      <x:alignment vertic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 applyAlignment="1">
      <x:alignment vertical="center"/>
    </x:xf>
    <x:xf numFmtId="0" fontId="3" fillId="45" borderId="0" xfId="0" applyNumberFormat="1" applyFont="1" applyFill="1" applyBorder="1" applyAlignment="1">
      <x:alignment vertical="center"/>
    </x:xf>
    <x:xf numFmtId="0" fontId="3" fillId="45" borderId="0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 applyAlignment="1">
      <x:alignment vertical="center"/>
    </x:xf>
    <x:xf numFmtId="0" fontId="9" fillId="46" borderId="0" xfId="0" applyNumberFormat="1" applyFont="1" applyFill="1" applyBorder="1" applyAlignment="1">
      <x:alignment vertical="center"/>
    </x:xf>
    <x:xf numFmtId="0" fontId="9" fillId="46" borderId="0" xfId="0" applyNumberFormat="1" applyFont="1" applyFill="1" applyBorder="1" applyAlignment="1">
      <x:alignment vertical="center" wrapText="1"/>
    </x:xf>
    <x:xf numFmtId="0" fontId="9" fillId="4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 applyAlignment="1">
      <x:alignment vertical="center" wrapText="1"/>
    </x:xf>
    <x:xf numFmtId="0" fontId="3" fillId="45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/>
    </x:xf>
    <x:xf numFmtId="0" fontId="7" fillId="47" borderId="0" xfId="0" applyNumberFormat="1" applyFont="1" applyFill="1" applyBorder="1" applyAlignment="1">
      <x:alignment vertical="center"/>
    </x:xf>
    <x:xf numFmtId="0" fontId="7" fillId="47" borderId="0" xfId="0" applyNumberFormat="1" applyFont="1" applyFill="1" applyBorder="1" applyAlignment="1">
      <x:alignment horizontal="center" vertical="center"/>
    </x:xf>
    <x:xf numFmtId="0" fontId="0" fillId="48" borderId="0" xfId="0" applyNumberFormat="1" applyFont="1" applyFill="1" applyBorder="1" applyAlignment="1">
      <x:alignment vertical="center"/>
    </x:xf>
    <x:xf numFmtId="0" fontId="3" fillId="48" borderId="0" xfId="0" applyNumberFormat="1" applyFont="1" applyFill="1" applyBorder="1" applyAlignment="1">
      <x:alignment vertical="center"/>
    </x:xf>
    <x:xf numFmtId="0" fontId="3" fillId="48" borderId="0" xfId="0" applyNumberFormat="1" applyFont="1" applyFill="1" applyBorder="1" applyAlignment="1">
      <x:alignment vertic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vertical="center"/>
    </x:xf>
    <x:xf numFmtId="0" fontId="3" fillId="49" borderId="0" xfId="0" applyNumberFormat="1" applyFont="1" applyFill="1" applyBorder="1" applyAlignment="1">
      <x:alignment vertical="center"/>
    </x:xf>
    <x:xf numFmtId="0" fontId="3" fillId="49" borderId="0" xfId="0" applyNumberFormat="1" applyFont="1" applyFill="1" applyBorder="1" applyAlignment="1">
      <x:alignment horizontal="center" vertical="center"/>
    </x:xf>
    <x:xf numFmtId="0" fontId="0" fillId="50" borderId="0" xfId="0" applyNumberFormat="1" applyFont="1" applyFill="1" applyBorder="1" applyAlignment="1">
      <x:alignment vertical="center"/>
    </x:xf>
    <x:xf numFmtId="0" fontId="3" fillId="50" borderId="0" xfId="0" applyNumberFormat="1" applyFont="1" applyFill="1" applyBorder="1" applyAlignment="1">
      <x:alignment vertical="center"/>
    </x:xf>
    <x:xf numFmtId="0" fontId="3" fillId="50" borderId="0" xfId="0" applyNumberFormat="1" applyFont="1" applyFill="1" applyBorder="1" applyAlignment="1">
      <x:alignment vertical="center" wrapText="1"/>
    </x:xf>
    <x:xf numFmtId="0" fontId="3" fillId="50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 applyAlignment="1">
      <x:alignment vertical="center"/>
    </x:xf>
    <x:xf numFmtId="0" fontId="3" fillId="51" borderId="0" xfId="0" applyNumberFormat="1" applyFont="1" applyFill="1" applyBorder="1" applyAlignment="1">
      <x:alignment vertical="center"/>
    </x:xf>
    <x:xf numFmtId="0" fontId="3" fillId="51" borderId="0" xfId="0" applyNumberFormat="1" applyFont="1" applyFill="1" applyBorder="1" applyAlignment="1">
      <x:alignment vertical="center" wrapText="1"/>
    </x:xf>
    <x:xf numFmtId="0" fontId="3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 applyAlignment="1">
      <x:alignment vertical="center"/>
    </x:xf>
    <x:xf numFmtId="0" fontId="3" fillId="52" borderId="0" xfId="0" applyNumberFormat="1" applyFont="1" applyFill="1" applyBorder="1" applyAlignment="1">
      <x:alignment vertical="center"/>
    </x:xf>
    <x:xf numFmtId="0" fontId="3" fillId="52" borderId="0" xfId="0" applyNumberFormat="1" applyFont="1" applyFill="1" applyBorder="1" applyAlignment="1">
      <x:alignment horizontal="center" vertical="center"/>
    </x:xf>
    <x:xf numFmtId="0" fontId="0" fillId="53" borderId="0" xfId="0" applyNumberFormat="1" applyFont="1" applyFill="1" applyBorder="1" applyAlignment="1">
      <x:alignment vertical="center" wrapText="1"/>
    </x:xf>
    <x:xf numFmtId="0" fontId="9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 applyAlignment="1">
      <x:alignment vertical="center"/>
    </x:xf>
    <x:xf numFmtId="0" fontId="9" fillId="54" borderId="0" xfId="0" applyNumberFormat="1" applyFont="1" applyFill="1" applyBorder="1" applyAlignment="1">
      <x:alignment vertical="center"/>
    </x:xf>
    <x:xf numFmtId="0" fontId="9" fillId="54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3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/>
    </x:xf>
    <x:xf numFmtId="0" fontId="7" fillId="55" borderId="0" xfId="0" applyNumberFormat="1" applyFont="1" applyFill="1" applyBorder="1" applyAlignment="1">
      <x:alignment vertical="center"/>
    </x:xf>
    <x:xf numFmtId="0" fontId="7" fillId="55" borderId="0" xfId="0" applyNumberFormat="1" applyFont="1" applyFill="1" applyBorder="1" applyAlignment="1">
      <x:alignment horizontal="center" vertical="center"/>
    </x:xf>
    <x:xf numFmtId="0" fontId="0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 applyAlignment="1">
      <x:alignment vertical="center"/>
    </x:xf>
    <x:xf numFmtId="0" fontId="3" fillId="57" borderId="0" xfId="0" applyNumberFormat="1" applyFont="1" applyFill="1" applyBorder="1" applyAlignment="1">
      <x:alignment vertical="center"/>
    </x:xf>
    <x:xf numFmtId="0" fontId="3" fillId="57" borderId="0" xfId="0" applyNumberFormat="1" applyFont="1" applyFill="1" applyBorder="1" applyAlignment="1">
      <x:alignment vertical="center" wrapText="1"/>
    </x:xf>
    <x:xf numFmtId="0" fontId="3" fillId="57" borderId="0" xfId="0" applyNumberFormat="1" applyFont="1" applyFill="1" applyBorder="1" applyAlignment="1">
      <x:alignment horizontal="center" vertical="center" wrapText="1"/>
    </x:xf>
    <x:xf numFmtId="0" fontId="0" fillId="58" borderId="0" xfId="0" applyNumberFormat="1" applyFont="1" applyFill="1" applyBorder="1" applyAlignment="1">
      <x:alignment vertical="center"/>
    </x:xf>
    <x:xf numFmtId="0" fontId="3" fillId="58" borderId="0" xfId="0" applyNumberFormat="1" applyFont="1" applyFill="1" applyBorder="1" applyAlignment="1">
      <x:alignment vertical="center"/>
    </x:xf>
    <x:xf numFmtId="0" fontId="3" fillId="58" borderId="0" xfId="0" applyNumberFormat="1" applyFont="1" applyFill="1" applyBorder="1" applyAlignment="1">
      <x:alignment horizontal="center" vertical="center"/>
    </x:xf>
    <x:xf numFmtId="0" fontId="0" fillId="59" borderId="0" xfId="0" applyNumberFormat="1" applyFont="1" applyFill="1" applyBorder="1" applyAlignment="1">
      <x:alignment vertical="center"/>
    </x:xf>
    <x:xf numFmtId="0" fontId="9" fillId="59" borderId="0" xfId="0" applyNumberFormat="1" applyFont="1" applyFill="1" applyBorder="1" applyAlignment="1">
      <x:alignment vertical="center"/>
    </x:xf>
    <x:xf numFmtId="0" fontId="9" fillId="59" borderId="0" xfId="0" applyNumberFormat="1" applyFont="1" applyFill="1" applyBorder="1" applyAlignment="1">
      <x:alignment vertical="center" wrapText="1"/>
    </x:xf>
    <x:xf numFmtId="0" fontId="0" fillId="60" borderId="0" xfId="0" applyNumberFormat="1" applyFont="1" applyFill="1" applyBorder="1" applyAlignment="1">
      <x:alignment vertical="center"/>
    </x:xf>
    <x:xf numFmtId="0" fontId="3" fillId="60" borderId="0" xfId="0" applyNumberFormat="1" applyFont="1" applyFill="1" applyBorder="1" applyAlignment="1">
      <x:alignment vertical="center"/>
    </x:xf>
    <x:xf numFmtId="0" fontId="3" fillId="60" borderId="0" xfId="0" applyNumberFormat="1" applyFont="1" applyFill="1" applyBorder="1" applyAlignment="1">
      <x:alignment vertical="center" wrapText="1"/>
    </x:xf>
    <x:xf numFmtId="0" fontId="3" fillId="60" borderId="0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 applyAlignment="1">
      <x:alignment vertical="center"/>
    </x:xf>
    <x:xf numFmtId="0" fontId="3" fillId="61" borderId="0" xfId="0" applyNumberFormat="1" applyFont="1" applyFill="1" applyBorder="1" applyAlignment="1">
      <x:alignment vertical="center"/>
    </x:xf>
    <x:xf numFmtId="0" fontId="3" fillId="61" borderId="0" xfId="0" applyNumberFormat="1" applyFont="1" applyFill="1" applyBorder="1" applyAlignment="1">
      <x:alignment horizontal="center" vertical="center"/>
    </x:xf>
    <x:xf numFmtId="0" fontId="0" fillId="62" borderId="0" xfId="0" applyNumberFormat="1" applyFont="1" applyFill="1" applyBorder="1" applyAlignment="1">
      <x:alignment vertical="center" wrapText="1"/>
    </x:xf>
    <x:xf numFmtId="0" fontId="9" fillId="62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 applyAlignment="1">
      <x:alignment vertical="center"/>
    </x:xf>
    <x:xf numFmtId="0" fontId="9" fillId="62" borderId="0" xfId="0" applyNumberFormat="1" applyFont="1" applyFill="1" applyBorder="1" applyAlignment="1">
      <x:alignment vertical="center"/>
    </x:xf>
    <x:xf numFmtId="0" fontId="0" fillId="61" borderId="0" xfId="0" applyNumberFormat="1" applyFont="1" applyFill="1" applyBorder="1" applyAlignment="1">
      <x:alignment vertical="center" wrapText="1"/>
    </x:xf>
    <x:xf numFmtId="0" fontId="3" fillId="6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 applyAlignment="1">
      <x:alignment vertical="center"/>
    </x:xf>
    <x:xf numFmtId="0" fontId="7" fillId="63" borderId="0" xfId="0" applyNumberFormat="1" applyFont="1" applyFill="1" applyBorder="1" applyAlignment="1">
      <x:alignment vertical="center"/>
    </x:xf>
    <x:xf numFmtId="0" fontId="7" fillId="63" borderId="0" xfId="0" applyNumberFormat="1" applyFont="1" applyFill="1" applyBorder="1" applyAlignment="1">
      <x:alignment horizontal="center" vertical="center"/>
    </x:xf>
    <x:xf numFmtId="0" fontId="0" fillId="64" borderId="0" xfId="0" applyNumberFormat="1" applyFont="1" applyFill="1" applyBorder="1" applyAlignment="1">
      <x:alignment vertical="center"/>
    </x:xf>
    <x:xf numFmtId="0" fontId="3" fillId="64" borderId="0" xfId="0" applyNumberFormat="1" applyFont="1" applyFill="1" applyBorder="1" applyAlignment="1">
      <x:alignment vertical="center"/>
    </x:xf>
    <x:xf numFmtId="0" fontId="3" fillId="64" borderId="0" xfId="0" applyNumberFormat="1" applyFont="1" applyFill="1" applyBorder="1" applyAlignment="1">
      <x:alignment vertical="center" wrapText="1"/>
    </x:xf>
    <x:xf numFmtId="0" fontId="3" fillId="64" borderId="0" xfId="0" applyNumberFormat="1" applyFont="1" applyFill="1" applyBorder="1" applyAlignment="1">
      <x:alignment horizontal="center" vertical="center" wrapText="1"/>
    </x:xf>
    <x:xf numFmtId="0" fontId="0" fillId="65" borderId="0" xfId="0" applyNumberFormat="1" applyFont="1" applyFill="1" applyBorder="1" applyAlignment="1">
      <x:alignment vertical="center"/>
    </x:xf>
    <x:xf numFmtId="0" fontId="3" fillId="65" borderId="0" xfId="0" applyNumberFormat="1" applyFont="1" applyFill="1" applyBorder="1" applyAlignment="1">
      <x:alignment vertical="center"/>
    </x:xf>
    <x:xf numFmtId="0" fontId="3" fillId="65" borderId="0" xfId="0" applyNumberFormat="1" applyFont="1" applyFill="1" applyBorder="1" applyAlignment="1">
      <x:alignment vertical="center" wrapText="1"/>
    </x:xf>
    <x:xf numFmtId="0" fontId="3" fillId="65" borderId="0" xfId="0" applyNumberFormat="1" applyFont="1" applyFill="1" applyBorder="1" applyAlignment="1">
      <x:alignment horizontal="center" vertical="center" wrapText="1"/>
    </x:xf>
    <x:xf numFmtId="0" fontId="0" fillId="66" borderId="0" xfId="0" applyNumberFormat="1" applyFont="1" applyFill="1" applyBorder="1" applyAlignment="1">
      <x:alignment vertical="center"/>
    </x:xf>
    <x:xf numFmtId="0" fontId="3" fillId="66" borderId="0" xfId="0" applyNumberFormat="1" applyFont="1" applyFill="1" applyBorder="1" applyAlignment="1">
      <x:alignment vertical="center"/>
    </x:xf>
    <x:xf numFmtId="0" fontId="3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 applyAlignment="1">
      <x:alignment vertical="center"/>
    </x:xf>
    <x:xf numFmtId="0" fontId="9" fillId="67" borderId="0" xfId="0" applyNumberFormat="1" applyFont="1" applyFill="1" applyBorder="1" applyAlignment="1">
      <x:alignment vertical="center"/>
    </x:xf>
    <x:xf numFmtId="0" fontId="9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 applyAlignment="1">
      <x:alignment vertical="center"/>
    </x:xf>
    <x:xf numFmtId="0" fontId="3" fillId="68" borderId="0" xfId="0" applyNumberFormat="1" applyFont="1" applyFill="1" applyBorder="1" applyAlignment="1">
      <x:alignment vertical="center"/>
    </x:xf>
    <x:xf numFmtId="0" fontId="3" fillId="68" borderId="0" xfId="0" applyNumberFormat="1" applyFont="1" applyFill="1" applyBorder="1" applyAlignment="1">
      <x:alignment vertical="center" wrapText="1"/>
    </x:xf>
    <x:xf numFmtId="0" fontId="3" fillId="68" borderId="0" xfId="0" applyNumberFormat="1" applyFont="1" applyFill="1" applyBorder="1" applyAlignment="1">
      <x:alignment horizontal="center" vertical="center" wrapText="1"/>
    </x:xf>
    <x:xf numFmtId="0" fontId="0" fillId="69" borderId="0" xfId="0" applyNumberFormat="1" applyFont="1" applyFill="1" applyBorder="1" applyAlignment="1">
      <x:alignment vertical="center"/>
    </x:xf>
    <x:xf numFmtId="0" fontId="3" fillId="69" borderId="0" xfId="0" applyNumberFormat="1" applyFont="1" applyFill="1" applyBorder="1" applyAlignment="1">
      <x:alignment vertical="center"/>
    </x:xf>
    <x:xf numFmtId="0" fontId="3" fillId="69" borderId="0" xfId="0" applyNumberFormat="1" applyFont="1" applyFill="1" applyBorder="1" applyAlignment="1">
      <x:alignment horizontal="center" vertical="center"/>
    </x:xf>
    <x:xf numFmtId="0" fontId="0" fillId="70" borderId="0" xfId="0" applyNumberFormat="1" applyFont="1" applyFill="1" applyBorder="1" applyAlignment="1">
      <x:alignment vertical="center" wrapText="1"/>
    </x:xf>
    <x:xf numFmtId="0" fontId="9" fillId="70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 applyAlignment="1">
      <x:alignment vertical="center"/>
    </x:xf>
    <x:xf numFmtId="0" fontId="9" fillId="70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 applyAlignment="1">
      <x:alignment vertical="center" wrapText="1"/>
    </x:xf>
    <x:xf numFmtId="0" fontId="3" fillId="69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 applyAlignment="1">
      <x:alignment vertical="center"/>
    </x:xf>
    <x:xf numFmtId="0" fontId="3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 applyAlignment="1">
      <x:alignment vertical="center"/>
    </x:xf>
    <x:xf numFmtId="0" fontId="7" fillId="72" borderId="0" xfId="0" applyNumberFormat="1" applyFont="1" applyFill="1" applyBorder="1" applyAlignment="1">
      <x:alignment vertical="center"/>
    </x:xf>
    <x:xf numFmtId="0" fontId="7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 applyAlignment="1">
      <x:alignment vertical="center"/>
    </x:xf>
    <x:xf numFmtId="0" fontId="3" fillId="73" borderId="0" xfId="0" applyNumberFormat="1" applyFont="1" applyFill="1" applyBorder="1" applyAlignment="1">
      <x:alignment vertical="center"/>
    </x:xf>
    <x:xf numFmtId="0" fontId="3" fillId="73" borderId="0" xfId="0" applyNumberFormat="1" applyFont="1" applyFill="1" applyBorder="1" applyAlignment="1">
      <x:alignment vertical="center" wrapText="1"/>
    </x:xf>
    <x:xf numFmtId="0" fontId="3" fillId="73" borderId="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 applyAlignment="1">
      <x:alignment vertical="center"/>
    </x:xf>
    <x:xf numFmtId="0" fontId="3" fillId="74" borderId="0" xfId="0" applyNumberFormat="1" applyFont="1" applyFill="1" applyBorder="1" applyAlignment="1">
      <x:alignment vertical="center"/>
    </x:xf>
    <x:xf numFmtId="0" fontId="3" fillId="74" borderId="0" xfId="0" applyNumberFormat="1" applyFont="1" applyFill="1" applyBorder="1" applyAlignment="1">
      <x:alignment vertical="center" wrapText="1"/>
    </x:xf>
    <x:xf numFmtId="0" fontId="3" fillId="74" borderId="0" xfId="0" applyNumberFormat="1" applyFont="1" applyFill="1" applyBorder="1" applyAlignment="1">
      <x:alignment horizontal="center" vertical="center" wrapText="1"/>
    </x:xf>
    <x:xf numFmtId="0" fontId="0" fillId="75" borderId="0" xfId="0" applyNumberFormat="1" applyFont="1" applyFill="1" applyBorder="1" applyAlignment="1">
      <x:alignment vertical="center"/>
    </x:xf>
    <x:xf numFmtId="0" fontId="3" fillId="75" borderId="0" xfId="0" applyNumberFormat="1" applyFont="1" applyFill="1" applyBorder="1" applyAlignment="1">
      <x:alignment vertical="center"/>
    </x:xf>
    <x:xf numFmtId="0" fontId="3" fillId="75" borderId="0" xfId="0" applyNumberFormat="1" applyFont="1" applyFill="1" applyBorder="1" applyAlignment="1">
      <x:alignment horizontal="center" vertical="center"/>
    </x:xf>
    <x:xf numFmtId="0" fontId="0" fillId="76" borderId="0" xfId="0" applyNumberFormat="1" applyFont="1" applyFill="1" applyBorder="1" applyAlignment="1">
      <x:alignment vertical="center"/>
    </x:xf>
    <x:xf numFmtId="0" fontId="9" fillId="76" borderId="0" xfId="0" applyNumberFormat="1" applyFont="1" applyFill="1" applyBorder="1" applyAlignment="1">
      <x:alignment vertical="center"/>
    </x:xf>
    <x:xf numFmtId="0" fontId="9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 applyAlignment="1">
      <x:alignment vertical="center"/>
    </x:xf>
    <x:xf numFmtId="0" fontId="3" fillId="77" borderId="0" xfId="0" applyNumberFormat="1" applyFont="1" applyFill="1" applyBorder="1" applyAlignment="1">
      <x:alignment vertical="center"/>
    </x:xf>
    <x:xf numFmtId="0" fontId="3" fillId="77" borderId="0" xfId="0" applyNumberFormat="1" applyFont="1" applyFill="1" applyBorder="1" applyAlignment="1">
      <x:alignment vertical="center" wrapText="1"/>
    </x:xf>
    <x:xf numFmtId="0" fontId="3" fillId="77" borderId="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 applyAlignment="1">
      <x:alignment vertical="center"/>
    </x:xf>
    <x:xf numFmtId="0" fontId="3" fillId="78" borderId="0" xfId="0" applyNumberFormat="1" applyFont="1" applyFill="1" applyBorder="1" applyAlignment="1">
      <x:alignment vertical="center"/>
    </x:xf>
    <x:xf numFmtId="0" fontId="3" fillId="78" borderId="0" xfId="0" applyNumberFormat="1" applyFont="1" applyFill="1" applyBorder="1" applyAlignment="1">
      <x:alignment horizontal="center" vertical="center"/>
    </x:xf>
    <x:xf numFmtId="0" fontId="0" fillId="79" borderId="0" xfId="0" applyNumberFormat="1" applyFont="1" applyFill="1" applyBorder="1" applyAlignment="1">
      <x:alignment vertical="center" wrapText="1"/>
    </x:xf>
    <x:xf numFmtId="0" fontId="9" fillId="79" borderId="0" xfId="0" applyNumberFormat="1" applyFont="1" applyFill="1" applyBorder="1" applyAlignment="1">
      <x:alignment vertical="center" wrapText="1"/>
    </x:xf>
    <x:xf numFmtId="0" fontId="0" fillId="79" borderId="0" xfId="0" applyNumberFormat="1" applyFont="1" applyFill="1" applyBorder="1" applyAlignment="1">
      <x:alignment vertical="center"/>
    </x:xf>
    <x:xf numFmtId="0" fontId="9" fillId="79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 applyAlignment="1">
      <x:alignment vertical="center" wrapText="1"/>
    </x:xf>
    <x:xf numFmtId="0" fontId="3" fillId="78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 applyAlignment="1">
      <x:alignment vertical="center"/>
    </x:xf>
    <x:xf numFmtId="0" fontId="7" fillId="80" borderId="0" xfId="0" applyNumberFormat="1" applyFont="1" applyFill="1" applyBorder="1" applyAlignment="1">
      <x:alignment vertical="center"/>
    </x:xf>
    <x:xf numFmtId="0" fontId="7" fillId="80" borderId="0" xfId="0" applyNumberFormat="1" applyFont="1" applyFill="1" applyBorder="1" applyAlignment="1">
      <x:alignment horizontal="center" vertical="center"/>
    </x:xf>
    <x:xf numFmtId="0" fontId="0" fillId="81" borderId="0" xfId="0" applyNumberFormat="1" applyFont="1" applyFill="1" applyBorder="1" applyAlignment="1">
      <x:alignment vertical="center"/>
    </x:xf>
    <x:xf numFmtId="0" fontId="3" fillId="81" borderId="0" xfId="0" applyNumberFormat="1" applyFont="1" applyFill="1" applyBorder="1" applyAlignment="1">
      <x:alignment vertical="center"/>
    </x:xf>
    <x:xf numFmtId="0" fontId="3" fillId="81" borderId="0" xfId="0" applyNumberFormat="1" applyFont="1" applyFill="1" applyBorder="1" applyAlignment="1">
      <x:alignment vertical="center" wrapText="1"/>
    </x:xf>
    <x:xf numFmtId="0" fontId="3" fillId="81" borderId="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 applyAlignment="1">
      <x:alignment vertical="center"/>
    </x:xf>
    <x:xf numFmtId="0" fontId="3" fillId="82" borderId="0" xfId="0" applyNumberFormat="1" applyFont="1" applyFill="1" applyBorder="1" applyAlignment="1">
      <x:alignment vertical="center"/>
    </x:xf>
    <x:xf numFmtId="0" fontId="3" fillId="82" borderId="0" xfId="0" applyNumberFormat="1" applyFont="1" applyFill="1" applyBorder="1" applyAlignment="1">
      <x:alignment vertical="center" wrapText="1"/>
    </x:xf>
    <x:xf numFmtId="0" fontId="3" fillId="82" borderId="0" xfId="0" applyNumberFormat="1" applyFont="1" applyFill="1" applyBorder="1" applyAlignment="1">
      <x:alignment horizontal="center" vertical="center" wrapText="1"/>
    </x:xf>
    <x:xf numFmtId="0" fontId="0" fillId="83" borderId="0" xfId="0" applyNumberFormat="1" applyFont="1" applyFill="1" applyBorder="1" applyAlignment="1">
      <x:alignment vertical="center"/>
    </x:xf>
    <x:xf numFmtId="0" fontId="3" fillId="83" borderId="0" xfId="0" applyNumberFormat="1" applyFont="1" applyFill="1" applyBorder="1" applyAlignment="1">
      <x:alignment vertical="center"/>
    </x:xf>
    <x:xf numFmtId="0" fontId="3" fillId="83" borderId="0" xfId="0" applyNumberFormat="1" applyFont="1" applyFill="1" applyBorder="1" applyAlignment="1">
      <x:alignment horizontal="center" vertical="center"/>
    </x:xf>
    <x:xf numFmtId="0" fontId="0" fillId="84" borderId="0" xfId="0" applyNumberFormat="1" applyFont="1" applyFill="1" applyBorder="1" applyAlignment="1">
      <x:alignment vertical="center"/>
    </x:xf>
    <x:xf numFmtId="0" fontId="9" fillId="84" borderId="0" xfId="0" applyNumberFormat="1" applyFont="1" applyFill="1" applyBorder="1" applyAlignment="1">
      <x:alignment vertical="center"/>
    </x:xf>
    <x:xf numFmtId="0" fontId="9" fillId="84" borderId="0" xfId="0" applyNumberFormat="1" applyFont="1" applyFill="1" applyBorder="1" applyAlignment="1">
      <x:alignment vertical="center" wrapText="1"/>
    </x:xf>
    <x:xf numFmtId="0" fontId="0" fillId="85" borderId="0" xfId="0" applyNumberFormat="1" applyFont="1" applyFill="1" applyBorder="1" applyAlignment="1">
      <x:alignment vertical="center"/>
    </x:xf>
    <x:xf numFmtId="0" fontId="3" fillId="85" borderId="0" xfId="0" applyNumberFormat="1" applyFont="1" applyFill="1" applyBorder="1" applyAlignment="1">
      <x:alignment vertical="center"/>
    </x:xf>
    <x:xf numFmtId="0" fontId="3" fillId="85" borderId="0" xfId="0" applyNumberFormat="1" applyFont="1" applyFill="1" applyBorder="1" applyAlignment="1">
      <x:alignment vertical="center" wrapText="1"/>
    </x:xf>
    <x:xf numFmtId="0" fontId="3" fillId="85" borderId="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 applyAlignment="1">
      <x:alignment vertical="center"/>
    </x:xf>
    <x:xf numFmtId="0" fontId="3" fillId="86" borderId="0" xfId="0" applyNumberFormat="1" applyFont="1" applyFill="1" applyBorder="1" applyAlignment="1">
      <x:alignment vertical="center"/>
    </x:xf>
    <x:xf numFmtId="0" fontId="3" fillId="86" borderId="0" xfId="0" applyNumberFormat="1" applyFont="1" applyFill="1" applyBorder="1" applyAlignment="1">
      <x:alignment horizontal="center" vertical="center"/>
    </x:xf>
    <x:xf numFmtId="0" fontId="0" fillId="87" borderId="0" xfId="0" applyNumberFormat="1" applyFont="1" applyFill="1" applyBorder="1" applyAlignment="1">
      <x:alignment vertical="center" wrapText="1"/>
    </x:xf>
    <x:xf numFmtId="0" fontId="9" fillId="87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 applyAlignment="1">
      <x:alignment vertical="center"/>
    </x:xf>
    <x:xf numFmtId="0" fontId="9" fillId="87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 applyAlignment="1">
      <x:alignment vertical="center" wrapText="1"/>
    </x:xf>
    <x:xf numFmtId="0" fontId="3" fillId="86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 applyAlignment="1">
      <x:alignment vertical="center"/>
    </x:xf>
    <x:xf numFmtId="0" fontId="7" fillId="88" borderId="0" xfId="0" applyNumberFormat="1" applyFont="1" applyFill="1" applyBorder="1" applyAlignment="1">
      <x:alignment vertical="center"/>
    </x:xf>
    <x:xf numFmtId="0" fontId="7" fillId="88" borderId="0" xfId="0" applyNumberFormat="1" applyFont="1" applyFill="1" applyBorder="1" applyAlignment="1">
      <x:alignment horizontal="center" vertical="center"/>
    </x:xf>
    <x:xf numFmtId="0" fontId="0" fillId="89" borderId="0" xfId="0" applyNumberFormat="1" applyFont="1" applyFill="1" applyBorder="1" applyAlignment="1">
      <x:alignment vertical="center"/>
    </x:xf>
    <x:xf numFmtId="0" fontId="3" fillId="89" borderId="0" xfId="0" applyNumberFormat="1" applyFont="1" applyFill="1" applyBorder="1" applyAlignment="1">
      <x:alignment vertical="center"/>
    </x:xf>
    <x:xf numFmtId="0" fontId="3" fillId="89" borderId="0" xfId="0" applyNumberFormat="1" applyFont="1" applyFill="1" applyBorder="1" applyAlignment="1">
      <x:alignment vertical="center" wrapText="1"/>
    </x:xf>
    <x:xf numFmtId="0" fontId="3" fillId="89" borderId="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 applyAlignment="1">
      <x:alignment vertical="center"/>
    </x:xf>
    <x:xf numFmtId="0" fontId="3" fillId="90" borderId="0" xfId="0" applyNumberFormat="1" applyFont="1" applyFill="1" applyBorder="1" applyAlignment="1">
      <x:alignment vertical="center"/>
    </x:xf>
    <x:xf numFmtId="0" fontId="3" fillId="90" borderId="0" xfId="0" applyNumberFormat="1" applyFont="1" applyFill="1" applyBorder="1" applyAlignment="1">
      <x:alignment vertical="center" wrapText="1"/>
    </x:xf>
    <x:xf numFmtId="0" fontId="3" fillId="90" borderId="0" xfId="0" applyNumberFormat="1" applyFont="1" applyFill="1" applyBorder="1" applyAlignment="1">
      <x:alignment horizontal="center" vertical="center" wrapText="1"/>
    </x:xf>
    <x:xf numFmtId="0" fontId="0" fillId="91" borderId="0" xfId="0" applyNumberFormat="1" applyFont="1" applyFill="1" applyBorder="1" applyAlignment="1">
      <x:alignment vertical="center"/>
    </x:xf>
    <x:xf numFmtId="0" fontId="3" fillId="91" borderId="0" xfId="0" applyNumberFormat="1" applyFont="1" applyFill="1" applyBorder="1" applyAlignment="1">
      <x:alignment vertical="center"/>
    </x:xf>
    <x:xf numFmtId="0" fontId="3" fillId="91" borderId="0" xfId="0" applyNumberFormat="1" applyFont="1" applyFill="1" applyBorder="1" applyAlignment="1">
      <x:alignment horizontal="center" vertical="center"/>
    </x:xf>
    <x:xf numFmtId="0" fontId="0" fillId="92" borderId="0" xfId="0" applyNumberFormat="1" applyFont="1" applyFill="1" applyBorder="1" applyAlignment="1">
      <x:alignment vertical="center"/>
    </x:xf>
    <x:xf numFmtId="0" fontId="9" fillId="92" borderId="0" xfId="0" applyNumberFormat="1" applyFont="1" applyFill="1" applyBorder="1" applyAlignment="1">
      <x:alignment vertical="center"/>
    </x:xf>
    <x:xf numFmtId="0" fontId="9" fillId="92" borderId="0" xfId="0" applyNumberFormat="1" applyFont="1" applyFill="1" applyBorder="1" applyAlignment="1">
      <x:alignment vertical="center" wrapText="1"/>
    </x:xf>
    <x:xf numFmtId="0" fontId="0" fillId="93" borderId="0" xfId="0" applyNumberFormat="1" applyFont="1" applyFill="1" applyBorder="1" applyAlignment="1">
      <x:alignment vertical="center"/>
    </x:xf>
    <x:xf numFmtId="0" fontId="3" fillId="93" borderId="0" xfId="0" applyNumberFormat="1" applyFont="1" applyFill="1" applyBorder="1" applyAlignment="1">
      <x:alignment vertical="center"/>
    </x:xf>
    <x:xf numFmtId="0" fontId="3" fillId="93" borderId="0" xfId="0" applyNumberFormat="1" applyFont="1" applyFill="1" applyBorder="1" applyAlignment="1">
      <x:alignment vertical="center" wrapText="1"/>
    </x:xf>
    <x:xf numFmtId="0" fontId="3" fillId="93" borderId="0" xfId="0" applyNumberFormat="1" applyFont="1" applyFill="1" applyBorder="1" applyAlignment="1">
      <x:alignment horizontal="center" vertical="center" wrapText="1"/>
    </x:xf>
    <x:xf numFmtId="0" fontId="0" fillId="94" borderId="0" xfId="0" applyNumberFormat="1" applyFont="1" applyFill="1" applyBorder="1" applyAlignment="1">
      <x:alignment vertical="center"/>
    </x:xf>
    <x:xf numFmtId="0" fontId="3" fillId="94" borderId="0" xfId="0" applyNumberFormat="1" applyFont="1" applyFill="1" applyBorder="1" applyAlignment="1">
      <x:alignment vertical="center"/>
    </x:xf>
    <x:xf numFmtId="0" fontId="3" fillId="94" borderId="0" xfId="0" applyNumberFormat="1" applyFont="1" applyFill="1" applyBorder="1" applyAlignment="1">
      <x:alignment horizontal="center" vertical="center"/>
    </x:xf>
    <x:xf numFmtId="0" fontId="0" fillId="95" borderId="0" xfId="0" applyNumberFormat="1" applyFont="1" applyFill="1" applyBorder="1" applyAlignment="1">
      <x:alignment vertical="center" wrapText="1"/>
    </x:xf>
    <x:xf numFmtId="0" fontId="9" fillId="95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 applyAlignment="1">
      <x:alignment vertical="center"/>
    </x:xf>
    <x:xf numFmtId="0" fontId="9" fillId="95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 applyAlignment="1">
      <x:alignment vertical="center" wrapText="1"/>
    </x:xf>
    <x:xf numFmtId="0" fontId="3" fillId="94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 applyAlignment="1">
      <x:alignment vertical="center"/>
    </x:xf>
    <x:xf numFmtId="0" fontId="7" fillId="96" borderId="0" xfId="0" applyNumberFormat="1" applyFont="1" applyFill="1" applyBorder="1" applyAlignment="1">
      <x:alignment vertical="center"/>
    </x:xf>
    <x:xf numFmtId="0" fontId="7" fillId="96" borderId="0" xfId="0" applyNumberFormat="1" applyFont="1" applyFill="1" applyBorder="1" applyAlignment="1">
      <x:alignment horizontal="center" vertical="center"/>
    </x:xf>
    <x:xf numFmtId="0" fontId="0" fillId="97" borderId="0" xfId="0" applyNumberFormat="1" applyFont="1" applyFill="1" applyBorder="1" applyAlignment="1">
      <x:alignment vertical="center"/>
    </x:xf>
    <x:xf numFmtId="0" fontId="3" fillId="97" borderId="0" xfId="0" applyNumberFormat="1" applyFont="1" applyFill="1" applyBorder="1" applyAlignment="1">
      <x:alignment vertical="center"/>
    </x:xf>
    <x:xf numFmtId="0" fontId="3" fillId="97" borderId="0" xfId="0" applyNumberFormat="1" applyFont="1" applyFill="1" applyBorder="1" applyAlignment="1">
      <x:alignment vertical="center" wrapText="1"/>
    </x:xf>
    <x:xf numFmtId="0" fontId="3" fillId="97" borderId="0" xfId="0" applyNumberFormat="1" applyFont="1" applyFill="1" applyBorder="1" applyAlignment="1">
      <x:alignment horizontal="center" vertical="center" wrapText="1"/>
    </x:xf>
    <x:xf numFmtId="0" fontId="0" fillId="98" borderId="0" xfId="0" applyNumberFormat="1" applyFont="1" applyFill="1" applyBorder="1" applyAlignment="1">
      <x:alignment vertical="center"/>
    </x:xf>
    <x:xf numFmtId="0" fontId="3" fillId="98" borderId="0" xfId="0" applyNumberFormat="1" applyFont="1" applyFill="1" applyBorder="1" applyAlignment="1">
      <x:alignment vertical="center"/>
    </x:xf>
    <x:xf numFmtId="0" fontId="3" fillId="98" borderId="0" xfId="0" applyNumberFormat="1" applyFont="1" applyFill="1" applyBorder="1" applyAlignment="1">
      <x:alignment horizontal="center" vertical="center"/>
    </x:xf>
    <x:xf numFmtId="0" fontId="0" fillId="99" borderId="0" xfId="0" applyNumberFormat="1" applyFont="1" applyFill="1" applyBorder="1" applyAlignment="1">
      <x:alignment vertical="center"/>
    </x:xf>
    <x:xf numFmtId="0" fontId="9" fillId="99" borderId="0" xfId="0" applyNumberFormat="1" applyFont="1" applyFill="1" applyBorder="1" applyAlignment="1">
      <x:alignment vertical="center"/>
    </x:xf>
    <x:xf numFmtId="0" fontId="0" fillId="100" borderId="0" xfId="0" applyNumberFormat="1" applyFont="1" applyFill="1" applyBorder="1" applyAlignment="1">
      <x:alignment vertical="center" wrapText="1"/>
    </x:xf>
    <x:xf numFmtId="0" fontId="9" fillId="100" borderId="0" xfId="0" applyNumberFormat="1" applyFont="1" applyFill="1" applyBorder="1" applyAlignment="1">
      <x:alignment vertical="center" wrapText="1"/>
    </x:xf>
    <x:xf numFmtId="0" fontId="0" fillId="101" borderId="0" xfId="0" applyNumberFormat="1" applyFont="1" applyFill="1" applyBorder="1" applyAlignment="1">
      <x:alignment vertical="center"/>
    </x:xf>
    <x:xf numFmtId="0" fontId="3" fillId="101" borderId="0" xfId="0" applyNumberFormat="1" applyFont="1" applyFill="1" applyBorder="1" applyAlignment="1">
      <x:alignment vertical="center"/>
    </x:xf>
    <x:xf numFmtId="0" fontId="3" fillId="101" borderId="0" xfId="0" applyNumberFormat="1" applyFont="1" applyFill="1" applyBorder="1" applyAlignment="1">
      <x:alignment horizontal="center" vertical="center"/>
    </x:xf>
    <x:xf numFmtId="0" fontId="0" fillId="100" borderId="0" xfId="0" applyNumberFormat="1" applyFont="1" applyFill="1" applyBorder="1" applyAlignment="1">
      <x:alignment vertical="center"/>
    </x:xf>
    <x:xf numFmtId="0" fontId="9" fillId="100" borderId="0" xfId="0" applyNumberFormat="1" applyFont="1" applyFill="1" applyBorder="1" applyAlignment="1">
      <x:alignment vertical="center"/>
    </x:xf>
    <x:xf numFmtId="0" fontId="0" fillId="102" borderId="0" xfId="0" applyNumberFormat="1" applyFont="1" applyFill="1" applyBorder="1" applyAlignment="1">
      <x:alignment vertical="center"/>
    </x:xf>
    <x:xf numFmtId="0" fontId="7" fillId="102" borderId="0" xfId="0" applyNumberFormat="1" applyFont="1" applyFill="1" applyBorder="1" applyAlignment="1">
      <x:alignment vertical="center"/>
    </x:xf>
    <x:xf numFmtId="0" fontId="7" fillId="102" borderId="0" xfId="0" applyNumberFormat="1" applyFont="1" applyFill="1" applyBorder="1" applyAlignment="1">
      <x:alignment horizontal="center" vertical="center"/>
    </x:xf>
    <x:xf numFmtId="0" fontId="0" fillId="103" borderId="0" xfId="0" applyNumberFormat="1" applyFont="1" applyFill="1" applyBorder="1" applyAlignment="1">
      <x:alignment vertical="center"/>
    </x:xf>
    <x:xf numFmtId="0" fontId="3" fillId="103" borderId="0" xfId="0" applyNumberFormat="1" applyFont="1" applyFill="1" applyBorder="1" applyAlignment="1">
      <x:alignment vertical="center"/>
    </x:xf>
    <x:xf numFmtId="0" fontId="3" fillId="103" borderId="0" xfId="0" applyNumberFormat="1" applyFont="1" applyFill="1" applyBorder="1" applyAlignment="1">
      <x:alignment vertical="center" wrapText="1"/>
    </x:xf>
    <x:xf numFmtId="0" fontId="3" fillId="10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104" borderId="0" xfId="0" applyNumberFormat="1" applyFont="1" applyFill="1" applyBorder="1" applyAlignment="1">
      <x:alignment vertical="center"/>
    </x:xf>
    <x:xf numFmtId="0" fontId="3" fillId="104" borderId="0" xfId="0" applyNumberFormat="1" applyFont="1" applyFill="1" applyBorder="1" applyAlignment="1">
      <x:alignment vertical="center"/>
    </x:xf>
    <x:xf numFmtId="0" fontId="3" fillId="104" borderId="0" xfId="0" applyNumberFormat="1" applyFont="1" applyFill="1" applyBorder="1" applyAlignment="1">
      <x:alignment vertical="center" wrapText="1"/>
    </x:xf>
    <x:xf numFmtId="0" fontId="3" fillId="104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 applyAlignment="1">
      <x:alignment vertical="center"/>
    </x:xf>
    <x:xf numFmtId="0" fontId="9" fillId="105" borderId="0" xfId="0" applyNumberFormat="1" applyFont="1" applyFill="1" applyBorder="1" applyAlignment="1">
      <x:alignment vertical="center"/>
    </x:xf>
    <x:xf numFmtId="0" fontId="9" fillId="105" borderId="0" xfId="0" applyNumberFormat="1" applyFont="1" applyFill="1" applyBorder="1" applyAlignment="1">
      <x:alignment vertical="center" wrapText="1"/>
    </x:xf>
    <x:xf numFmtId="0" fontId="0" fillId="106" borderId="0" xfId="0" applyNumberFormat="1" applyFont="1" applyFill="1" applyBorder="1" applyAlignment="1">
      <x:alignment vertical="center"/>
    </x:xf>
    <x:xf numFmtId="0" fontId="3" fillId="106" borderId="0" xfId="0" applyNumberFormat="1" applyFont="1" applyFill="1" applyBorder="1" applyAlignment="1">
      <x:alignment vertical="center"/>
    </x:xf>
    <x:xf numFmtId="0" fontId="3" fillId="106" borderId="0" xfId="0" applyNumberFormat="1" applyFont="1" applyFill="1" applyBorder="1" applyAlignment="1">
      <x:alignment horizontal="center" vertical="center"/>
    </x:xf>
    <x:xf numFmtId="0" fontId="0" fillId="107" borderId="0" xfId="0" applyNumberFormat="1" applyFont="1" applyFill="1" applyBorder="1" applyAlignment="1">
      <x:alignment vertical="center" wrapText="1"/>
    </x:xf>
    <x:xf numFmtId="0" fontId="9" fillId="107" borderId="0" xfId="0" applyNumberFormat="1" applyFont="1" applyFill="1" applyBorder="1" applyAlignment="1">
      <x:alignment vertical="center" wrapText="1"/>
    </x:xf>
    <x:xf numFmtId="0" fontId="3" fillId="103" borderId="0" xfId="0" applyNumberFormat="1" applyFont="1" applyFill="1" applyBorder="1" applyAlignment="1">
      <x:alignment horizontal="center" vertical="center"/>
    </x:xf>
    <x:xf numFmtId="0" fontId="0" fillId="108" borderId="0" xfId="0" applyNumberFormat="1" applyFont="1" applyFill="1" applyBorder="1" applyAlignment="1">
      <x:alignment vertical="center"/>
    </x:xf>
    <x:xf numFmtId="0" fontId="3" fillId="108" borderId="0" xfId="0" applyNumberFormat="1" applyFont="1" applyFill="1" applyBorder="1" applyAlignment="1">
      <x:alignment vertical="center"/>
    </x:xf>
    <x:xf numFmtId="0" fontId="3" fillId="108" borderId="0" xfId="0" applyNumberFormat="1" applyFont="1" applyFill="1" applyBorder="1" applyAlignment="1">
      <x:alignment vertical="center" wrapText="1"/>
    </x:xf>
    <x:xf numFmtId="0" fontId="3" fillId="108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 applyAlignment="1">
      <x:alignment vertical="center"/>
    </x:xf>
    <x:xf numFmtId="0" fontId="9" fillId="107" borderId="0" xfId="0" applyNumberFormat="1" applyFont="1" applyFill="1" applyBorder="1" applyAlignment="1">
      <x:alignment vertical="center"/>
    </x:xf>
    <x:xf numFmtId="0" fontId="0" fillId="109" borderId="0" xfId="0" applyNumberFormat="1" applyFont="1" applyFill="1" applyBorder="1" applyAlignment="1">
      <x:alignment vertical="center"/>
    </x:xf>
    <x:xf numFmtId="0" fontId="3" fillId="109" borderId="0" xfId="0" applyNumberFormat="1" applyFont="1" applyFill="1" applyBorder="1" applyAlignment="1">
      <x:alignment vertical="center"/>
    </x:xf>
    <x:xf numFmtId="0" fontId="3" fillId="109" borderId="0" xfId="0" applyNumberFormat="1" applyFont="1" applyFill="1" applyBorder="1" applyAlignment="1">
      <x:alignment horizontal="center" vertical="center"/>
    </x:xf>
    <x:xf numFmtId="0" fontId="0" fillId="105" borderId="0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0" fillId="110" borderId="0" xfId="0" applyNumberFormat="1" applyFont="1" applyFill="1" applyBorder="1" applyAlignment="1">
      <x:alignment vertical="center"/>
    </x:xf>
    <x:xf numFmtId="0" fontId="3" fillId="110" borderId="0" xfId="0" applyNumberFormat="1" applyFont="1" applyFill="1" applyBorder="1" applyAlignment="1">
      <x:alignment vertical="center"/>
    </x:xf>
    <x:xf numFmtId="0" fontId="3" fillId="110" borderId="0" xfId="0" applyNumberFormat="1" applyFont="1" applyFill="1" applyBorder="1" applyAlignment="1">
      <x:alignment vertical="center" wrapText="1"/>
    </x:xf>
    <x:xf numFmtId="0" fontId="3" fillId="110" borderId="0" xfId="0" applyNumberFormat="1" applyFont="1" applyFill="1" applyBorder="1" applyAlignment="1">
      <x:alignment horizontal="center" vertical="center" wrapText="1"/>
    </x:xf>
    <x:xf numFmtId="0" fontId="0" fillId="111" borderId="0" xfId="0" applyNumberFormat="1" applyFont="1" applyFill="1" applyBorder="1" applyAlignment="1">
      <x:alignment vertical="center"/>
    </x:xf>
    <x:xf numFmtId="0" fontId="7" fillId="111" borderId="0" xfId="0" applyNumberFormat="1" applyFont="1" applyFill="1" applyBorder="1" applyAlignment="1">
      <x:alignment vertical="center"/>
    </x:xf>
    <x:xf numFmtId="0" fontId="7" fillId="111" borderId="0" xfId="0" applyNumberFormat="1" applyFont="1" applyFill="1" applyBorder="1" applyAlignment="1">
      <x:alignment horizontal="center" vertical="center"/>
    </x:xf>
    <x:xf numFmtId="0" fontId="0" fillId="112" borderId="0" xfId="0" applyNumberFormat="1" applyFont="1" applyFill="1" applyBorder="1" applyAlignment="1">
      <x:alignment vertical="center"/>
    </x:xf>
    <x:xf numFmtId="0" fontId="3" fillId="112" borderId="0" xfId="0" applyNumberFormat="1" applyFont="1" applyFill="1" applyBorder="1" applyAlignment="1">
      <x:alignment vertical="center"/>
    </x:xf>
    <x:xf numFmtId="0" fontId="3" fillId="112" borderId="0" xfId="0" applyNumberFormat="1" applyFont="1" applyFill="1" applyBorder="1" applyAlignment="1">
      <x:alignment vertical="center" wrapText="1"/>
    </x:xf>
    <x:xf numFmtId="0" fontId="3" fillId="112" borderId="0" xfId="0" applyNumberFormat="1" applyFont="1" applyFill="1" applyBorder="1" applyAlignment="1">
      <x:alignment horizontal="center" vertical="center" wrapText="1"/>
    </x:xf>
    <x:xf numFmtId="0" fontId="0" fillId="113" borderId="0" xfId="0" applyNumberFormat="1" applyFont="1" applyFill="1" applyBorder="1" applyAlignment="1">
      <x:alignment vertical="center"/>
    </x:xf>
    <x:xf numFmtId="0" fontId="3" fillId="113" borderId="0" xfId="0" applyNumberFormat="1" applyFont="1" applyFill="1" applyBorder="1" applyAlignment="1">
      <x:alignment vertical="center"/>
    </x:xf>
    <x:xf numFmtId="0" fontId="3" fillId="113" borderId="0" xfId="0" applyNumberFormat="1" applyFont="1" applyFill="1" applyBorder="1" applyAlignment="1">
      <x:alignment horizontal="center" vertical="center"/>
    </x:xf>
    <x:xf numFmtId="0" fontId="0" fillId="114" borderId="0" xfId="0" applyNumberFormat="1" applyFont="1" applyFill="1" applyBorder="1" applyAlignment="1">
      <x:alignment vertical="center" wrapText="1"/>
    </x:xf>
    <x:xf numFmtId="0" fontId="9" fillId="114" borderId="0" xfId="0" applyNumberFormat="1" applyFont="1" applyFill="1" applyBorder="1" applyAlignment="1">
      <x:alignment vertical="center" wrapText="1"/>
    </x:xf>
    <x:xf numFmtId="0" fontId="3" fillId="115" borderId="0" xfId="0" applyNumberFormat="1" applyFont="1" applyFill="1" applyBorder="1" applyAlignment="1">
      <x:alignment horizontal="center" vertical="center"/>
    </x:xf>
    <x:xf numFmtId="0" fontId="0" fillId="114" borderId="0" xfId="0" applyNumberFormat="1" applyFont="1" applyFill="1" applyBorder="1" applyAlignment="1">
      <x:alignment vertical="center"/>
    </x:xf>
    <x:xf numFmtId="0" fontId="9" fillId="114" borderId="0" xfId="0" applyNumberFormat="1" applyFont="1" applyFill="1" applyBorder="1" applyAlignment="1">
      <x:alignment vertical="center"/>
    </x:xf>
    <x:xf numFmtId="0" fontId="0" fillId="116" borderId="0" xfId="0" applyNumberFormat="1" applyFont="1" applyFill="1" applyBorder="1" applyAlignment="1">
      <x:alignment vertical="center" wrapText="1"/>
    </x:xf>
    <x:xf numFmtId="0" fontId="9" fillId="116" borderId="0" xfId="0" applyNumberFormat="1" applyFont="1" applyFill="1" applyBorder="1" applyAlignment="1">
      <x:alignment vertical="center" wrapText="1"/>
    </x:xf>
    <x:xf numFmtId="0" fontId="3" fillId="110" borderId="0" xfId="0" applyNumberFormat="1" applyFont="1" applyFill="1" applyBorder="1" applyAlignment="1">
      <x:alignment horizontal="center" vertical="center"/>
    </x:xf>
    <x:xf numFmtId="0" fontId="0" fillId="110" borderId="0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 applyAlignment="1">
      <x:alignment vertical="center"/>
    </x:xf>
    <x:xf numFmtId="0" fontId="7" fillId="117" borderId="0" xfId="0" applyNumberFormat="1" applyFont="1" applyFill="1" applyBorder="1" applyAlignment="1">
      <x:alignment vertical="center"/>
    </x:xf>
    <x:xf numFmtId="0" fontId="7" fillId="117" borderId="0" xfId="0" applyNumberFormat="1" applyFont="1" applyFill="1" applyBorder="1" applyAlignment="1">
      <x:alignment horizontal="center" vertical="center"/>
    </x:xf>
    <x:xf numFmtId="0" fontId="0" fillId="118" borderId="0" xfId="0" applyNumberFormat="1" applyFont="1" applyFill="1" applyBorder="1" applyAlignment="1">
      <x:alignment vertical="center"/>
    </x:xf>
    <x:xf numFmtId="0" fontId="3" fillId="118" borderId="0" xfId="0" applyNumberFormat="1" applyFont="1" applyFill="1" applyBorder="1" applyAlignment="1">
      <x:alignment vertical="center"/>
    </x:xf>
    <x:xf numFmtId="0" fontId="3" fillId="118" borderId="0" xfId="0" applyNumberFormat="1" applyFont="1" applyFill="1" applyBorder="1" applyAlignment="1">
      <x:alignment vertical="center" wrapText="1"/>
    </x:xf>
    <x:xf numFmtId="0" fontId="3" fillId="118" borderId="0" xfId="0" applyNumberFormat="1" applyFont="1" applyFill="1" applyBorder="1" applyAlignment="1">
      <x:alignment horizontal="center" vertical="center" wrapText="1"/>
    </x:xf>
    <x:xf numFmtId="0" fontId="0" fillId="119" borderId="0" xfId="0" applyNumberFormat="1" applyFont="1" applyFill="1" applyBorder="1" applyAlignment="1">
      <x:alignment vertical="center"/>
    </x:xf>
    <x:xf numFmtId="0" fontId="3" fillId="119" borderId="0" xfId="0" applyNumberFormat="1" applyFont="1" applyFill="1" applyBorder="1" applyAlignment="1">
      <x:alignment vertical="center"/>
    </x:xf>
    <x:xf numFmtId="0" fontId="3" fillId="119" borderId="0" xfId="0" applyNumberFormat="1" applyFont="1" applyFill="1" applyBorder="1" applyAlignment="1">
      <x:alignment vertical="center" wrapText="1"/>
    </x:xf>
    <x:xf numFmtId="0" fontId="3" fillId="119" borderId="0" xfId="0" applyNumberFormat="1" applyFont="1" applyFill="1" applyBorder="1" applyAlignment="1">
      <x:alignment horizontal="center" vertical="center" wrapText="1"/>
    </x:xf>
    <x:xf numFmtId="0" fontId="0" fillId="120" borderId="0" xfId="0" applyNumberFormat="1" applyFont="1" applyFill="1" applyBorder="1" applyAlignment="1">
      <x:alignment vertical="center"/>
    </x:xf>
    <x:xf numFmtId="0" fontId="3" fillId="120" borderId="0" xfId="0" applyNumberFormat="1" applyFont="1" applyFill="1" applyBorder="1" applyAlignment="1">
      <x:alignment vertical="center"/>
    </x:xf>
    <x:xf numFmtId="0" fontId="3" fillId="120" borderId="0" xfId="0" applyNumberFormat="1" applyFont="1" applyFill="1" applyBorder="1" applyAlignment="1">
      <x:alignment vertical="center" wrapText="1"/>
    </x:xf>
    <x:xf numFmtId="0" fontId="3" fillId="120" borderId="0" xfId="0" applyNumberFormat="1" applyFont="1" applyFill="1" applyBorder="1" applyAlignment="1">
      <x:alignment horizontal="center" vertical="center" wrapText="1"/>
    </x:xf>
    <x:xf numFmtId="0" fontId="0" fillId="121" borderId="0" xfId="0" applyNumberFormat="1" applyFont="1" applyFill="1" applyBorder="1" applyAlignment="1">
      <x:alignment vertical="center"/>
    </x:xf>
    <x:xf numFmtId="0" fontId="3" fillId="121" borderId="0" xfId="0" applyNumberFormat="1" applyFont="1" applyFill="1" applyBorder="1" applyAlignment="1">
      <x:alignment vertical="center"/>
    </x:xf>
    <x:xf numFmtId="0" fontId="3" fillId="121" borderId="0" xfId="0" applyNumberFormat="1" applyFont="1" applyFill="1" applyBorder="1" applyAlignment="1">
      <x:alignment horizontal="center" vertical="center"/>
    </x:xf>
    <x:xf numFmtId="0" fontId="0" fillId="122" borderId="0" xfId="0" applyNumberFormat="1" applyFont="1" applyFill="1" applyBorder="1" applyAlignment="1">
      <x:alignment vertical="center" wrapText="1"/>
    </x:xf>
    <x:xf numFmtId="0" fontId="9" fillId="122" borderId="0" xfId="0" applyNumberFormat="1" applyFont="1" applyFill="1" applyBorder="1" applyAlignment="1">
      <x:alignment vertical="center" wrapText="1"/>
    </x:xf>
    <x:xf numFmtId="0" fontId="0" fillId="123" borderId="0" xfId="0" applyNumberFormat="1" applyFont="1" applyFill="1" applyBorder="1" applyAlignment="1">
      <x:alignment vertical="center" wrapText="1"/>
    </x:xf>
    <x:xf numFmtId="0" fontId="9" fillId="123" borderId="0" xfId="0" applyNumberFormat="1" applyFont="1" applyFill="1" applyBorder="1" applyAlignment="1">
      <x:alignment vertical="center" wrapText="1"/>
    </x:xf>
    <x:xf numFmtId="0" fontId="0" fillId="120" borderId="0" xfId="0" applyNumberFormat="1" applyFont="1" applyFill="1" applyBorder="1" applyAlignment="1">
      <x:alignment vertical="center" wrapText="1"/>
    </x:xf>
    <x:xf numFmtId="0" fontId="3" fillId="124" borderId="0" xfId="0" applyNumberFormat="1" applyFont="1" applyFill="1" applyBorder="1" applyAlignment="1">
      <x:alignment horizontal="center" vertical="center" wrapText="1"/>
    </x:xf>
    <x:xf numFmtId="0" fontId="0" fillId="125" borderId="0" xfId="0" applyNumberFormat="1" applyFont="1" applyFill="1" applyBorder="1" applyAlignment="1">
      <x:alignment vertical="center"/>
    </x:xf>
    <x:xf numFmtId="0" fontId="7" fillId="125" borderId="0" xfId="0" applyNumberFormat="1" applyFont="1" applyFill="1" applyBorder="1" applyAlignment="1">
      <x:alignment vertical="center"/>
    </x:xf>
    <x:xf numFmtId="0" fontId="7" fillId="125" borderId="0" xfId="0" applyNumberFormat="1" applyFont="1" applyFill="1" applyBorder="1" applyAlignment="1">
      <x:alignment horizontal="center" vertical="center"/>
    </x:xf>
    <x:xf numFmtId="0" fontId="0" fillId="126" borderId="0" xfId="0" applyNumberFormat="1" applyFont="1" applyFill="1" applyBorder="1" applyAlignment="1">
      <x:alignment vertical="center"/>
    </x:xf>
    <x:xf numFmtId="0" fontId="3" fillId="126" borderId="0" xfId="0" applyNumberFormat="1" applyFont="1" applyFill="1" applyBorder="1" applyAlignment="1">
      <x:alignment vertical="center"/>
    </x:xf>
    <x:xf numFmtId="0" fontId="3" fillId="126" borderId="0" xfId="0" applyNumberFormat="1" applyFont="1" applyFill="1" applyBorder="1" applyAlignment="1">
      <x:alignment vertical="center" wrapText="1"/>
    </x:xf>
    <x:xf numFmtId="0" fontId="3" fillId="126" borderId="0" xfId="0" applyNumberFormat="1" applyFont="1" applyFill="1" applyBorder="1" applyAlignment="1">
      <x:alignment horizontal="center" vertical="center" wrapText="1"/>
    </x:xf>
    <x:xf numFmtId="0" fontId="0" fillId="127" borderId="0" xfId="0" applyNumberFormat="1" applyFont="1" applyFill="1" applyBorder="1" applyAlignment="1">
      <x:alignment vertical="center"/>
    </x:xf>
    <x:xf numFmtId="0" fontId="3" fillId="127" borderId="0" xfId="0" applyNumberFormat="1" applyFont="1" applyFill="1" applyBorder="1" applyAlignment="1">
      <x:alignment vertical="center"/>
    </x:xf>
    <x:xf numFmtId="0" fontId="3" fillId="127" borderId="0" xfId="0" applyNumberFormat="1" applyFont="1" applyFill="1" applyBorder="1" applyAlignment="1">
      <x:alignment horizontal="center" vertical="center"/>
    </x:xf>
    <x:xf numFmtId="0" fontId="0" fillId="128" borderId="0" xfId="0" applyNumberFormat="1" applyFont="1" applyFill="1" applyBorder="1" applyAlignment="1">
      <x:alignment vertical="center"/>
    </x:xf>
    <x:xf numFmtId="0" fontId="9" fillId="128" borderId="0" xfId="0" applyNumberFormat="1" applyFont="1" applyFill="1" applyBorder="1" applyAlignment="1">
      <x:alignment vertical="center"/>
    </x:xf>
    <x:xf numFmtId="0" fontId="9" fillId="128" borderId="0" xfId="0" applyNumberFormat="1" applyFont="1" applyFill="1" applyBorder="1" applyAlignment="1">
      <x:alignment vertical="center" wrapText="1"/>
    </x:xf>
    <x:xf numFmtId="0" fontId="0" fillId="129" borderId="0" xfId="0" applyNumberFormat="1" applyFont="1" applyFill="1" applyBorder="1" applyAlignment="1">
      <x:alignment vertical="center"/>
    </x:xf>
    <x:xf numFmtId="0" fontId="9" fillId="129" borderId="0" xfId="0" applyNumberFormat="1" applyFont="1" applyFill="1" applyBorder="1" applyAlignment="1">
      <x:alignment vertical="center"/>
    </x:xf>
    <x:xf numFmtId="0" fontId="9" fillId="129" borderId="0" xfId="0" applyNumberFormat="1" applyFont="1" applyFill="1" applyBorder="1" applyAlignment="1">
      <x:alignment vertical="center" wrapText="1"/>
    </x:xf>
    <x:xf numFmtId="0" fontId="0" fillId="130" borderId="0" xfId="0" applyNumberFormat="1" applyFont="1" applyFill="1" applyBorder="1" applyAlignment="1">
      <x:alignment vertical="center"/>
    </x:xf>
    <x:xf numFmtId="0" fontId="3" fillId="130" borderId="0" xfId="0" applyNumberFormat="1" applyFont="1" applyFill="1" applyBorder="1" applyAlignment="1">
      <x:alignment vertical="center"/>
    </x:xf>
    <x:xf numFmtId="0" fontId="3" fillId="130" borderId="0" xfId="0" applyNumberFormat="1" applyFont="1" applyFill="1" applyBorder="1" applyAlignment="1">
      <x:alignment horizontal="center" vertical="center"/>
    </x:xf>
    <x:xf numFmtId="0" fontId="0" fillId="129" borderId="0" xfId="0" applyNumberFormat="1" applyFont="1" applyFill="1" applyBorder="1" applyAlignment="1">
      <x:alignment vertical="center" wrapText="1"/>
    </x:xf>
    <x:xf numFmtId="0" fontId="0" fillId="124" borderId="0" xfId="0" applyNumberFormat="1" applyFont="1" applyFill="1" applyBorder="1" applyAlignment="1">
      <x:alignment vertical="center" wrapText="1"/>
    </x:xf>
    <x:xf numFmtId="0" fontId="3" fillId="124" borderId="0" xfId="0" applyNumberFormat="1" applyFont="1" applyFill="1" applyBorder="1" applyAlignment="1">
      <x:alignment vertical="center" wrapText="1"/>
    </x:xf>
    <x:xf numFmtId="0" fontId="0" fillId="131" borderId="0" xfId="0" applyNumberFormat="1" applyFont="1" applyFill="1" applyBorder="1" applyAlignment="1">
      <x:alignment vertical="center"/>
    </x:xf>
    <x:xf numFmtId="0" fontId="3" fillId="131" borderId="0" xfId="0" applyNumberFormat="1" applyFont="1" applyFill="1" applyBorder="1" applyAlignment="1">
      <x:alignment vertical="center"/>
    </x:xf>
    <x:xf numFmtId="0" fontId="3" fillId="131" borderId="0" xfId="0" applyNumberFormat="1" applyFont="1" applyFill="1" applyBorder="1" applyAlignment="1">
      <x:alignment vertical="center" wrapText="1"/>
    </x:xf>
    <x:xf numFmtId="0" fontId="0" fillId="132" borderId="0" xfId="0" applyNumberFormat="1" applyFont="1" applyFill="1" applyBorder="1" applyAlignment="1">
      <x:alignment vertical="center"/>
    </x:xf>
    <x:xf numFmtId="0" fontId="7" fillId="132" borderId="0" xfId="0" applyNumberFormat="1" applyFont="1" applyFill="1" applyBorder="1" applyAlignment="1">
      <x:alignment vertical="center"/>
    </x:xf>
    <x:xf numFmtId="0" fontId="7" fillId="132" borderId="0" xfId="0" applyNumberFormat="1" applyFont="1" applyFill="1" applyBorder="1" applyAlignment="1">
      <x:alignment horizontal="center" vertical="center"/>
    </x:xf>
    <x:xf numFmtId="0" fontId="0" fillId="133" borderId="0" xfId="0" applyNumberFormat="1" applyFont="1" applyFill="1" applyBorder="1" applyAlignment="1">
      <x:alignment vertical="center"/>
    </x:xf>
    <x:xf numFmtId="0" fontId="3" fillId="133" borderId="0" xfId="0" applyNumberFormat="1" applyFont="1" applyFill="1" applyBorder="1" applyAlignment="1">
      <x:alignment vertical="center"/>
    </x:xf>
    <x:xf numFmtId="0" fontId="3" fillId="133" borderId="0" xfId="0" applyNumberFormat="1" applyFont="1" applyFill="1" applyBorder="1" applyAlignment="1">
      <x:alignment vertical="center" wrapText="1"/>
    </x:xf>
    <x:xf numFmtId="0" fontId="3" fillId="133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/>
    </x:xf>
    <x:xf numFmtId="0" fontId="0" fillId="134" borderId="0" xfId="0" applyNumberFormat="1" applyFont="1" applyFill="1" applyBorder="1" applyAlignment="1">
      <x:alignment vertical="center"/>
    </x:xf>
    <x:xf numFmtId="0" fontId="3" fillId="134" borderId="0" xfId="0" applyNumberFormat="1" applyFont="1" applyFill="1" applyBorder="1" applyAlignment="1">
      <x:alignment vertical="center"/>
    </x:xf>
    <x:xf numFmtId="0" fontId="3" fillId="134" borderId="0" xfId="0" applyNumberFormat="1" applyFont="1" applyFill="1" applyBorder="1" applyAlignment="1">
      <x:alignment horizontal="center" vertical="center"/>
    </x:xf>
    <x:xf numFmtId="0" fontId="0" fillId="135" borderId="0" xfId="0" applyNumberFormat="1" applyFont="1" applyFill="1" applyBorder="1" applyAlignment="1">
      <x:alignment vertical="center"/>
    </x:xf>
    <x:xf numFmtId="0" fontId="9" fillId="135" borderId="0" xfId="0" applyNumberFormat="1" applyFont="1" applyFill="1" applyBorder="1" applyAlignment="1">
      <x:alignment vertical="center"/>
    </x:xf>
    <x:xf numFmtId="0" fontId="9" fillId="135" borderId="0" xfId="0" applyNumberFormat="1" applyFont="1" applyFill="1" applyBorder="1" applyAlignment="1">
      <x:alignment vertical="center" wrapText="1"/>
    </x:xf>
    <x:xf numFmtId="0" fontId="0" fillId="136" borderId="0" xfId="0" applyNumberFormat="1" applyFont="1" applyFill="1" applyBorder="1" applyAlignment="1">
      <x:alignment vertical="center"/>
    </x:xf>
    <x:xf numFmtId="0" fontId="3" fillId="136" borderId="0" xfId="0" applyNumberFormat="1" applyFont="1" applyFill="1" applyBorder="1" applyAlignment="1">
      <x:alignment vertical="center"/>
    </x:xf>
    <x:xf numFmtId="0" fontId="3" fillId="136" borderId="0" xfId="0" applyNumberFormat="1" applyFont="1" applyFill="1" applyBorder="1" applyAlignment="1">
      <x:alignment horizontal="center" vertical="center"/>
    </x:xf>
    <x:xf numFmtId="0" fontId="0" fillId="137" borderId="0" xfId="0" applyNumberFormat="1" applyFont="1" applyFill="1" applyBorder="1" applyAlignment="1">
      <x:alignment vertical="center"/>
    </x:xf>
    <x:xf numFmtId="0" fontId="9" fillId="137" borderId="0" xfId="0" applyNumberFormat="1" applyFont="1" applyFill="1" applyBorder="1" applyAlignment="1">
      <x:alignment vertical="center"/>
    </x:xf>
    <x:xf numFmtId="0" fontId="9" fillId="137" borderId="0" xfId="0" applyNumberFormat="1" applyFont="1" applyFill="1" applyBorder="1" applyAlignment="1">
      <x:alignment vertical="center" wrapText="1"/>
    </x:xf>
    <x:xf numFmtId="0" fontId="0" fillId="131" borderId="0" xfId="0" applyNumberFormat="1" applyFont="1" applyFill="1" applyBorder="1" applyAlignment="1">
      <x:alignment vertical="center" wrapText="1"/>
    </x:xf>
    <x:xf numFmtId="0" fontId="0" fillId="138" borderId="0" xfId="0" applyNumberFormat="1" applyFont="1" applyFill="1" applyBorder="1" applyAlignment="1">
      <x:alignment vertical="center"/>
    </x:xf>
    <x:xf numFmtId="0" fontId="7" fillId="138" borderId="0" xfId="0" applyNumberFormat="1" applyFont="1" applyFill="1" applyBorder="1" applyAlignment="1">
      <x:alignment vertical="center"/>
    </x:xf>
    <x:xf numFmtId="0" fontId="7" fillId="138" borderId="0" xfId="0" applyNumberFormat="1" applyFont="1" applyFill="1" applyBorder="1" applyAlignment="1">
      <x:alignment horizontal="center" vertical="center"/>
    </x:xf>
    <x:xf numFmtId="0" fontId="0" fillId="139" borderId="0" xfId="0" applyNumberFormat="1" applyFont="1" applyFill="1" applyBorder="1" applyAlignment="1">
      <x:alignment vertical="center"/>
    </x:xf>
    <x:xf numFmtId="0" fontId="3" fillId="139" borderId="0" xfId="0" applyNumberFormat="1" applyFont="1" applyFill="1" applyBorder="1" applyAlignment="1">
      <x:alignment vertical="center"/>
    </x:xf>
    <x:xf numFmtId="0" fontId="3" fillId="139" borderId="0" xfId="0" applyNumberFormat="1" applyFont="1" applyFill="1" applyBorder="1" applyAlignment="1">
      <x:alignment vertical="center" wrapText="1"/>
    </x:xf>
    <x:xf numFmtId="0" fontId="3" fillId="139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0" fontId="0" fillId="140" borderId="0" xfId="0" applyNumberFormat="1" applyFont="1" applyFill="1" applyBorder="1" applyAlignment="1">
      <x:alignment vertical="center"/>
    </x:xf>
    <x:xf numFmtId="0" fontId="3" fillId="140" borderId="0" xfId="0" applyNumberFormat="1" applyFont="1" applyFill="1" applyBorder="1" applyAlignment="1">
      <x:alignment vertical="center"/>
    </x:xf>
    <x:xf numFmtId="0" fontId="3" fillId="140" borderId="0" xfId="0" applyNumberFormat="1" applyFont="1" applyFill="1" applyBorder="1" applyAlignment="1">
      <x:alignment horizontal="center" vertical="center"/>
    </x:xf>
    <x:xf numFmtId="0" fontId="0" fillId="141" borderId="0" xfId="0" applyNumberFormat="1" applyFont="1" applyFill="1" applyBorder="1" applyAlignment="1">
      <x:alignment vertical="center"/>
    </x:xf>
    <x:xf numFmtId="0" fontId="9" fillId="141" borderId="0" xfId="0" applyNumberFormat="1" applyFont="1" applyFill="1" applyBorder="1" applyAlignment="1">
      <x:alignment vertical="center"/>
    </x:xf>
    <x:xf numFmtId="0" fontId="0" fillId="142" borderId="0" xfId="0" applyNumberFormat="1" applyFont="1" applyFill="1" applyBorder="1" applyAlignment="1">
      <x:alignment vertical="center" wrapText="1"/>
    </x:xf>
    <x:xf numFmtId="0" fontId="9" fillId="142" borderId="0" xfId="0" applyNumberFormat="1" applyFont="1" applyFill="1" applyBorder="1" applyAlignment="1">
      <x:alignment vertical="center" wrapText="1"/>
    </x:xf>
    <x:xf numFmtId="0" fontId="0" fillId="143" borderId="0" xfId="0" applyNumberFormat="1" applyFont="1" applyFill="1" applyBorder="1" applyAlignment="1">
      <x:alignment vertical="center"/>
    </x:xf>
    <x:xf numFmtId="0" fontId="3" fillId="143" borderId="0" xfId="0" applyNumberFormat="1" applyFont="1" applyFill="1" applyBorder="1" applyAlignment="1">
      <x:alignment vertical="center"/>
    </x:xf>
    <x:xf numFmtId="0" fontId="3" fillId="143" borderId="0" xfId="0" applyNumberFormat="1" applyFont="1" applyFill="1" applyBorder="1" applyAlignment="1">
      <x:alignment horizontal="center" vertical="center"/>
    </x:xf>
    <x:xf numFmtId="0" fontId="0" fillId="142" borderId="0" xfId="0" applyNumberFormat="1" applyFont="1" applyFill="1" applyBorder="1" applyAlignment="1">
      <x:alignment vertical="center"/>
    </x:xf>
    <x:xf numFmtId="0" fontId="9" fillId="142" borderId="0" xfId="0" applyNumberFormat="1" applyFont="1" applyFill="1" applyBorder="1" applyAlignment="1">
      <x:alignment vertical="center"/>
    </x:xf>
    <x:xf numFmtId="0" fontId="0" fillId="144" borderId="0" xfId="0" applyNumberFormat="1" applyFont="1" applyFill="1" applyBorder="1" applyAlignment="1">
      <x:alignment vertical="center" wrapText="1"/>
    </x:xf>
    <x:xf numFmtId="0" fontId="3" fillId="144" borderId="0" xfId="0" applyNumberFormat="1" applyFont="1" applyFill="1" applyBorder="1" applyAlignment="1">
      <x:alignment vertical="center" wrapText="1"/>
    </x:xf>
    <x:xf numFmtId="0" fontId="0" fillId="145" borderId="0" xfId="0" applyNumberFormat="1" applyFont="1" applyFill="1" applyBorder="1" applyAlignment="1">
      <x:alignment vertical="center"/>
    </x:xf>
    <x:xf numFmtId="0" fontId="7" fillId="145" borderId="0" xfId="0" applyNumberFormat="1" applyFont="1" applyFill="1" applyBorder="1" applyAlignment="1">
      <x:alignment vertical="center"/>
    </x:xf>
    <x:xf numFmtId="0" fontId="7" fillId="145" borderId="0" xfId="0" applyNumberFormat="1" applyFont="1" applyFill="1" applyBorder="1" applyAlignment="1">
      <x:alignment horizontal="center" vertical="center"/>
    </x:xf>
    <x:xf numFmtId="0" fontId="0" fillId="146" borderId="0" xfId="0" applyNumberFormat="1" applyFont="1" applyFill="1" applyBorder="1" applyAlignment="1">
      <x:alignment vertical="center"/>
    </x:xf>
    <x:xf numFmtId="0" fontId="3" fillId="146" borderId="0" xfId="0" applyNumberFormat="1" applyFont="1" applyFill="1" applyBorder="1" applyAlignment="1">
      <x:alignment vertical="center"/>
    </x:xf>
    <x:xf numFmtId="0" fontId="3" fillId="146" borderId="0" xfId="0" applyNumberFormat="1" applyFont="1" applyFill="1" applyBorder="1" applyAlignment="1">
      <x:alignment vertical="center" wrapText="1"/>
    </x:xf>
    <x:xf numFmtId="0" fontId="3" fillId="146" borderId="0" xfId="0" applyNumberFormat="1" applyFont="1" applyFill="1" applyBorder="1" applyAlignment="1">
      <x:alignment horizontal="center" vertical="center" wrapText="1"/>
    </x:xf>
    <x:xf numFmtId="0" fontId="0" fillId="147" borderId="0" xfId="0" applyNumberFormat="1" applyFont="1" applyFill="1" applyBorder="1" applyAlignment="1">
      <x:alignment vertical="center"/>
    </x:xf>
    <x:xf numFmtId="0" fontId="3" fillId="147" borderId="0" xfId="0" applyNumberFormat="1" applyFont="1" applyFill="1" applyBorder="1" applyAlignment="1">
      <x:alignment vertical="center"/>
    </x:xf>
    <x:xf numFmtId="0" fontId="3" fillId="147" borderId="0" xfId="0" applyNumberFormat="1" applyFont="1" applyFill="1" applyBorder="1" applyAlignment="1">
      <x:alignment horizontal="center" vertical="center"/>
    </x:xf>
    <x:xf numFmtId="0" fontId="0" fillId="148" borderId="0" xfId="0" applyNumberFormat="1" applyFont="1" applyFill="1" applyBorder="1" applyAlignment="1">
      <x:alignment vertical="center" wrapText="1"/>
    </x:xf>
    <x:xf numFmtId="0" fontId="9" fillId="148" borderId="0" xfId="0" applyNumberFormat="1" applyFont="1" applyFill="1" applyBorder="1" applyAlignment="1">
      <x:alignment vertical="center" wrapText="1"/>
    </x:xf>
    <x:xf numFmtId="0" fontId="0" fillId="149" borderId="0" xfId="0" applyNumberFormat="1" applyFont="1" applyFill="1" applyBorder="1" applyAlignment="1">
      <x:alignment vertical="center"/>
    </x:xf>
    <x:xf numFmtId="0" fontId="9" fillId="149" borderId="0" xfId="0" applyNumberFormat="1" applyFont="1" applyFill="1" applyBorder="1" applyAlignment="1">
      <x:alignment vertical="center"/>
    </x:xf>
    <x:xf numFmtId="0" fontId="9" fillId="149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0" fillId="150" borderId="0" xfId="0" applyNumberFormat="1" applyFont="1" applyFill="1" applyBorder="1" applyAlignment="1">
      <x:alignment vertical="center"/>
    </x:xf>
    <x:xf numFmtId="0" fontId="0" fillId="150" borderId="0" xfId="0" applyNumberFormat="1" applyFont="1" applyFill="1" applyBorder="1" applyAlignment="1">
      <x:alignment vertical="center" wrapText="1"/>
    </x:xf>
    <x:xf numFmtId="204" fontId="0" fillId="150" borderId="0" xfId="0" applyNumberFormat="1" applyFont="1" applyFill="1" applyBorder="1" applyAlignment="1">
      <x:alignment vertical="center" wrapText="1"/>
    </x:xf>
    <x:xf numFmtId="201" fontId="0" fillId="150" borderId="0" xfId="0" applyNumberFormat="1" applyFont="1" applyFill="1" applyBorder="1" applyAlignment="1">
      <x:alignment vertical="center" wrapText="1"/>
    </x:xf>
    <x:xf numFmtId="0" fontId="3" fillId="150" borderId="0" xfId="0" applyNumberFormat="1" applyFont="1" applyFill="1" applyBorder="1" applyAlignment="1">
      <x:alignment vertical="center"/>
    </x:xf>
    <x:xf numFmtId="0" fontId="3" fillId="150" borderId="0" xfId="0" applyNumberFormat="1" applyFont="1" applyFill="1" applyBorder="1" applyAlignment="1">
      <x:alignment vertical="center" wrapText="1"/>
    </x:xf>
    <x:xf numFmtId="204" fontId="3" fillId="150" borderId="0" xfId="0" applyNumberFormat="1" applyFont="1" applyFill="1" applyBorder="1" applyAlignment="1">
      <x:alignment vertical="center" wrapText="1"/>
    </x:xf>
    <x:xf numFmtId="201" fontId="3" fillId="150" borderId="0" xfId="0" applyNumberFormat="1" applyFont="1" applyFill="1" applyBorder="1" applyAlignment="1">
      <x:alignment vertical="center" wrapText="1"/>
    </x:xf>
    <x:xf numFmtId="0" fontId="3" fillId="150" borderId="0" xfId="0" applyNumberFormat="1" applyFont="1" applyFill="1" applyBorder="1" applyAlignment="1">
      <x:alignment horizontal="center" vertical="center"/>
    </x:xf>
    <x:xf numFmtId="0" fontId="3" fillId="150" borderId="0" xfId="0" applyNumberFormat="1" applyFont="1" applyFill="1" applyBorder="1" applyAlignment="1">
      <x:alignment horizontal="center" vertical="center" wrapText="1"/>
    </x:xf>
    <x:xf numFmtId="204" fontId="3" fillId="150" borderId="0" xfId="0" applyNumberFormat="1" applyFont="1" applyFill="1" applyBorder="1" applyAlignment="1">
      <x:alignment horizontal="center" vertical="center" wrapText="1"/>
    </x:xf>
    <x:xf numFmtId="201" fontId="3" fillId="150" borderId="0" xfId="0" applyNumberFormat="1" applyFont="1" applyFill="1" applyBorder="1" applyAlignment="1">
      <x:alignment horizontal="center" vertical="center" wrapText="1"/>
    </x:xf>
    <x:xf numFmtId="0" fontId="0" fillId="149" borderId="0" xfId="0" applyNumberFormat="1" applyFont="1" applyFill="1" applyBorder="1" applyAlignment="1">
      <x:alignment vertical="center" wrapText="1"/>
    </x:xf>
    <x:xf numFmtId="0" fontId="3" fillId="45" borderId="0" xfId="0" applyNumberFormat="1" applyFont="1" applyFill="1" applyBorder="1" applyAlignment="1">
      <x:alignment horizontal="center" vertical="center" wrapText="1"/>
    </x:xf>
    <x:xf numFmtId="204" fontId="0" fillId="45" borderId="0" xfId="0" applyNumberFormat="1" applyFont="1" applyFill="1" applyBorder="1" applyAlignment="1">
      <x:alignment vertical="center" wrapText="1"/>
    </x:xf>
    <x:xf numFmtId="201" fontId="0" fillId="45" borderId="0" xfId="0" applyNumberFormat="1" applyFont="1" applyFill="1" applyBorder="1" applyAlignment="1">
      <x:alignment vertical="center" wrapText="1"/>
    </x:xf>
    <x:xf numFmtId="204" fontId="3" fillId="45" borderId="0" xfId="0" applyNumberFormat="1" applyFont="1" applyFill="1" applyBorder="1" applyAlignment="1">
      <x:alignment vertical="center" wrapText="1"/>
    </x:xf>
    <x:xf numFmtId="201" fontId="3" fillId="45" borderId="0" xfId="0" applyNumberFormat="1" applyFont="1" applyFill="1" applyBorder="1" applyAlignment="1">
      <x:alignment vertical="center" wrapText="1"/>
    </x:xf>
    <x:xf numFmtId="204" fontId="3" fillId="45" borderId="0" xfId="0" applyNumberFormat="1" applyFont="1" applyFill="1" applyBorder="1" applyAlignment="1">
      <x:alignment horizontal="center" vertical="center" wrapText="1"/>
    </x:xf>
    <x:xf numFmtId="201" fontId="3" fillId="45" borderId="0" xfId="0" applyNumberFormat="1" applyFont="1" applyFill="1" applyBorder="1" applyAlignment="1">
      <x:alignment horizontal="center" vertical="center" wrapText="1"/>
    </x:xf>
    <x:xf numFmtId="0" fontId="0" fillId="151" borderId="0" xfId="0" applyNumberFormat="1" applyFont="1" applyFill="1" applyBorder="1" applyAlignment="1">
      <x:alignment vertical="center"/>
    </x:xf>
    <x:xf numFmtId="0" fontId="7" fillId="151" borderId="0" xfId="0" applyNumberFormat="1" applyFont="1" applyFill="1" applyBorder="1" applyAlignment="1">
      <x:alignment vertical="center"/>
    </x:xf>
    <x:xf numFmtId="0" fontId="7" fillId="151" borderId="0" xfId="0" applyNumberFormat="1" applyFont="1" applyFill="1" applyBorder="1" applyAlignment="1">
      <x:alignment horizontal="center" vertical="center"/>
    </x:xf>
    <x:xf numFmtId="0" fontId="0" fillId="152" borderId="0" xfId="0" applyNumberFormat="1" applyFont="1" applyFill="1" applyBorder="1" applyAlignment="1">
      <x:alignment vertical="center"/>
    </x:xf>
    <x:xf numFmtId="0" fontId="3" fillId="152" borderId="0" xfId="0" applyNumberFormat="1" applyFont="1" applyFill="1" applyBorder="1" applyAlignment="1">
      <x:alignment vertical="center"/>
    </x:xf>
    <x:xf numFmtId="0" fontId="3" fillId="152" borderId="0" xfId="0" applyNumberFormat="1" applyFont="1" applyFill="1" applyBorder="1" applyAlignment="1">
      <x:alignment vertical="center" wrapText="1"/>
    </x:xf>
    <x:xf numFmtId="0" fontId="0" fillId="153" borderId="0" xfId="0" applyNumberFormat="1" applyFont="1" applyFill="1" applyBorder="1" applyAlignment="1">
      <x:alignment vertical="center"/>
    </x:xf>
    <x:xf numFmtId="0" fontId="3" fillId="153" borderId="0" xfId="0" applyNumberFormat="1" applyFont="1" applyFill="1" applyBorder="1" applyAlignment="1">
      <x:alignment vertical="center"/>
    </x:xf>
    <x:xf numFmtId="0" fontId="3" fillId="153" borderId="0" xfId="0" applyNumberFormat="1" applyFont="1" applyFill="1" applyBorder="1" applyAlignment="1">
      <x:alignment vertical="center" wrapText="1"/>
    </x:xf>
    <x:xf numFmtId="0" fontId="0" fillId="154" borderId="0" xfId="0" applyNumberFormat="1" applyFont="1" applyFill="1" applyBorder="1" applyAlignment="1">
      <x:alignment vertical="center"/>
    </x:xf>
    <x:xf numFmtId="0" fontId="3" fillId="154" borderId="0" xfId="0" applyNumberFormat="1" applyFont="1" applyFill="1" applyBorder="1" applyAlignment="1">
      <x:alignment vertical="center"/>
    </x:xf>
    <x:xf numFmtId="0" fontId="3" fillId="154" borderId="0" xfId="0" applyNumberFormat="1" applyFont="1" applyFill="1" applyBorder="1" applyAlignment="1">
      <x:alignment horizontal="center" vertical="center"/>
    </x:xf>
    <x:xf numFmtId="0" fontId="0" fillId="155" borderId="0" xfId="0" applyNumberFormat="1" applyFont="1" applyFill="1" applyBorder="1" applyAlignment="1">
      <x:alignment vertical="center" wrapText="1"/>
    </x:xf>
    <x:xf numFmtId="0" fontId="9" fillId="155" borderId="0" xfId="0" applyNumberFormat="1" applyFont="1" applyFill="1" applyBorder="1" applyAlignment="1">
      <x:alignment vertical="center" wrapText="1"/>
    </x:xf>
    <x:xf numFmtId="0" fontId="0" fillId="156" borderId="0" xfId="0" applyNumberFormat="1" applyFont="1" applyFill="1" applyBorder="1" applyAlignment="1">
      <x:alignment vertical="center" wrapText="1"/>
    </x:xf>
    <x:xf numFmtId="0" fontId="3" fillId="156" borderId="0" xfId="0" applyNumberFormat="1" applyFont="1" applyFill="1" applyBorder="1" applyAlignment="1">
      <x:alignment vertical="center" wrapText="1"/>
    </x:xf>
    <x:xf numFmtId="0" fontId="0" fillId="157" borderId="0" xfId="0" applyNumberFormat="1" applyFont="1" applyFill="1" applyBorder="1" applyAlignment="1">
      <x:alignment vertical="center"/>
    </x:xf>
    <x:xf numFmtId="0" fontId="7" fillId="157" borderId="0" xfId="0" applyNumberFormat="1" applyFont="1" applyFill="1" applyBorder="1" applyAlignment="1">
      <x:alignment vertical="center"/>
    </x:xf>
    <x:xf numFmtId="0" fontId="7" fillId="157" borderId="0" xfId="0" applyNumberFormat="1" applyFont="1" applyFill="1" applyBorder="1" applyAlignment="1">
      <x:alignment horizontal="center" vertical="center"/>
    </x:xf>
    <x:xf numFmtId="0" fontId="0" fillId="158" borderId="0" xfId="0" applyNumberFormat="1" applyFont="1" applyFill="1" applyBorder="1" applyAlignment="1">
      <x:alignment vertical="center"/>
    </x:xf>
    <x:xf numFmtId="0" fontId="3" fillId="158" borderId="0" xfId="0" applyNumberFormat="1" applyFont="1" applyFill="1" applyBorder="1" applyAlignment="1">
      <x:alignment vertical="center"/>
    </x:xf>
    <x:xf numFmtId="0" fontId="3" fillId="158" borderId="0" xfId="0" applyNumberFormat="1" applyFont="1" applyFill="1" applyBorder="1" applyAlignment="1">
      <x:alignment vertical="center" wrapText="1"/>
    </x:xf>
    <x:xf numFmtId="0" fontId="3" fillId="158" borderId="0" xfId="0" applyNumberFormat="1" applyFont="1" applyFill="1" applyBorder="1" applyAlignment="1">
      <x:alignment horizontal="center" vertical="center" wrapText="1"/>
    </x:xf>
    <x:xf numFmtId="0" fontId="0" fillId="159" borderId="0" xfId="0" applyNumberFormat="1" applyFont="1" applyFill="1" applyBorder="1" applyAlignment="1">
      <x:alignment vertical="center"/>
    </x:xf>
    <x:xf numFmtId="0" fontId="3" fillId="159" borderId="0" xfId="0" applyNumberFormat="1" applyFont="1" applyFill="1" applyBorder="1" applyAlignment="1">
      <x:alignment vertical="center"/>
    </x:xf>
    <x:xf numFmtId="0" fontId="3" fillId="159" borderId="0" xfId="0" applyNumberFormat="1" applyFont="1" applyFill="1" applyBorder="1" applyAlignment="1">
      <x:alignment horizontal="center" vertical="center"/>
    </x:xf>
    <x:xf numFmtId="0" fontId="0" fillId="160" borderId="0" xfId="0" applyNumberFormat="1" applyFont="1" applyFill="1" applyBorder="1" applyAlignment="1">
      <x:alignment vertical="center"/>
    </x:xf>
    <x:xf numFmtId="0" fontId="9" fillId="160" borderId="0" xfId="0" applyNumberFormat="1" applyFont="1" applyFill="1" applyBorder="1" applyAlignment="1">
      <x:alignment vertical="center"/>
    </x:xf>
    <x:xf numFmtId="0" fontId="9" fillId="160" borderId="0" xfId="0" applyNumberFormat="1" applyFont="1" applyFill="1" applyBorder="1" applyAlignment="1">
      <x:alignment vertical="center" wrapText="1"/>
    </x:xf>
    <x:xf numFmtId="0" fontId="3" fillId="161" borderId="0" xfId="0" applyNumberFormat="1" applyFont="1" applyFill="1" applyBorder="1" applyAlignment="1">
      <x:alignment horizontal="center" vertical="center" wrapText="1"/>
    </x:xf>
    <x:xf numFmtId="0" fontId="0" fillId="162" borderId="0" xfId="0" applyNumberFormat="1" applyFont="1" applyFill="1" applyBorder="1" applyAlignment="1">
      <x:alignment vertical="center" wrapText="1"/>
    </x:xf>
    <x:xf numFmtId="0" fontId="3" fillId="162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0" fillId="163" borderId="0" xfId="0" applyNumberFormat="1" applyFont="1" applyFill="1" applyBorder="1" applyAlignment="1">
      <x:alignment vertical="center"/>
    </x:xf>
    <x:xf numFmtId="0" fontId="7" fillId="163" borderId="0" xfId="0" applyNumberFormat="1" applyFont="1" applyFill="1" applyBorder="1" applyAlignment="1">
      <x:alignment vertical="center"/>
    </x:xf>
    <x:xf numFmtId="0" fontId="7" fillId="163" borderId="0" xfId="0" applyNumberFormat="1" applyFont="1" applyFill="1" applyBorder="1" applyAlignment="1">
      <x:alignment horizontal="center" vertical="center"/>
    </x:xf>
    <x:xf numFmtId="0" fontId="0" fillId="164" borderId="0" xfId="0" applyNumberFormat="1" applyFont="1" applyFill="1" applyBorder="1" applyAlignment="1">
      <x:alignment vertical="center"/>
    </x:xf>
    <x:xf numFmtId="0" fontId="3" fillId="164" borderId="0" xfId="0" applyNumberFormat="1" applyFont="1" applyFill="1" applyBorder="1" applyAlignment="1">
      <x:alignment vertical="center"/>
    </x:xf>
    <x:xf numFmtId="0" fontId="3" fillId="164" borderId="0" xfId="0" applyNumberFormat="1" applyFont="1" applyFill="1" applyBorder="1" applyAlignment="1">
      <x:alignment vertical="center" wrapText="1"/>
    </x:xf>
    <x:xf numFmtId="0" fontId="3" fillId="164" borderId="0" xfId="0" applyNumberFormat="1" applyFont="1" applyFill="1" applyBorder="1" applyAlignment="1">
      <x:alignment horizontal="center" vertical="center" wrapText="1"/>
    </x:xf>
    <x:xf numFmtId="0" fontId="0" fillId="165" borderId="0" xfId="0" applyNumberFormat="1" applyFont="1" applyFill="1" applyBorder="1" applyAlignment="1">
      <x:alignment vertical="center"/>
    </x:xf>
    <x:xf numFmtId="0" fontId="3" fillId="165" borderId="0" xfId="0" applyNumberFormat="1" applyFont="1" applyFill="1" applyBorder="1" applyAlignment="1">
      <x:alignment vertical="center"/>
    </x:xf>
    <x:xf numFmtId="0" fontId="3" fillId="165" borderId="0" xfId="0" applyNumberFormat="1" applyFont="1" applyFill="1" applyBorder="1" applyAlignment="1">
      <x:alignment horizontal="center" vertical="center"/>
    </x:xf>
    <x:xf numFmtId="0" fontId="0" fillId="166" borderId="0" xfId="0" applyNumberFormat="1" applyFont="1" applyFill="1" applyBorder="1" applyAlignment="1">
      <x:alignment vertical="center"/>
    </x:xf>
    <x:xf numFmtId="0" fontId="9" fillId="166" borderId="0" xfId="0" applyNumberFormat="1" applyFont="1" applyFill="1" applyBorder="1" applyAlignment="1">
      <x:alignment vertical="center"/>
    </x:xf>
    <x:xf numFmtId="0" fontId="9" fillId="166" borderId="0" xfId="0" applyNumberFormat="1" applyFont="1" applyFill="1" applyBorder="1" applyAlignment="1">
      <x:alignment vertical="center" wrapText="1"/>
    </x:xf>
    <x:xf numFmtId="0" fontId="0" fillId="167" borderId="0" xfId="0" applyNumberFormat="1" applyFont="1" applyFill="1" applyBorder="1" applyAlignment="1">
      <x:alignment vertical="center"/>
    </x:xf>
    <x:xf numFmtId="0" fontId="3" fillId="167" borderId="0" xfId="0" applyNumberFormat="1" applyFont="1" applyFill="1" applyBorder="1" applyAlignment="1">
      <x:alignment vertical="center"/>
    </x:xf>
    <x:xf numFmtId="0" fontId="3" fillId="167" borderId="0" xfId="0" applyNumberFormat="1" applyFont="1" applyFill="1" applyBorder="1" applyAlignment="1">
      <x:alignment horizontal="center" vertical="center"/>
    </x:xf>
    <x:xf numFmtId="0" fontId="0" fillId="168" borderId="0" xfId="0" applyNumberFormat="1" applyFont="1" applyFill="1" applyBorder="1" applyAlignment="1">
      <x:alignment vertical="center" wrapText="1"/>
    </x:xf>
    <x:xf numFmtId="0" fontId="9" fillId="168" borderId="0" xfId="0" applyNumberFormat="1" applyFont="1" applyFill="1" applyBorder="1" applyAlignment="1">
      <x:alignment vertical="center" wrapText="1"/>
    </x:xf>
    <x:xf numFmtId="0" fontId="0" fillId="168" borderId="0" xfId="0" applyNumberFormat="1" applyFont="1" applyFill="1" applyBorder="1" applyAlignment="1">
      <x:alignment vertical="center"/>
    </x:xf>
    <x:xf numFmtId="0" fontId="9" fillId="168" borderId="0" xfId="0" applyNumberFormat="1" applyFont="1" applyFill="1" applyBorder="1" applyAlignment="1">
      <x:alignment vertical="center"/>
    </x:xf>
    <x:xf numFmtId="0" fontId="0" fillId="169" borderId="0" xfId="0" applyNumberFormat="1" applyFont="1" applyFill="1" applyBorder="1" applyAlignment="1">
      <x:alignment vertical="center"/>
    </x:xf>
    <x:xf numFmtId="0" fontId="3" fillId="169" borderId="0" xfId="0" applyNumberFormat="1" applyFont="1" applyFill="1" applyBorder="1" applyAlignment="1">
      <x:alignment vertical="center"/>
    </x:xf>
    <x:xf numFmtId="0" fontId="3" fillId="169" borderId="0" xfId="0" applyNumberFormat="1" applyFont="1" applyFill="1" applyBorder="1" applyAlignment="1">
      <x:alignment vertical="center" wrapText="1"/>
    </x:xf>
    <x:xf numFmtId="0" fontId="0" fillId="169" borderId="0" xfId="0" applyNumberFormat="1" applyFont="1" applyFill="1" applyBorder="1" applyAlignment="1">
      <x:alignment vertical="center" wrapText="1"/>
    </x:xf>
    <x:xf numFmtId="0" fontId="0" fillId="170" borderId="0" xfId="0" applyNumberFormat="1" applyFont="1" applyFill="1" applyBorder="1" applyAlignment="1">
      <x:alignment vertical="center"/>
    </x:xf>
    <x:xf numFmtId="0" fontId="7" fillId="170" borderId="0" xfId="0" applyNumberFormat="1" applyFont="1" applyFill="1" applyBorder="1" applyAlignment="1">
      <x:alignment vertical="center"/>
    </x:xf>
    <x:xf numFmtId="0" fontId="7" fillId="170" borderId="0" xfId="0" applyNumberFormat="1" applyFont="1" applyFill="1" applyBorder="1" applyAlignment="1">
      <x:alignment horizontal="center" vertical="center"/>
    </x:xf>
    <x:xf numFmtId="0" fontId="0" fillId="171" borderId="0" xfId="0" applyNumberFormat="1" applyFont="1" applyFill="1" applyBorder="1" applyAlignment="1">
      <x:alignment vertical="center"/>
    </x:xf>
    <x:xf numFmtId="0" fontId="3" fillId="171" borderId="0" xfId="0" applyNumberFormat="1" applyFont="1" applyFill="1" applyBorder="1" applyAlignment="1">
      <x:alignment vertical="center"/>
    </x:xf>
    <x:xf numFmtId="0" fontId="3" fillId="171" borderId="0" xfId="0" applyNumberFormat="1" applyFont="1" applyFill="1" applyBorder="1" applyAlignment="1">
      <x:alignment vertical="center" wrapText="1"/>
    </x:xf>
    <x:xf numFmtId="0" fontId="3" fillId="171" borderId="0" xfId="0" applyNumberFormat="1" applyFont="1" applyFill="1" applyBorder="1" applyAlignment="1">
      <x:alignment horizontal="center" vertical="center" wrapText="1"/>
    </x:xf>
    <x:xf numFmtId="0" fontId="0" fillId="172" borderId="0" xfId="0" applyNumberFormat="1" applyFont="1" applyFill="1" applyBorder="1" applyAlignment="1">
      <x:alignment vertical="center"/>
    </x:xf>
    <x:xf numFmtId="0" fontId="3" fillId="172" borderId="0" xfId="0" applyNumberFormat="1" applyFont="1" applyFill="1" applyBorder="1" applyAlignment="1">
      <x:alignment vertical="center"/>
    </x:xf>
    <x:xf numFmtId="0" fontId="3" fillId="172" borderId="0" xfId="0" applyNumberFormat="1" applyFont="1" applyFill="1" applyBorder="1" applyAlignment="1">
      <x:alignment horizontal="center" vertical="center"/>
    </x:xf>
    <x:xf numFmtId="0" fontId="0" fillId="173" borderId="0" xfId="0" applyNumberFormat="1" applyFont="1" applyFill="1" applyBorder="1" applyAlignment="1">
      <x:alignment vertical="center"/>
    </x:xf>
    <x:xf numFmtId="0" fontId="9" fillId="173" borderId="0" xfId="0" applyNumberFormat="1" applyFont="1" applyFill="1" applyBorder="1" applyAlignment="1">
      <x:alignment vertical="center"/>
    </x:xf>
    <x:xf numFmtId="0" fontId="9" fillId="173" borderId="0" xfId="0" applyNumberFormat="1" applyFont="1" applyFill="1" applyBorder="1" applyAlignment="1">
      <x:alignment vertical="center" wrapText="1"/>
    </x:xf>
    <x:xf numFmtId="0" fontId="0" fillId="174" borderId="0" xfId="0" applyNumberFormat="1" applyFont="1" applyFill="1" applyBorder="1" applyAlignment="1">
      <x:alignment vertical="center"/>
    </x:xf>
    <x:xf numFmtId="0" fontId="9" fillId="174" borderId="0" xfId="0" applyNumberFormat="1" applyFont="1" applyFill="1" applyBorder="1" applyAlignment="1">
      <x:alignment vertical="center"/>
    </x:xf>
    <x:xf numFmtId="0" fontId="9" fillId="174" borderId="0" xfId="0" applyNumberFormat="1" applyFont="1" applyFill="1" applyBorder="1" applyAlignment="1">
      <x:alignment vertical="center" wrapText="1"/>
    </x:xf>
    <x:xf numFmtId="0" fontId="0" fillId="175" borderId="0" xfId="0" applyNumberFormat="1" applyFont="1" applyFill="1" applyBorder="1" applyAlignment="1">
      <x:alignment vertical="center"/>
    </x:xf>
    <x:xf numFmtId="0" fontId="3" fillId="175" borderId="0" xfId="0" applyNumberFormat="1" applyFont="1" applyFill="1" applyBorder="1" applyAlignment="1">
      <x:alignment vertical="center"/>
    </x:xf>
    <x:xf numFmtId="0" fontId="3" fillId="175" borderId="0" xfId="0" applyNumberFormat="1" applyFont="1" applyFill="1" applyBorder="1" applyAlignment="1">
      <x:alignment horizontal="center" vertical="center"/>
    </x:xf>
    <x:xf numFmtId="0" fontId="0" fillId="176" borderId="0" xfId="0" applyNumberFormat="1" applyFont="1" applyFill="1" applyBorder="1" applyAlignment="1">
      <x:alignment vertical="center"/>
    </x:xf>
    <x:xf numFmtId="0" fontId="3" fillId="176" borderId="0" xfId="0" applyNumberFormat="1" applyFont="1" applyFill="1" applyBorder="1" applyAlignment="1">
      <x:alignment vertical="center"/>
    </x:xf>
    <x:xf numFmtId="0" fontId="3" fillId="176" borderId="0" xfId="0" applyNumberFormat="1" applyFont="1" applyFill="1" applyBorder="1" applyAlignment="1">
      <x:alignment vertical="center" wrapText="1"/>
    </x:xf>
    <x:xf numFmtId="0" fontId="0" fillId="177" borderId="0" xfId="0" applyNumberFormat="1" applyFont="1" applyFill="1" applyBorder="1" applyAlignment="1">
      <x:alignment vertical="center" wrapText="1"/>
    </x:xf>
    <x:xf numFmtId="0" fontId="3" fillId="177" borderId="0" xfId="0" applyNumberFormat="1" applyFont="1" applyFill="1" applyBorder="1" applyAlignment="1">
      <x:alignment vertical="center" wrapText="1"/>
    </x:xf>
    <x:xf numFmtId="0" fontId="0" fillId="178" borderId="0" xfId="0" applyNumberFormat="1" applyFont="1" applyFill="1" applyBorder="1" applyAlignment="1">
      <x:alignment vertical="center"/>
    </x:xf>
    <x:xf numFmtId="0" fontId="7" fillId="178" borderId="0" xfId="0" applyNumberFormat="1" applyFont="1" applyFill="1" applyBorder="1" applyAlignment="1">
      <x:alignment vertical="center"/>
    </x:xf>
    <x:xf numFmtId="0" fontId="7" fillId="178" borderId="0" xfId="0" applyNumberFormat="1" applyFont="1" applyFill="1" applyBorder="1" applyAlignment="1">
      <x:alignment horizontal="center" vertical="center"/>
    </x:xf>
    <x:xf numFmtId="0" fontId="0" fillId="179" borderId="0" xfId="0" applyNumberFormat="1" applyFont="1" applyFill="1" applyBorder="1" applyAlignment="1">
      <x:alignment vertical="center"/>
    </x:xf>
    <x:xf numFmtId="0" fontId="3" fillId="179" borderId="0" xfId="0" applyNumberFormat="1" applyFont="1" applyFill="1" applyBorder="1" applyAlignment="1">
      <x:alignment vertical="center"/>
    </x:xf>
    <x:xf numFmtId="0" fontId="3" fillId="179" borderId="0" xfId="0" applyNumberFormat="1" applyFont="1" applyFill="1" applyBorder="1" applyAlignment="1">
      <x:alignment vertical="center" wrapText="1"/>
    </x:xf>
    <x:xf numFmtId="0" fontId="0" fillId="180" borderId="0" xfId="0" applyNumberFormat="1" applyFont="1" applyFill="1" applyBorder="1" applyAlignment="1">
      <x:alignment vertical="center"/>
    </x:xf>
    <x:xf numFmtId="0" fontId="3" fillId="180" borderId="0" xfId="0" applyNumberFormat="1" applyFont="1" applyFill="1" applyBorder="1" applyAlignment="1">
      <x:alignment vertical="center"/>
    </x:xf>
    <x:xf numFmtId="0" fontId="3" fillId="180" borderId="0" xfId="0" applyNumberFormat="1" applyFont="1" applyFill="1" applyBorder="1" applyAlignment="1">
      <x:alignment horizontal="center" vertical="center"/>
    </x:xf>
    <x:xf numFmtId="0" fontId="0" fillId="181" borderId="0" xfId="0" applyNumberFormat="1" applyFont="1" applyFill="1" applyBorder="1" applyAlignment="1">
      <x:alignment vertical="center"/>
    </x:xf>
    <x:xf numFmtId="0" fontId="9" fillId="181" borderId="0" xfId="0" applyNumberFormat="1" applyFont="1" applyFill="1" applyBorder="1" applyAlignment="1">
      <x:alignment vertical="center"/>
    </x:xf>
    <x:xf numFmtId="0" fontId="9" fillId="181" borderId="0" xfId="0" applyNumberFormat="1" applyFont="1" applyFill="1" applyBorder="1" applyAlignment="1">
      <x:alignment vertical="center" wrapText="1"/>
    </x:xf>
    <x:xf numFmtId="0" fontId="0" fillId="182" borderId="0" xfId="0" applyNumberFormat="1" applyFont="1" applyFill="1" applyBorder="1" applyAlignment="1">
      <x:alignment vertical="center"/>
    </x:xf>
    <x:xf numFmtId="0" fontId="3" fillId="182" borderId="0" xfId="0" applyNumberFormat="1" applyFont="1" applyFill="1" applyBorder="1" applyAlignment="1">
      <x:alignment vertical="center"/>
    </x:xf>
    <x:xf numFmtId="0" fontId="3" fillId="182" borderId="0" xfId="0" applyNumberFormat="1" applyFont="1" applyFill="1" applyBorder="1" applyAlignment="1">
      <x:alignment horizontal="center" vertical="center"/>
    </x:xf>
    <x:xf numFmtId="0" fontId="0" fillId="183" borderId="0" xfId="0" applyNumberFormat="1" applyFont="1" applyFill="1" applyBorder="1" applyAlignment="1">
      <x:alignment vertical="center"/>
    </x:xf>
    <x:xf numFmtId="0" fontId="9" fillId="183" borderId="0" xfId="0" applyNumberFormat="1" applyFont="1" applyFill="1" applyBorder="1" applyAlignment="1">
      <x:alignment vertical="center"/>
    </x:xf>
    <x:xf numFmtId="0" fontId="9" fillId="183" borderId="0" xfId="0" applyNumberFormat="1" applyFont="1" applyFill="1" applyBorder="1" applyAlignment="1">
      <x:alignment vertical="center" wrapText="1"/>
    </x:xf>
    <x:xf numFmtId="0" fontId="0" fillId="184" borderId="0" xfId="0" applyNumberFormat="1" applyFont="1" applyFill="1" applyBorder="1" applyAlignment="1">
      <x:alignment vertical="center"/>
    </x:xf>
    <x:xf numFmtId="0" fontId="3" fillId="184" borderId="0" xfId="0" applyNumberFormat="1" applyFont="1" applyFill="1" applyBorder="1" applyAlignment="1">
      <x:alignment vertical="center"/>
    </x:xf>
    <x:xf numFmtId="0" fontId="3" fillId="184" borderId="0" xfId="0" applyNumberFormat="1" applyFont="1" applyFill="1" applyBorder="1" applyAlignment="1">
      <x:alignment vertical="center" wrapText="1"/>
    </x:xf>
    <x:xf numFmtId="0" fontId="0" fillId="185" borderId="0" xfId="0" applyNumberFormat="1" applyFont="1" applyFill="1" applyBorder="1" applyAlignment="1">
      <x:alignment vertical="center"/>
    </x:xf>
    <x:xf numFmtId="0" fontId="3" fillId="185" borderId="0" xfId="0" applyNumberFormat="1" applyFont="1" applyFill="1" applyBorder="1" applyAlignment="1">
      <x:alignment vertical="center"/>
    </x:xf>
    <x:xf numFmtId="0" fontId="3" fillId="185" borderId="0" xfId="0" applyNumberFormat="1" applyFont="1" applyFill="1" applyBorder="1" applyAlignment="1">
      <x:alignment horizontal="center" vertical="center"/>
    </x:xf>
    <x:xf numFmtId="0" fontId="3" fillId="185" borderId="0" xfId="0" applyNumberFormat="1" applyFont="1" applyFill="1" applyBorder="1" applyAlignment="1">
      <x:alignment vertical="center" wrapText="1"/>
    </x:xf>
    <x:xf numFmtId="0" fontId="0" fillId="186" borderId="0" xfId="0" applyNumberFormat="1" applyFont="1" applyFill="1" applyBorder="1" applyAlignment="1">
      <x:alignment vertical="center"/>
    </x:xf>
    <x:xf numFmtId="0" fontId="3" fillId="186" borderId="0" xfId="0" applyNumberFormat="1" applyFont="1" applyFill="1" applyBorder="1" applyAlignment="1">
      <x:alignment vertical="center"/>
    </x:xf>
    <x:xf numFmtId="0" fontId="3" fillId="186" borderId="0" xfId="0" applyNumberFormat="1" applyFont="1" applyFill="1" applyBorder="1" applyAlignment="1">
      <x:alignment horizontal="center" vertical="center"/>
    </x:xf>
    <x:xf numFmtId="0" fontId="0" fillId="187" borderId="0" xfId="0" applyNumberFormat="1" applyFont="1" applyFill="1" applyBorder="1" applyAlignment="1">
      <x:alignment vertical="center"/>
    </x:xf>
    <x:xf numFmtId="0" fontId="9" fillId="187" borderId="0" xfId="0" applyNumberFormat="1" applyFont="1" applyFill="1" applyBorder="1" applyAlignment="1">
      <x:alignment vertical="center"/>
    </x:xf>
    <x:xf numFmtId="0" fontId="9" fillId="187" borderId="0" xfId="0" applyNumberFormat="1" applyFont="1" applyFill="1" applyBorder="1" applyAlignment="1">
      <x:alignment vertical="center" wrapText="1"/>
    </x:xf>
    <x:xf numFmtId="0" fontId="0" fillId="188" borderId="0" xfId="0" applyNumberFormat="1" applyFont="1" applyFill="1" applyBorder="1" applyAlignment="1">
      <x:alignment vertical="center"/>
    </x:xf>
    <x:xf numFmtId="0" fontId="7" fillId="188" borderId="0" xfId="0" applyNumberFormat="1" applyFont="1" applyFill="1" applyBorder="1" applyAlignment="1">
      <x:alignment vertical="center"/>
    </x:xf>
    <x:xf numFmtId="0" fontId="7" fillId="188" borderId="0" xfId="0" applyNumberFormat="1" applyFont="1" applyFill="1" applyBorder="1" applyAlignment="1">
      <x:alignment horizontal="center" vertical="center"/>
    </x:xf>
    <x:xf numFmtId="0" fontId="0" fillId="189" borderId="0" xfId="0" applyNumberFormat="1" applyFont="1" applyFill="1" applyBorder="1" applyAlignment="1">
      <x:alignment vertical="center"/>
    </x:xf>
    <x:xf numFmtId="0" fontId="3" fillId="189" borderId="0" xfId="0" applyNumberFormat="1" applyFont="1" applyFill="1" applyBorder="1" applyAlignment="1">
      <x:alignment vertical="center"/>
    </x:xf>
    <x:xf numFmtId="0" fontId="3" fillId="189" borderId="0" xfId="0" applyNumberFormat="1" applyFont="1" applyFill="1" applyBorder="1" applyAlignment="1">
      <x:alignment vertical="center" wrapText="1"/>
    </x:xf>
    <x:xf numFmtId="0" fontId="0" fillId="190" borderId="0" xfId="0" applyNumberFormat="1" applyFont="1" applyFill="1" applyBorder="1" applyAlignment="1">
      <x:alignment vertical="center" wrapText="1"/>
    </x:xf>
    <x:xf numFmtId="0" fontId="3" fillId="190" borderId="0" xfId="0" applyNumberFormat="1" applyFont="1" applyFill="1" applyBorder="1" applyAlignment="1">
      <x:alignment vertical="center" wrapText="1"/>
    </x:xf>
    <x:xf numFmtId="0" fontId="0" fillId="191" borderId="0" xfId="0" applyNumberFormat="1" applyFont="1" applyFill="1" applyBorder="1" applyAlignment="1">
      <x:alignment vertical="center"/>
    </x:xf>
    <x:xf numFmtId="0" fontId="7" fillId="191" borderId="0" xfId="0" applyNumberFormat="1" applyFont="1" applyFill="1" applyBorder="1" applyAlignment="1">
      <x:alignment vertical="center"/>
    </x:xf>
    <x:xf numFmtId="0" fontId="7" fillId="191" borderId="0" xfId="0" applyNumberFormat="1" applyFont="1" applyFill="1" applyBorder="1" applyAlignment="1">
      <x:alignment horizontal="center" vertical="center"/>
    </x:xf>
    <x:xf numFmtId="0" fontId="0" fillId="192" borderId="0" xfId="0" applyNumberFormat="1" applyFont="1" applyFill="1" applyBorder="1" applyAlignment="1">
      <x:alignment vertical="center"/>
    </x:xf>
    <x:xf numFmtId="0" fontId="3" fillId="192" borderId="0" xfId="0" applyNumberFormat="1" applyFont="1" applyFill="1" applyBorder="1" applyAlignment="1">
      <x:alignment vertical="center"/>
    </x:xf>
    <x:xf numFmtId="0" fontId="3" fillId="192" borderId="0" xfId="0" applyNumberFormat="1" applyFont="1" applyFill="1" applyBorder="1" applyAlignment="1">
      <x:alignment vertical="center" wrapText="1"/>
    </x:xf>
    <x:xf numFmtId="0" fontId="0" fillId="193" borderId="0" xfId="0" applyNumberFormat="1" applyFont="1" applyFill="1" applyBorder="1" applyAlignment="1">
      <x:alignment vertical="center"/>
    </x:xf>
    <x:xf numFmtId="0" fontId="3" fillId="193" borderId="0" xfId="0" applyNumberFormat="1" applyFont="1" applyFill="1" applyBorder="1" applyAlignment="1">
      <x:alignment vertical="center"/>
    </x:xf>
    <x:xf numFmtId="0" fontId="3" fillId="19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xfId="0" applyNumberFormat="1" applyFont="1" applyFill="1" applyBorder="0" applyAlignment="1">
      <x:alignment vertical="center"/>
    </x:xf>
    <x:xf numFmtId="0" fontId="10" fillId="0" xfId="0" applyNumberFormat="1" applyFont="1" applyFill="1" applyBorder="0" applyAlignment="1">
      <x:alignment horizontal="center" vertical="center"/>
    </x:xf>
    <x:xf numFmtId="0" fontId="10" fillId="194" xfId="0" applyNumberFormat="1" applyFont="1" applyFill="1" applyBorder="0" applyAlignment="1">
      <x:alignment horizontal="center" vertical="center"/>
    </x:xf>
    <x:xf numFmtId="0" fontId="10" fillId="195" xfId="0" applyNumberFormat="1" applyFont="1" applyFill="1" applyBorder="0" applyAlignment="1">
      <x:alignment horizontal="center" vertical="center"/>
    </x:xf>
    <x:xf numFmtId="0" fontId="0" fillId="196" borderId="0" xfId="0" applyNumberFormat="1" applyFont="1" applyFill="1" applyBorder="1" applyAlignment="1">
      <x:alignment vertical="center" wrapText="1"/>
    </x:xf>
    <x:xf numFmtId="0" fontId="9" fillId="196" borderId="0" xfId="0" applyNumberFormat="1" applyFont="1" applyFill="1" applyBorder="1" applyAlignment="1">
      <x:alignment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7" borderId="0" xfId="0" applyNumberFormat="1" applyFont="1" applyFill="1" applyBorder="1" applyAlignment="1">
      <x:alignment vertical="center"/>
    </x:xf>
    <x:xf numFmtId="0" fontId="7" fillId="197" borderId="0" xfId="0" applyNumberFormat="1" applyFont="1" applyFill="1" applyBorder="1" applyAlignment="1">
      <x:alignment vertical="center"/>
    </x:xf>
    <x:xf numFmtId="0" fontId="7" fillId="197" borderId="0" xfId="0" applyNumberFormat="1" applyFont="1" applyFill="1" applyBorder="1" applyAlignment="1">
      <x:alignment horizontal="center" vertical="center"/>
    </x:xf>
    <x:xf numFmtId="0" fontId="0" fillId="198" borderId="0" xfId="0" applyNumberFormat="1" applyFont="1" applyFill="1" applyBorder="1" applyAlignment="1">
      <x:alignment vertical="center"/>
    </x:xf>
    <x:xf numFmtId="0" fontId="3" fillId="198" borderId="0" xfId="0" applyNumberFormat="1" applyFont="1" applyFill="1" applyBorder="1" applyAlignment="1">
      <x:alignment vertical="center"/>
    </x:xf>
    <x:xf numFmtId="0" fontId="3" fillId="198" borderId="0" xfId="0" applyNumberFormat="1" applyFont="1" applyFill="1" applyBorder="1" applyAlignment="1">
      <x:alignment vertical="center" wrapText="1"/>
    </x:xf>
    <x:xf numFmtId="0" fontId="0" fillId="199" borderId="0" xfId="0" applyNumberFormat="1" applyFont="1" applyFill="1" applyBorder="1" applyAlignment="1">
      <x:alignment vertical="center"/>
    </x:xf>
    <x:xf numFmtId="0" fontId="3" fillId="199" borderId="0" xfId="0" applyNumberFormat="1" applyFont="1" applyFill="1" applyBorder="1" applyAlignment="1">
      <x:alignment vertical="center"/>
    </x:xf>
    <x:xf numFmtId="0" fontId="3" fillId="199" borderId="0" xfId="0" applyNumberFormat="1" applyFont="1" applyFill="1" applyBorder="1" applyAlignment="1">
      <x:alignment horizontal="center" vertical="center"/>
    </x:xf>
    <x:xf numFmtId="0" fontId="0" fillId="200" borderId="0" xfId="0" applyNumberFormat="1" applyFont="1" applyFill="1" applyBorder="1" applyAlignment="1">
      <x:alignment vertical="center" wrapText="1"/>
    </x:xf>
    <x:xf numFmtId="0" fontId="9" fillId="200" borderId="0" xfId="0" applyNumberFormat="1" applyFont="1" applyFill="1" applyBorder="1" applyAlignment="1">
      <x:alignment vertical="center" wrapText="1"/>
    </x:xf>
    <x:xf numFmtId="0" fontId="0" fillId="200" borderId="0" xfId="0" applyNumberFormat="1" applyFont="1" applyFill="1" applyBorder="1" applyAlignment="1">
      <x:alignment vertical="center"/>
    </x:xf>
    <x:xf numFmtId="0" fontId="9" fillId="200" borderId="0" xfId="0" applyNumberFormat="1" applyFont="1" applyFill="1" applyBorder="1" applyAlignment="1">
      <x:alignment vertical="center"/>
    </x:xf>
    <x:xf numFmtId="0" fontId="0" fillId="201" borderId="0" xfId="0" applyNumberFormat="1" applyFont="1" applyFill="1" applyBorder="1" applyAlignment="1">
      <x:alignment vertical="center" wrapText="1"/>
    </x:xf>
    <x:xf numFmtId="0" fontId="3" fillId="201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30"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ont>
        <x:u val="none"/>
        <x:sz val="11"/>
        <x:color theme="1"/>
        <x:name val="맑은 고딕"/>
        <x:family val="2"/>
        <x:scheme val="minor"/>
      </x:font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c6d8b7db14464" /><Relationship Type="http://schemas.openxmlformats.org/officeDocument/2006/relationships/theme" Target="/xl/theme/theme1.xml" Id="R9f23a81171c8469a" /><Relationship Type="http://schemas.microsoft.com/office/2022/11/relationships/FeaturePropertyBag" Target="/xl/featurePropertyBag/featurePropertyBag.xml" Id="Rb35fb41e48ba45bf" /><Relationship Type="http://schemas.openxmlformats.org/officeDocument/2006/relationships/sharedStrings" Target="/xl/sharedStrings.xml" Id="Refb12fb919eb45fd" /><Relationship Type="http://schemas.openxmlformats.org/officeDocument/2006/relationships/worksheet" Target="/xl/worksheets/sheet1.xml" Id="Rb6456e6523b340b8" /><Relationship Type="http://schemas.openxmlformats.org/officeDocument/2006/relationships/worksheet" Target="/xl/worksheets/sheet2.xml" Id="R9602f519f6cd4d5a" /><Relationship Type="http://schemas.openxmlformats.org/officeDocument/2006/relationships/worksheet" Target="/xl/worksheets/sheet3.xml" Id="R03d3bba09fba4e94" /><Relationship Type="http://schemas.openxmlformats.org/officeDocument/2006/relationships/worksheet" Target="/xl/worksheets/sheet4.xml" Id="Ra6dd1849455f465c" /><Relationship Type="http://schemas.openxmlformats.org/officeDocument/2006/relationships/worksheet" Target="/xl/worksheets/sheet5.xml" Id="R80f5133d07c742e7" /><Relationship Type="http://schemas.openxmlformats.org/officeDocument/2006/relationships/worksheet" Target="/xl/worksheets/sheet6.xml" Id="R7e51f7230e174ed5" /><Relationship Type="http://schemas.openxmlformats.org/officeDocument/2006/relationships/worksheet" Target="/xl/worksheets/sheet7.xml" Id="Rad115e0ec3074616" /><Relationship Type="http://schemas.openxmlformats.org/officeDocument/2006/relationships/worksheet" Target="/xl/worksheets/sheet8.xml" Id="Rbfc3d08b37044c46" /><Relationship Type="http://schemas.openxmlformats.org/officeDocument/2006/relationships/worksheet" Target="/xl/worksheets/sheet9.xml" Id="Ra58632a6835f40fb" /><Relationship Type="http://schemas.openxmlformats.org/officeDocument/2006/relationships/worksheet" Target="/xl/worksheets/sheet10.xml" Id="Rceb26c9fc09b4275" /><Relationship Type="http://schemas.openxmlformats.org/officeDocument/2006/relationships/worksheet" Target="/xl/worksheets/sheet11.xml" Id="Rb6e42030a2d742de" /><Relationship Type="http://schemas.openxmlformats.org/officeDocument/2006/relationships/worksheet" Target="/xl/worksheets/sheet12.xml" Id="R3dc10a9ea5394385" /><Relationship Type="http://schemas.openxmlformats.org/officeDocument/2006/relationships/worksheet" Target="/xl/worksheets/sheet13.xml" Id="Rbc3e4253399e4742" /><Relationship Type="http://schemas.openxmlformats.org/officeDocument/2006/relationships/worksheet" Target="/xl/worksheets/sheet14.xml" Id="R3d0a87f680274d8d" /><Relationship Type="http://schemas.openxmlformats.org/officeDocument/2006/relationships/worksheet" Target="/xl/worksheets/sheet15.xml" Id="R5b078f3ac36a4b39" /><Relationship Type="http://schemas.openxmlformats.org/officeDocument/2006/relationships/worksheet" Target="/xl/worksheets/sheet16.xml" Id="Rc509432513f84959" /><Relationship Type="http://schemas.openxmlformats.org/officeDocument/2006/relationships/worksheet" Target="/xl/worksheets/sheet17.xml" Id="R9b9073efe0c24476" /><Relationship Type="http://schemas.openxmlformats.org/officeDocument/2006/relationships/worksheet" Target="/xl/worksheets/sheet18.xml" Id="Rba49c3727d474372" /><Relationship Type="http://schemas.openxmlformats.org/officeDocument/2006/relationships/worksheet" Target="/xl/worksheets/sheet19.xml" Id="Rabc15f1332a0475b" /><Relationship Type="http://schemas.openxmlformats.org/officeDocument/2006/relationships/worksheet" Target="/xl/worksheets/sheet20.xml" Id="Ra731c8bab6db40e2" /><Relationship Type="http://schemas.openxmlformats.org/officeDocument/2006/relationships/worksheet" Target="/xl/worksheets/sheet21.xml" Id="R91bb7da999a74458" /><Relationship Type="http://schemas.openxmlformats.org/officeDocument/2006/relationships/worksheet" Target="/xl/worksheets/sheet22.xml" Id="R4659ce11c04a4dfd" /><Relationship Type="http://schemas.openxmlformats.org/officeDocument/2006/relationships/worksheet" Target="/xl/worksheets/sheet23.xml" Id="R47b7a7a803ae4d1c" /><Relationship Type="http://schemas.openxmlformats.org/officeDocument/2006/relationships/worksheet" Target="/xl/worksheets/sheet24.xml" Id="R9f945b78e52e419d" /><Relationship Type="http://schemas.openxmlformats.org/officeDocument/2006/relationships/worksheet" Target="/xl/worksheets/sheet25.xml" Id="R7a5f56c690fc424e" /><Relationship Type="http://schemas.openxmlformats.org/officeDocument/2006/relationships/worksheet" Target="/xl/worksheets/sheet26.xml" Id="Rd02be12938ca440b" /><Relationship Type="http://schemas.openxmlformats.org/officeDocument/2006/relationships/worksheet" Target="/xl/worksheets/sheet27.xml" Id="R2c914dfd38df4e82" /><Relationship Type="http://schemas.openxmlformats.org/officeDocument/2006/relationships/worksheet" Target="/xl/worksheets/sheet28.xml" Id="Rf1c12821790247bb" /><Relationship Type="http://schemas.openxmlformats.org/officeDocument/2006/relationships/worksheet" Target="/xl/worksheets/sheet29.xml" Id="R675b8dd7fb554816" /><Relationship Type="http://schemas.openxmlformats.org/officeDocument/2006/relationships/worksheet" Target="/xl/worksheets/sheet30.xml" Id="R5269f6aaecb043b0" /><Relationship Type="http://schemas.openxmlformats.org/officeDocument/2006/relationships/worksheet" Target="/xl/worksheets/sheet31.xml" Id="Reb7ccf88ee8a481a" /><Relationship Type="http://schemas.openxmlformats.org/officeDocument/2006/relationships/worksheet" Target="/xl/worksheets/sheet32.xml" Id="R155fa78303664383" /><Relationship Type="http://schemas.openxmlformats.org/officeDocument/2006/relationships/worksheet" Target="/xl/worksheets/sheet33.xml" Id="Ree6c29461af941ae" /><Relationship Type="http://schemas.openxmlformats.org/officeDocument/2006/relationships/worksheet" Target="/xl/worksheets/sheet34.xml" Id="R8299a7d2c6044ccb" /><Relationship Type="http://schemas.openxmlformats.org/officeDocument/2006/relationships/worksheet" Target="/xl/worksheets/sheet35.xml" Id="R8864f7adfae54f70" /><Relationship Type="http://schemas.openxmlformats.org/officeDocument/2006/relationships/worksheet" Target="/xl/worksheets/sheet36.xml" Id="Rcb5f5f70cb984cd3" /><Relationship Type="http://schemas.openxmlformats.org/officeDocument/2006/relationships/worksheet" Target="/xl/worksheets/sheet37.xml" Id="Rd9b012f1739148d8" /><Relationship Type="http://schemas.openxmlformats.org/officeDocument/2006/relationships/worksheet" Target="/xl/worksheets/sheet38.xml" Id="Rdb55ecf59cf94ed6" /><Relationship Type="http://schemas.openxmlformats.org/officeDocument/2006/relationships/worksheet" Target="/xl/worksheets/sheet39.xml" Id="Rdd4a7ec713b84544" /><Relationship Type="http://schemas.openxmlformats.org/officeDocument/2006/relationships/worksheet" Target="/xl/worksheets/sheet40.xml" Id="R3a73a8da5a8c4806" /><Relationship Type="http://schemas.openxmlformats.org/officeDocument/2006/relationships/worksheet" Target="/xl/worksheets/sheet41.xml" Id="R932d84562e374c9f" /><Relationship Type="http://schemas.openxmlformats.org/officeDocument/2006/relationships/worksheet" Target="/xl/worksheets/sheet42.xml" Id="Rc824a48ab0de4c15" /><Relationship Type="http://schemas.openxmlformats.org/officeDocument/2006/relationships/worksheet" Target="/xl/worksheets/sheet43.xml" Id="R49d2aa7ea4a94ab7" /><Relationship Type="http://schemas.openxmlformats.org/officeDocument/2006/relationships/worksheet" Target="/xl/worksheets/sheet44.xml" Id="R8cbf5dd16edd496c" /><Relationship Type="http://schemas.openxmlformats.org/officeDocument/2006/relationships/worksheet" Target="/xl/worksheets/sheet45.xml" Id="R4c06772c82dd4963" /><Relationship Type="http://schemas.openxmlformats.org/officeDocument/2006/relationships/worksheet" Target="/xl/worksheets/sheet46.xml" Id="R14657783ab38456f" /><Relationship Type="http://schemas.openxmlformats.org/officeDocument/2006/relationships/worksheet" Target="/xl/worksheets/sheet47.xml" Id="R4446e223a9474e3e" /><Relationship Type="http://schemas.openxmlformats.org/officeDocument/2006/relationships/worksheet" Target="/xl/worksheets/sheet48.xml" Id="R51cc12ff136a46d9" /><Relationship Type="http://schemas.openxmlformats.org/officeDocument/2006/relationships/worksheet" Target="/xl/worksheets/sheet49.xml" Id="Rf0145b8dd4a649b2" /><Relationship Type="http://schemas.openxmlformats.org/officeDocument/2006/relationships/worksheet" Target="/xl/worksheets/sheet50.xml" Id="R5bba7a14f250421d" /><Relationship Type="http://schemas.openxmlformats.org/officeDocument/2006/relationships/worksheet" Target="/xl/worksheets/sheet51.xml" Id="R60ee270338784a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fd50c11cea49f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8d7439ba25f4d6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1a267a95a3b4e4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a1dd9717386497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5e6c340c41b41b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223abe654694d7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f1d38491feb24f5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ee62132952af436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e3fe7bea235a427c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8aa97ef6928449a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d77113d73a2b4b7c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5abb9d69ae3342b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53b4fc7251384c15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d95b85201e5043c9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3c7fcb9d76b94386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bbbcbbfdff404b2c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d0a253393519426e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409e133d38ad40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레벨별 누적 성장재화 비용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1인 누적비용</c:v>
          </c:tx>
          <c:marker>
            <c:symbol val="none"/>
          </c:marker>
          <c:cat>
            <c:strRef>
              <c:f>'로비성장_확정후보_V1_9'!$K$27:$K$46</c:f>
              <c:strCache>
                <c:ptCount val="0"/>
              </c:strCache>
            </c:strRef>
          </c:cat>
          <c:val>
            <c:numRef>
              <c:f>'로비성장_확정후보_V1_9'!$L$27:$L$46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3인 누적비용</c:v>
          </c:tx>
          <c:marker>
            <c:symbol val="none"/>
          </c:marker>
          <c:cat>
            <c:strRef>
              <c:f>'로비성장_확정후보_V1_9'!$K$27:$K$46</c:f>
              <c:strCache>
                <c:ptCount val="0"/>
              </c:strCache>
            </c:strRef>
          </c:cat>
          <c:val>
            <c:numRef>
              <c:f>'로비성장_확정후보_V1_9'!$M$27:$M$46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5인 누적비용</c:v>
          </c:tx>
          <c:marker>
            <c:symbol val="none"/>
          </c:marker>
          <c:cat>
            <c:strRef>
              <c:f>'로비성장_확정후보_V1_9'!$K$27:$K$46</c:f>
              <c:strCache>
                <c:ptCount val="0"/>
              </c:strCache>
            </c:strRef>
          </c:cat>
          <c:val>
            <c:numRef>
              <c:f>'로비성장_확정후보_V1_9'!$N$27:$N$46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 11~20 권장전투력 vs 적 압박 추세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 전투력</c:v>
          </c:tx>
          <c:marker>
            <c:symbol val="none"/>
          </c:marker>
          <c:cat>
            <c:strRef>
              <c:f>'NORMAL11_20_자연육성'!$K$50:$K$59</c:f>
              <c:strCache>
                <c:ptCount val="0"/>
              </c:strCache>
            </c:strRef>
          </c:cat>
          <c:val>
            <c:numRef>
              <c:f>'NORMAL11_20_자연육성'!$L$50:$L$59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압박지수 상대값(11=339)</c:v>
          </c:tx>
          <c:marker>
            <c:symbol val="none"/>
          </c:marker>
          <c:cat>
            <c:strRef>
              <c:f>'NORMAL11_20_자연육성'!$K$50:$K$59</c:f>
              <c:strCache>
                <c:ptCount val="0"/>
              </c:strCache>
            </c:strRef>
          </c:cat>
          <c:val>
            <c:numRef>
              <c:f>'NORMAL11_20_자연육성'!$M$50:$M$59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 21~30 권장전투력 vs 적 압박 추세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strRef>
              <c:f>'NORMAL21_30_성장벽'!$L$37:$L$46</c:f>
              <c:strCache>
                <c:ptCount val="0"/>
              </c:strCache>
            </c:strRef>
          </c:cat>
          <c:val>
            <c:numRef>
              <c:f>'NORMAL21_30_성장벽'!$M$37:$M$46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압박 상대지수(21=1152)</c:v>
          </c:tx>
          <c:marker>
            <c:symbol val="none"/>
          </c:marker>
          <c:cat>
            <c:strRef>
              <c:f>'NORMAL21_30_성장벽'!$L$37:$L$46</c:f>
              <c:strCache>
                <c:ptCount val="0"/>
              </c:strCache>
            </c:strRef>
          </c:cat>
          <c:val>
            <c:numRef>
              <c:f>'NORMAL21_30_성장벽'!$N$37:$N$46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 31~36 권장전투력 vs 적 압박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strRef>
              <c:f>'HARD31_36_1주성장벽'!$L$32:$L$37</c:f>
              <c:strCache>
                <c:ptCount val="0"/>
              </c:strCache>
            </c:strRef>
          </c:cat>
          <c:val>
            <c:numRef>
              <c:f>'HARD31_36_1주성장벽'!$M$32:$M$37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압박 상대지수(31=5200)</c:v>
          </c:tx>
          <c:marker>
            <c:symbol val="none"/>
          </c:marker>
          <c:cat>
            <c:strRef>
              <c:f>'HARD31_36_1주성장벽'!$L$32:$L$37</c:f>
              <c:strCache>
                <c:ptCount val="0"/>
              </c:strCache>
            </c:strRef>
          </c:cat>
          <c:val>
            <c:numRef>
              <c:f>'HARD31_36_1주성장벽'!$N$32:$N$37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 37~45 권장전투력 vs 적 압박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strRef>
              <c:f>'HARD37_45_성장벽'!$L$37:$L$45</c:f>
              <c:strCache>
                <c:ptCount val="0"/>
              </c:strCache>
            </c:strRef>
          </c:cat>
          <c:val>
            <c:numRef>
              <c:f>'HARD37_45_성장벽'!$M$37:$M$45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압박 상대지수(37=8025)</c:v>
          </c:tx>
          <c:marker>
            <c:symbol val="none"/>
          </c:marker>
          <c:cat>
            <c:strRef>
              <c:f>'HARD37_45_성장벽'!$L$37:$L$45</c:f>
              <c:strCache>
                <c:ptCount val="0"/>
              </c:strCache>
            </c:strRef>
          </c:cat>
          <c:val>
            <c:numRef>
              <c:f>'HARD37_45_성장벽'!$N$37:$N$45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 46~50 권장전투력 vs 적 압박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strRef>
              <c:f>'HARD46_50_최종성장벽'!$L$31:$L$35</c:f>
              <c:strCache>
                <c:ptCount val="0"/>
              </c:strCache>
            </c:strRef>
          </c:cat>
          <c:val>
            <c:numRef>
              <c:f>'HARD46_50_최종성장벽'!$M$31:$M$35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압박 상대지수(46=15386)</c:v>
          </c:tx>
          <c:marker>
            <c:symbol val="none"/>
          </c:marker>
          <c:cat>
            <c:strRef>
              <c:f>'HARD46_50_최종성장벽'!$L$31:$L$35</c:f>
              <c:strCache>
                <c:ptCount val="0"/>
              </c:strCache>
            </c:strRef>
          </c:cat>
          <c:val>
            <c:numRef>
              <c:f>'HARD46_50_최종성장벽'!$N$31:$N$35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Stage1 웨이브 클리어 시간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클리어시간</c:v>
          </c:tx>
          <c:marker>
            <c:symbol val="none"/>
          </c:marker>
          <c:cat>
            <c:strRef>
              <c:f>'STAGE1_실전시뮬레이션_V1'!$I$30:$I$39</c:f>
              <c:strCache>
                <c:ptCount val="0"/>
              </c:strCache>
            </c:strRef>
          </c:cat>
          <c:val>
            <c:numRef>
              <c:f>'STAGE1_실전시뮬레이션_V1'!$J$30:$J$39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30초 기준</c:v>
          </c:tx>
          <c:marker>
            <c:symbol val="none"/>
          </c:marker>
          <c:cat>
            <c:strRef>
              <c:f>'STAGE1_실전시뮬레이션_V1'!$I$30:$I$39</c:f>
              <c:strCache>
                <c:ptCount val="0"/>
              </c:strCache>
            </c:strRef>
          </c:cat>
          <c:val>
            <c:numRef>
              <c:f>'STAGE1_실전시뮬레이션_V1'!$K$30:$K$39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두번째 전설별 Stage10 W10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Stage10 예상초</c:v>
          </c:tx>
          <c:cat>
            <c:strRef>
              <c:f>'SECOND_LEGEND_TD_V1'!$K$22:$K$26</c:f>
              <c:strCache>
                <c:ptCount val="0"/>
              </c:strCache>
            </c:strRef>
          </c:cat>
          <c:val>
            <c:numRef>
              <c:f>'SECOND_LEGEND_TD_V1'!$L$22:$L$26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30초</c:v>
          </c:tx>
          <c:cat>
            <c:strRef>
              <c:f>'SECOND_LEGEND_TD_V1'!$K$22:$K$26</c:f>
              <c:strCache>
                <c:ptCount val="0"/>
              </c:strCache>
            </c:strRef>
          </c:cat>
          <c:val>
            <c:numRef>
              <c:f>'SECOND_LEGEND_TD_V1'!$M$22:$M$26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신화 실전기여 vs 조합원가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실전기여</c:v>
          </c:tx>
          <c:cat>
            <c:strRef>
              <c:f>'MYTHIC_BUILD_V1'!$L$28:$L$39</c:f>
              <c:strCache>
                <c:ptCount val="0"/>
              </c:strCache>
            </c:strRef>
          </c:cat>
          <c:val>
            <c:numRef>
              <c:f>'MYTHIC_BUILD_V1'!$M$28:$M$39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총원가</c:v>
          </c:tx>
          <c:cat>
            <c:strRef>
              <c:f>'MYTHIC_BUILD_V1'!$L$28:$L$39</c:f>
              <c:strCache>
                <c:ptCount val="0"/>
              </c:strCache>
            </c:strRef>
          </c:cat>
          <c:val>
            <c:numRef>
              <c:f>'MYTHIC_BUILD_V1'!$N$28:$N$39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Normal21~30 5영웅 전환 추세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영웅분담률</c:v>
          </c:tx>
          <c:marker>
            <c:symbol val="none"/>
          </c:marker>
          <c:cat>
            <c:strRef>
              <c:f>'NORMAL21_30_5HERO_BUILD'!$K$35:$K$39</c:f>
              <c:strCache>
                <c:ptCount val="0"/>
              </c:strCache>
            </c:strRef>
          </c:cat>
          <c:val>
            <c:numRef>
              <c:f>'NORMAL21_30_5HERO_BUILD'!$L$35:$L$39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표준 잔여G</c:v>
          </c:tx>
          <c:marker>
            <c:symbol val="none"/>
          </c:marker>
          <c:cat>
            <c:strRef>
              <c:f>'NORMAL21_30_5HERO_BUILD'!$K$35:$K$39</c:f>
              <c:strCache>
                <c:ptCount val="0"/>
              </c:strCache>
            </c:strRef>
          </c:cat>
          <c:val>
            <c:numRef>
              <c:f>'NORMAL21_30_5HERO_BUILD'!$M$35:$M$39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Hard31~36 W10 실제 예상 클리어시간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표준 예상초</c:v>
          </c:tx>
          <c:marker>
            <c:symbol val="none"/>
          </c:marker>
          <c:cat>
            <c:strRef>
              <c:f>'HARD31_36_CLEAR_AUDIT'!$L$34:$L$39</c:f>
              <c:strCache>
                <c:ptCount val="0"/>
              </c:strCache>
            </c:strRef>
          </c:cat>
          <c:val>
            <c:numRef>
              <c:f>'HARD31_36_CLEAR_AUDIT'!$M$34:$M$39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최적 예상초</c:v>
          </c:tx>
          <c:marker>
            <c:symbol val="none"/>
          </c:marker>
          <c:cat>
            <c:strRef>
              <c:f>'HARD31_36_CLEAR_AUDIT'!$L$34:$L$39</c:f>
              <c:strCache>
                <c:ptCount val="0"/>
              </c:strCache>
            </c:strRef>
          </c:cat>
          <c:val>
            <c:numRef>
              <c:f>'HARD31_36_CLEAR_AUDIT'!$N$34:$N$39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30초 기준</c:v>
          </c:tx>
          <c:marker>
            <c:symbol val="none"/>
          </c:marker>
          <c:cat>
            <c:strRef>
              <c:f>'HARD31_36_CLEAR_AUDIT'!$L$34:$L$39</c:f>
              <c:strCache>
                <c:ptCount val="0"/>
              </c:strCache>
            </c:strRef>
          </c:cat>
          <c:val>
            <c:numRef>
              <c:f>'HARD31_36_CLEAR_AUDIT'!$O$34:$O$39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Hard31~33 W10 EHP 재설계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기존 W10 EHP</c:v>
          </c:tx>
          <c:cat>
            <c:strRef>
              <c:f>'HARD31_33_REDESIGN'!$J$23:$J$25</c:f>
              <c:strCache>
                <c:ptCount val="0"/>
              </c:strCache>
            </c:strRef>
          </c:cat>
          <c:val>
            <c:numRef>
              <c:f>'HARD31_33_REDESIGN'!$K$23:$K$25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신규 W10 EHP</c:v>
          </c:tx>
          <c:cat>
            <c:strRef>
              <c:f>'HARD31_33_REDESIGN'!$J$23:$J$25</c:f>
              <c:strCache>
                <c:ptCount val="0"/>
              </c:strCache>
            </c:strRef>
          </c:cat>
          <c:val>
            <c:numRef>
              <c:f>'HARD31_33_REDESIGN'!$L$23:$L$25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Stage30~33 RPG 처치시간 vs 생존시간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RPG 처치초</c:v>
          </c:tx>
          <c:marker>
            <c:symbol val="none"/>
          </c:marker>
          <c:cat>
            <c:strRef>
              <c:f>'TD_RPG_통합검수_30_33'!$A$11:$A$14</c:f>
              <c:strCache>
                <c:ptCount val="0"/>
              </c:strCache>
            </c:strRef>
          </c:cat>
          <c:val>
            <c:numRef>
              <c:f>'TD_RPG_통합검수_30_33'!$B$11:$B$14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RPG 생존초</c:v>
          </c:tx>
          <c:marker>
            <c:symbol val="none"/>
          </c:marker>
          <c:cat>
            <c:strRef>
              <c:f>'TD_RPG_통합검수_30_33'!$A$11:$A$14</c:f>
              <c:strCache>
                <c:ptCount val="0"/>
              </c:strCache>
            </c:strRef>
          </c:cat>
          <c:val>
            <c:numRef>
              <c:f>'TD_RPG_통합검수_30_33'!$C$11:$C$14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판정선</c:v>
          </c:tx>
          <c:marker>
            <c:symbol val="none"/>
          </c:marker>
          <c:cat>
            <c:strRef>
              <c:f>'TD_RPG_통합검수_30_33'!$A$11:$A$14</c:f>
              <c:strCache>
                <c:ptCount val="0"/>
              </c:strCache>
            </c:strRef>
          </c:cat>
          <c:val>
            <c:numRef>
              <c:f>'TD_RPG_통합검수_30_33'!$D$11:$D$14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Normal1~20 RPG 파티 성장곡선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권장 영웅수</c:v>
          </c:tx>
          <c:marker>
            <c:symbol val="none"/>
          </c:marker>
          <c:cat>
            <c:strRef>
              <c:f>'NORMAL1_20_RPG_MINIMUM'!$J$36:$J$55</c:f>
              <c:strCache>
                <c:ptCount val="0"/>
              </c:strCache>
            </c:strRef>
          </c:cat>
          <c:val>
            <c:numRef>
              <c:f>'NORMAL1_20_RPG_MINIMUM'!$K$36:$K$55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목표 RPG 처치초</c:v>
          </c:tx>
          <c:marker>
            <c:symbol val="none"/>
          </c:marker>
          <c:cat>
            <c:strRef>
              <c:f>'NORMAL1_20_RPG_MINIMUM'!$J$36:$J$55</c:f>
              <c:strCache>
                <c:ptCount val="0"/>
              </c:strCache>
            </c:strRef>
          </c:cat>
          <c:val>
            <c:numRef>
              <c:f>'NORMAL1_20_RPG_MINIMUM'!$L$36:$L$55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Hard45~50 TD: 5신화 vs 4신화+전설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5신화 TD초</c:v>
          </c:tx>
          <c:marker>
            <c:symbol val="none"/>
          </c:marker>
          <c:cat>
            <c:strRef>
              <c:f>'HARD45_50_FINAL_DESIGN'!$P$33:$P$38</c:f>
              <c:strCache>
                <c:ptCount val="0"/>
              </c:strCache>
            </c:strRef>
          </c:cat>
          <c:val>
            <c:numRef>
              <c:f>'HARD45_50_FINAL_DESIGN'!$Q$33:$Q$38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4+1 TD초</c:v>
          </c:tx>
          <c:marker>
            <c:symbol val="none"/>
          </c:marker>
          <c:cat>
            <c:strRef>
              <c:f>'HARD45_50_FINAL_DESIGN'!$P$33:$P$38</c:f>
              <c:strCache>
                <c:ptCount val="0"/>
              </c:strCache>
            </c:strRef>
          </c:cat>
          <c:val>
            <c:numRef>
              <c:f>'HARD45_50_FINAL_DESIGN'!$R$33:$R$38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30초</c:v>
          </c:tx>
          <c:marker>
            <c:symbol val="none"/>
          </c:marker>
          <c:cat>
            <c:strRef>
              <c:f>'HARD45_50_FINAL_DESIGN'!$P$33:$P$38</c:f>
              <c:strCache>
                <c:ptCount val="0"/>
              </c:strCache>
            </c:strRef>
          </c:cat>
          <c:val>
            <c:numRef>
              <c:f>'HARD45_50_FINAL_DESIGN'!$S$33:$S$38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TD 영웅 슬롯 수 = RPG 참가 영웅 수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현재 영웅수</c:v>
          </c:tx>
          <c:marker>
            <c:symbol val="none"/>
          </c:marker>
          <c:cat>
            <c:strRef>
              <c:f>'5영웅_슬롯규칙_V1'!$J$41:$J$45</c:f>
              <c:strCache>
                <c:ptCount val="0"/>
              </c:strCache>
            </c:strRef>
          </c:cat>
          <c:val>
            <c:numRef>
              <c:f>'5영웅_슬롯규칙_V1'!$K$41:$K$45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RPG 참가수</c:v>
          </c:tx>
          <c:marker>
            <c:symbol val="none"/>
          </c:marker>
          <c:cat>
            <c:strRef>
              <c:f>'5영웅_슬롯규칙_V1'!$J$41:$J$45</c:f>
              <c:strCache>
                <c:ptCount val="0"/>
              </c:strCache>
            </c:strRef>
          </c:cat>
          <c:val>
            <c:numRef>
              <c:f>'5영웅_슬롯규칙_V1'!$L$41:$L$45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전설 영웅 성급별 판매가격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★1</c:v>
          </c:tx>
          <c:marker>
            <c:symbol val="none"/>
          </c:marker>
          <c:cat>
            <c:strRef>
              <c:f>'판매가격_경제설계_V1'!$O$25:$O$32</c:f>
              <c:strCache>
                <c:ptCount val="0"/>
              </c:strCache>
            </c:strRef>
          </c:cat>
          <c:val>
            <c:numRef>
              <c:f>'판매가격_경제설계_V1'!$P$25:$P$32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★2</c:v>
          </c:tx>
          <c:marker>
            <c:symbol val="none"/>
          </c:marker>
          <c:cat>
            <c:strRef>
              <c:f>'판매가격_경제설계_V1'!$O$25:$O$32</c:f>
              <c:strCache>
                <c:ptCount val="0"/>
              </c:strCache>
            </c:strRef>
          </c:cat>
          <c:val>
            <c:numRef>
              <c:f>'판매가격_경제설계_V1'!$Q$25:$Q$32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★3</c:v>
          </c:tx>
          <c:marker>
            <c:symbol val="none"/>
          </c:marker>
          <c:cat>
            <c:strRef>
              <c:f>'판매가격_경제설계_V1'!$O$25:$O$32</c:f>
              <c:strCache>
                <c:ptCount val="0"/>
              </c:strCache>
            </c:strRef>
          </c:cat>
          <c:val>
            <c:numRef>
              <c:f>'판매가격_경제설계_V1'!$R$25:$R$32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★4</c:v>
          </c:tx>
          <c:marker>
            <c:symbol val="none"/>
          </c:marker>
          <c:cat>
            <c:strRef>
              <c:f>'판매가격_경제설계_V1'!$O$25:$O$32</c:f>
              <c:strCache>
                <c:ptCount val="0"/>
              </c:strCache>
            </c:strRef>
          </c:cat>
          <c:val>
            <c:numRef>
              <c:f>'판매가격_경제설계_V1'!$S$25:$S$32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★5</c:v>
          </c:tx>
          <c:marker>
            <c:symbol val="none"/>
          </c:marker>
          <c:cat>
            <c:strRef>
              <c:f>'판매가격_경제설계_V1'!$O$25:$O$32</c:f>
              <c:strCache>
                <c:ptCount val="0"/>
              </c:strCache>
            </c:strRef>
          </c:cat>
          <c:val>
            <c:numRef>
              <c:f>'판매가격_경제설계_V1'!$T$25:$T$32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Hard34~44 TD/RPG 목표시간</a:t>
            </a:r>
          </a:p>
        </c:rich>
      </c:tx>
    </c:title>
    <c:plotArea>
      <c:lineChart>
        <c:grouping val="standard"/>
        <c:ser>
          <c:idx val="0"/>
          <c:order val="0"/>
          <c:tx>
            <c:v>TD 목표초</c:v>
          </c:tx>
          <c:marker>
            <c:symbol val="none"/>
          </c:marker>
          <c:cat>
            <c:strRef>
              <c:f>'HARD34_44_TD_RPG통합'!$J$29:$J$39</c:f>
              <c:strCache>
                <c:ptCount val="0"/>
              </c:strCache>
            </c:strRef>
          </c:cat>
          <c:val>
            <c:numRef>
              <c:f>'HARD34_44_TD_RPG통합'!$K$29:$K$39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RPG 처치초</c:v>
          </c:tx>
          <c:marker>
            <c:symbol val="none"/>
          </c:marker>
          <c:cat>
            <c:strRef>
              <c:f>'HARD34_44_TD_RPG통합'!$J$29:$J$39</c:f>
              <c:strCache>
                <c:ptCount val="0"/>
              </c:strCache>
            </c:strRef>
          </c:cat>
          <c:val>
            <c:numRef>
              <c:f>'HARD34_44_TD_RPG통합'!$L$29:$L$39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RPG 생존초</c:v>
          </c:tx>
          <c:marker>
            <c:symbol val="none"/>
          </c:marker>
          <c:cat>
            <c:strRef>
              <c:f>'HARD34_44_TD_RPG통합'!$J$29:$J$39</c:f>
              <c:strCache>
                <c:ptCount val="0"/>
              </c:strCache>
            </c:strRef>
          </c:cat>
          <c:val>
            <c:numRef>
              <c:f>'HARD34_44_TD_RPG통합'!$M$29:$M$39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fd50c11cea49f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d7439ba25f4d6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a267a95a3b4e4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1dd9717386497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6c340c41b41b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23abe654694d7a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8</xdr:col>
      <xdr:colOff>0</xdr:colOff>
      <xdr:row>27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d38491feb24f5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2132952af436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11</xdr:col>
      <xdr:colOff>0</xdr:colOff>
      <xdr:row>25</xdr:row>
      <xdr:rowOff>0</xdr:rowOff>
    </xdr:from>
    <xdr:to>
      <xdr:col>20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fe7bea235a427c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10</xdr:col>
      <xdr:colOff>0</xdr:colOff>
      <xdr:row>25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97ef6928449a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11</xdr:col>
      <xdr:colOff>0</xdr:colOff>
      <xdr:row>22</xdr:row>
      <xdr:rowOff>0</xdr:rowOff>
    </xdr:from>
    <xdr:to>
      <xdr:col>23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7113d73a2b4b7c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bb9d69ae3342b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b4fc7251384c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9</xdr:col>
      <xdr:colOff>0</xdr:colOff>
      <xdr:row>25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5b85201e5043c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15</xdr:col>
      <xdr:colOff>0</xdr:colOff>
      <xdr:row>20</xdr:row>
      <xdr:rowOff>0</xdr:rowOff>
    </xdr:from>
    <xdr:to>
      <xdr:col>23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fcb9d76b9438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9</xdr:col>
      <xdr:colOff>0</xdr:colOff>
      <xdr:row>39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bcbbfdff404b2c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>
  <xdr:twoCellAnchor>
    <xdr:from>
      <xdr:col>13</xdr:col>
      <xdr:colOff>0</xdr:colOff>
      <xdr:row>21</xdr:row>
      <xdr:rowOff>0</xdr:rowOff>
    </xdr:from>
    <xdr:to>
      <xdr:col>22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a253393519426e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23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9e133d38ad40f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emyMasterTable" displayName="EnemyMasterTable" ref="B9:I74" totalsRowShown="0">
  <x:tableColumns count="8">
    <x:tableColumn id="1" name="지역"/>
    <x:tableColumn id="2" name="구분"/>
    <x:tableColumn id="3" name="몬스터명"/>
    <x:tableColumn id="4" name="콘셉트"/>
    <x:tableColumn id="5" name="TD 역할"/>
    <x:tableColumn id="6" name="하드모드 변형 예시"/>
    <x:tableColumn id="7" name="비고"/>
    <x:tableColumn id="8" name="기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uckyGirlsCharacterMaster" displayName="LuckyGirlsCharacterMaster" ref="A1:L21" totalsRowShown="0">
  <x:tableColumns count="12">
    <x:tableColumn id="1" name="번호"/>
    <x:tableColumn id="12" name="세력 구분" dataDxfId="8"/>
    <x:tableColumn id="11" name="등급 구분" dataDxfId="7"/>
    <x:tableColumn id="2" name="이름"/>
    <x:tableColumn id="3" name="직업 설정"/>
    <x:tableColumn id="4" name="캐릭터 스탯 (HP/ATK/DEF)"/>
    <x:tableColumn id="5" name="스킬1"/>
    <x:tableColumn id="6" name="스킬2"/>
    <x:tableColumn id="10" name="스킬3" dataDxfId="6"/>
    <x:tableColumn id="7" name="조합재료1"/>
    <x:tableColumn id="8" name="조합재료2"/>
    <x:tableColumn id="9" name="조합재료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4e47e3f74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7f476a747b148c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fa4957cc6029402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2.xml" Id="R780c94c18b8c47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3.xml" Id="Rfa966bd7e65f43c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4.xml" Id="R1801f55f468a4f9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5.xml" Id="Ra9056a6789f5422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6.xml" Id="Rf5c228e1e3b6453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7.xml" Id="Rf247b68c4179471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8.xml" Id="Rf27e0c6734974f3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9.xml" Id="Rb195e729e87842c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10.xml" Id="Ra348598c4f1c472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11.xml" Id="R3abef3a0297c44e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2.xml" Id="R715ca84ef1574a7a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13.xml" Id="R8705733420a541e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14.xml" Id="Rfd4b58ab88c54008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15.xml" Id="R9f6fa25739cc4b1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16.xml" Id="R4a5f0a0f1e074882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17.xml" Id="R2dd1ee934fb7443e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18.xml" Id="R204738d11777403b" /></Relationships>
</file>

<file path=xl/worksheets/sheet1.xml><?xml version="1.0" encoding="utf-8"?>
<x:worksheet xmlns:x="http://schemas.openxmlformats.org/spreadsheetml/2006/main">
  <x:sheetFormatPr defaultRowHeight="16.5"/>
  <x:cols>
    <x:col min="1" max="1" width="11" customWidth="1"/>
    <x:col min="2" max="2" width="20" customWidth="1"/>
    <x:col min="3" max="8" width="11" customWidth="1"/>
    <x:col min="9" max="9" width="10" customWidth="1"/>
    <x:col min="10" max="10" width="20" customWidth="1"/>
    <x:col min="11" max="11" width="12" customWidth="1"/>
    <x:col min="12" max="12" width="28" customWidth="1"/>
    <x:col min="13" max="13" width="24" customWidth="1"/>
    <x:col min="14" max="14" width="18" customWidth="1"/>
    <x:col min="15" max="15" width="28" customWidth="1"/>
    <x:col min="16" max="16" width="34" customWidth="1"/>
    <x:col min="17" max="17" width="14" customWidth="1"/>
    <x:col min="18" max="18" width="16" hidden="0" customWidth="1"/>
    <x:col min="19" max="19" width="18" hidden="0" customWidth="1"/>
    <x:col min="20" max="20" width="46" hidden="0" customWidth="1"/>
    <x:col min="21" max="21" width="22" hidden="0" customWidth="1"/>
    <x:col min="22" max="22" width="16" hidden="0" customWidth="1"/>
    <x:col min="23" max="23" width="42" hidden="0" customWidth="1"/>
  </x:cols>
  <x:sheetData>
    <x:row r="3">
      <x:c r="A3" t="s">
        <x:v>0</x:v>
      </x:c>
    </x:row>
    <x:row r="4">
      <x:c r="A4" t="s">
        <x:v>1</x:v>
      </x:c>
    </x:row>
    <x:row r="5">
      <x:c r="A5" t="s">
        <x:v>2</x:v>
      </x:c>
      <x:c r="B5" t="s">
        <x:v>3</x:v>
      </x:c>
      <x:c r="C5" t="s">
        <x:v>4</x:v>
      </x:c>
      <x:c r="D5" t="s">
        <x:v>5</x:v>
      </x:c>
      <x:c r="E5" t="s">
        <x:v>6</x:v>
      </x:c>
      <x:c r="F5" t="s">
        <x:v>7</x:v>
      </x:c>
      <x:c r="G5" t="s">
        <x:v>8</x:v>
      </x:c>
      <x:c r="H5" t="s">
        <x:v>9</x:v>
      </x:c>
      <x:c r="I5" t="s">
        <x:v>10</x:v>
      </x:c>
    </x:row>
    <x:row r="6">
      <x:c r="A6" t="s">
        <x:v>11</x:v>
      </x:c>
      <x:c r="B6" t="s">
        <x:v>12</x:v>
      </x:c>
      <x:c r="C6" t="s">
        <x:v>13</x:v>
      </x:c>
      <x:c r="D6" t="s">
        <x:v>14</x:v>
      </x:c>
      <x:c r="E6" t="s">
        <x:v>15</x:v>
      </x:c>
      <x:c r="F6" t="s">
        <x:v>16</x:v>
      </x:c>
      <x:c r="G6" t="s">
        <x:v>17</x:v>
      </x:c>
      <x:c r="H6" t="s">
        <x:v>18</x:v>
      </x:c>
      <x:c r="I6" t="s">
        <x:v>19</x:v>
      </x:c>
    </x:row>
    <x:row r="8" ht="181.5" customHeight="1">
      <x:c r="A8" s="12" t="s">
        <x:v>20</x:v>
      </x:c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"/>
      <x:c r="M8" s="1"/>
      <x:c r="N8" s="1"/>
      <x:c r="O8" s="1"/>
      <x:c r="P8" s="1"/>
      <x:c r="Q8" s="1"/>
    </x:row>
    <x:row r="9">
      <x:c r="A9" s="3" t="s">
        <x:v>21</x:v>
      </x:c>
      <x:c r="B9" s="3" t="s">
        <x:v>22</x:v>
      </x:c>
      <x:c r="C9" s="3" t="s">
        <x:v>23</x:v>
      </x:c>
      <x:c r="D9" s="3" t="s">
        <x:v>24</x:v>
      </x:c>
      <x:c r="E9" s="3" t="s">
        <x:v>25</x:v>
      </x:c>
      <x:c r="F9" s="3" t="s">
        <x:v>26</x:v>
      </x:c>
      <x:c r="G9" s="3" t="s">
        <x:v>27</x:v>
      </x:c>
      <x:c r="H9" s="3" t="s">
        <x:v>28</x:v>
      </x:c>
      <x:c r="I9" s="3" t="s">
        <x:v>29</x:v>
      </x:c>
      <x:c r="J9" s="3" t="s">
        <x:v>30</x:v>
      </x:c>
      <x:c r="K9" s="3" t="s">
        <x:v>31</x:v>
      </x:c>
      <x:c r="L9" s="3" t="s">
        <x:v>32</x:v>
      </x:c>
      <x:c r="M9" s="3" t="s">
        <x:v>33</x:v>
      </x:c>
      <x:c r="N9" s="3" t="s">
        <x:v>34</x:v>
      </x:c>
      <x:c r="O9" s="3" t="s">
        <x:v>35</x:v>
      </x:c>
      <x:c r="P9" s="3" t="s">
        <x:v>36</x:v>
      </x:c>
      <x:c r="Q9" s="3" t="s">
        <x:v>37</x:v>
      </x:c>
      <x:c r="R9" s="46" t="str">
        <x:v>로비 육성 적용</x:v>
      </x:c>
      <x:c r="S9" s="46" t="str">
        <x:v>로비 성장 스탯</x:v>
      </x:c>
      <x:c r="T9" s="46" t="str">
        <x:v>TD 성급 효과</x:v>
      </x:c>
      <x:c r="U9" s="185" t="str">
        <x:v>전문화 비용 확정안 V1.6</x:v>
      </x:c>
      <x:c r="V9" s="185" t="str">
        <x:v>비용 성격</x:v>
      </x:c>
      <x:c r="W9" s="185" t="str">
        <x:v>설계 메모</x:v>
      </x:c>
      <x:c r="X9" s="744" t="str">
        <x:v>판매 가능</x:v>
      </x:c>
      <x:c r="Y9" s="744" t="str">
        <x:v>★1 판매G</x:v>
      </x:c>
      <x:c r="Z9" s="744" t="str">
        <x:v>★2 판매G</x:v>
      </x:c>
      <x:c r="AA9" s="744" t="str">
        <x:v>★3 판매G</x:v>
      </x:c>
      <x:c r="AB9" s="744" t="str">
        <x:v>★4 판매G</x:v>
      </x:c>
      <x:c r="AC9" s="744" t="str">
        <x:v>★5 판매G</x:v>
      </x:c>
      <x:c r="AD9" s="744" t="str">
        <x:v>판매 메모</x:v>
      </x:c>
    </x:row>
    <x:row r="10">
      <x:c r="A10" s="12" t="s">
        <x:v>38</x:v>
      </x:c>
      <x:c r="B10" s="1" t="s">
        <x:v>39</x:v>
      </x:c>
      <x:c r="C10" s="1">
        <x:v>100</x:v>
      </x:c>
      <x:c r="D10" s="1"/>
      <x:c r="E10" s="1">
        <x:v>0</x:v>
      </x:c>
      <x:c r="F10" s="1"/>
      <x:c r="G10" s="1"/>
      <x:c r="H10" s="1"/>
      <x:c r="I10" s="1"/>
      <x:c r="J10" s="1"/>
      <x:c r="K10" s="1"/>
      <x:c r="L10" s="1"/>
      <x:c r="M10" s="1" t="s">
        <x:v>40</x:v>
      </x:c>
      <x:c r="N10" s="1" t="s">
        <x:v>41</x:v>
      </x:c>
      <x:c r="O10" s="1" t="s">
        <x:v>42</x:v>
      </x:c>
      <x:c r="P10" s="12" t="s">
        <x:v>43</x:v>
      </x:c>
      <x:c r="Q10" s="1">
        <x:v>35</x:v>
      </x:c>
      <x:c r="R10" s="42" t="str">
        <x:v>적용 안 함</x:v>
      </x:c>
      <x:c r="S10" s="42" t="str">
        <x:v>-</x:v>
      </x:c>
      <x:c r="T10" s="42" t="str">
        <x:v>★1 100% / ★2 115% / ★3 132% / ★4 152% / ★5 175%</x:v>
      </x:c>
      <x:c r="U10" s="42" t="str">
        <x:v>80골드</x:v>
      </x:c>
      <x:c r="V10" s="42" t="str">
        <x:v>기존값 유지</x:v>
      </x:c>
      <x:c r="W10" s="42" t="str">
        <x:v>기존 시트 값 유지</x:v>
      </x:c>
      <x:c r="X10" s="42" t="str">
        <x:v>가능</x:v>
      </x:c>
      <x:c r="Y10" s="338" t="n">
        <x:v>10</x:v>
      </x:c>
      <x:c r="Z10" s="338" t="n">
        <x:v>20</x:v>
      </x:c>
      <x:c r="AA10" s="338" t="n">
        <x:v>25</x:v>
      </x:c>
      <x:c r="AB10" s="338" t="n">
        <x:v>40</x:v>
      </x:c>
      <x:c r="AC10" s="338" t="n">
        <x:v>60</x:v>
      </x:c>
      <x:c r="AD10" s="42" t="str">
        <x:v>W1~W9 판매 가능 / 일반 캐릭터와 동일 환급률 / 전문화 재료 복구 없음</x:v>
      </x:c>
    </x:row>
    <x:row r="11" ht="33">
      <x:c r="A11" s="12"/>
      <x:c r="B11" s="1" t="s">
        <x:v>40</x:v>
      </x:c>
      <x:c r="C11" s="1">
        <x:v>150</x:v>
      </x:c>
      <x:c r="D11" s="1"/>
      <x:c r="E11" s="1">
        <x:v>10</x:v>
      </x:c>
      <x:c r="F11" s="1"/>
      <x:c r="G11" s="1"/>
      <x:c r="H11" s="1"/>
      <x:c r="I11" s="1"/>
      <x:c r="J11" s="1"/>
      <x:c r="K11" s="1"/>
      <x:c r="L11" s="1"/>
      <x:c r="M11" s="1" t="s">
        <x:v>44</x:v>
      </x:c>
      <x:c r="N11" s="1" t="s">
        <x:v>45</x:v>
      </x:c>
      <x:c r="O11" s="1" t="s">
        <x:v>46</x:v>
      </x:c>
      <x:c r="P11" s="12" t="s">
        <x:v>47</x:v>
      </x:c>
      <x:c r="Q11" s="1">
        <x:v>55</x:v>
      </x:c>
      <x:c r="R11" s="42" t="str">
        <x:v>적용 안 함</x:v>
      </x:c>
      <x:c r="S11" s="42" t="str">
        <x:v>-</x:v>
      </x:c>
      <x:c r="T11" s="42" t="str">
        <x:v>★1 100% / ★2 115% / ★3 132% / ★4 152% / ★5 175%</x:v>
      </x:c>
      <x:c r="U11" s="42" t="str">
        <x:v>150골드</x:v>
      </x:c>
      <x:c r="V11" s="42" t="str">
        <x:v>기존값 유지</x:v>
      </x:c>
      <x:c r="W11" s="42" t="str">
        <x:v>기존 시트 값 유지</x:v>
      </x:c>
      <x:c r="X11" s="42" t="str">
        <x:v>가능</x:v>
      </x:c>
      <x:c r="Y11" s="338" t="n">
        <x:v>40</x:v>
      </x:c>
      <x:c r="Z11" s="338" t="n">
        <x:v>55</x:v>
      </x:c>
      <x:c r="AA11" s="338" t="n">
        <x:v>65</x:v>
      </x:c>
      <x:c r="AB11" s="338" t="n">
        <x:v>90</x:v>
      </x:c>
      <x:c r="AC11" s="338" t="n">
        <x:v>120</x:v>
      </x:c>
      <x:c r="AD11" s="42" t="str">
        <x:v>W1~W9 판매 가능 / 일반 캐릭터와 동일 환급률 / 전문화 재료 복구 없음</x:v>
      </x:c>
    </x:row>
    <x:row r="12">
      <x:c r="A12" s="12"/>
      <x:c r="B12" s="1" t="s">
        <x:v>48</x:v>
      </x:c>
      <x:c r="C12" s="1">
        <x:v>250</x:v>
      </x:c>
      <x:c r="D12" s="1"/>
      <x:c r="E12" s="1">
        <x:v>20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 t="s">
        <x:v>49</x:v>
      </x:c>
      <x:c r="P12" s="12" t="s">
        <x:v>50</x:v>
      </x:c>
      <x:c r="Q12" s="1">
        <x:v>85</x:v>
      </x:c>
      <x:c r="R12" s="42" t="str">
        <x:v>적용 안 함</x:v>
      </x:c>
      <x:c r="S12" s="42" t="str">
        <x:v>-</x:v>
      </x:c>
      <x:c r="T12" s="42" t="str">
        <x:v>★1 100% / ★2 115% / ★3 132% / ★4 152% / ★5 175%</x:v>
      </x:c>
      <x:c r="U12" s="42" t="str">
        <x:v>-</x:v>
      </x:c>
      <x:c r="V12" s="42" t="str">
        <x:v>해당 없음</x:v>
      </x:c>
      <x:c r="W12" s="42" t="str">
        <x:v>전문화 트리 없음</x:v>
      </x:c>
      <x:c r="X12" s="42" t="str">
        <x:v>가능</x:v>
      </x:c>
      <x:c r="Y12" s="338" t="n">
        <x:v>105</x:v>
      </x:c>
      <x:c r="Z12" s="338" t="n">
        <x:v>120</x:v>
      </x:c>
      <x:c r="AA12" s="338" t="n">
        <x:v>145</x:v>
      </x:c>
      <x:c r="AB12" s="338" t="n">
        <x:v>175</x:v>
      </x:c>
      <x:c r="AC12" s="338" t="n">
        <x:v>225</x:v>
      </x:c>
      <x:c r="AD12" s="42" t="str">
        <x:v>W1~W9 판매 가능 / 일반 캐릭터와 동일 환급률 / 전문화 재료 복구 없음</x:v>
      </x:c>
    </x:row>
    <x:row r="13" ht="49.5" customHeight="1">
      <x:c r="A13" s="12"/>
      <x:c r="B13" s="1" t="s">
        <x:v>51</x:v>
      </x:c>
      <x:c r="C13" s="1">
        <x:v>200</x:v>
      </x:c>
      <x:c r="D13" s="1">
        <x:v>35</x:v>
      </x:c>
      <x:c r="E13" s="1">
        <x:v>10</x:v>
      </x:c>
      <x:c r="F13" s="1"/>
      <x:c r="G13" s="1"/>
      <x:c r="H13" s="1">
        <x:v>1</x:v>
      </x:c>
      <x:c r="I13" s="1">
        <x:v>1</x:v>
      </x:c>
      <x:c r="J13" s="1" t="s">
        <x:v>3</x:v>
      </x:c>
      <x:c r="K13" s="1" t="s">
        <x:v>52</x:v>
      </x:c>
      <x:c r="L13" s="1" t="s">
        <x:v>53</x:v>
      </x:c>
      <x:c r="M13" s="1"/>
      <x:c r="N13" s="1"/>
      <x:c r="O13" s="1" t="s">
        <x:v>49</x:v>
      </x:c>
      <x:c r="P13" s="12" t="s">
        <x:v>54</x:v>
      </x:c>
      <x:c r="Q13" s="1">
        <x:v>80</x:v>
      </x:c>
      <x:c r="R13" s="42" t="str">
        <x:v>적용 안 함</x:v>
      </x:c>
      <x:c r="S13" s="42" t="str">
        <x:v>-</x:v>
      </x:c>
      <x:c r="T13" s="42" t="str">
        <x:v>★1 100% / ★2 115% / ★3 132% / ★4 152% / ★5 175%</x:v>
      </x:c>
      <x:c r="U13" s="42" t="str">
        <x:v>-</x:v>
      </x:c>
      <x:c r="V13" s="42" t="str">
        <x:v>해당 없음</x:v>
      </x:c>
      <x:c r="W13" s="42" t="str">
        <x:v>전문화 트리 없음</x:v>
      </x:c>
      <x:c r="X13" s="42" t="str">
        <x:v>가능</x:v>
      </x:c>
      <x:c r="Y13" s="338" t="n">
        <x:v>105</x:v>
      </x:c>
      <x:c r="Z13" s="338" t="n">
        <x:v>120</x:v>
      </x:c>
      <x:c r="AA13" s="338" t="n">
        <x:v>140</x:v>
      </x:c>
      <x:c r="AB13" s="338" t="n">
        <x:v>170</x:v>
      </x:c>
      <x:c r="AC13" s="338" t="n">
        <x:v>215</x:v>
      </x:c>
      <x:c r="AD13" s="42" t="str">
        <x:v>W1~W9 판매 가능 / 일반 캐릭터와 동일 환급률 / 전문화 재료 복구 없음</x:v>
      </x:c>
    </x:row>
    <x:row r="14">
      <x:c r="A14" s="12"/>
      <x:c r="B14" s="1" t="s">
        <x:v>55</x:v>
      </x:c>
      <x:c r="C14" s="1"/>
      <x:c r="D14" s="1">
        <x:v>15</x:v>
      </x:c>
      <x:c r="E14" s="1"/>
      <x:c r="F14" s="1">
        <x:v>10</x:v>
      </x:c>
      <x:c r="G14" s="1"/>
      <x:c r="H14" s="1">
        <x:v>3</x:v>
      </x:c>
      <x:c r="I14" s="1">
        <x:v>1</x:v>
      </x:c>
      <x:c r="J14" s="1" t="s">
        <x:v>2</x:v>
      </x:c>
      <x:c r="K14" s="1" t="s">
        <x:v>56</x:v>
      </x:c>
      <x:c r="L14" s="1" t="s">
        <x:v>57</x:v>
      </x:c>
      <x:c r="M14" s="1" t="s">
        <x:v>58</x:v>
      </x:c>
      <x:c r="N14" s="1" t="s">
        <x:v>59</x:v>
      </x:c>
      <x:c r="O14" s="1" t="s">
        <x:v>60</x:v>
      </x:c>
      <x:c r="P14" s="12" t="s">
        <x:v>61</x:v>
      </x:c>
      <x:c r="Q14" s="1">
        <x:v>40</x:v>
      </x:c>
      <x:c r="R14" s="42" t="str">
        <x:v>적용 안 함</x:v>
      </x:c>
      <x:c r="S14" s="42" t="str">
        <x:v>-</x:v>
      </x:c>
      <x:c r="T14" s="42" t="str">
        <x:v>★1 100% / ★2 115% / ★3 132% / ★4 152% / ★5 175%</x:v>
      </x:c>
      <x:c r="U14" s="42" t="str">
        <x:v>50골드</x:v>
      </x:c>
      <x:c r="V14" s="42" t="str">
        <x:v>기존값 유지</x:v>
      </x:c>
      <x:c r="W14" s="42" t="str">
        <x:v>기존 시트 값 유지</x:v>
      </x:c>
      <x:c r="X14" s="42" t="str">
        <x:v>가능</x:v>
      </x:c>
      <x:c r="Y14" s="338" t="n">
        <x:v>10</x:v>
      </x:c>
      <x:c r="Z14" s="338" t="n">
        <x:v>20</x:v>
      </x:c>
      <x:c r="AA14" s="338" t="n">
        <x:v>30</x:v>
      </x:c>
      <x:c r="AB14" s="338" t="n">
        <x:v>50</x:v>
      </x:c>
      <x:c r="AC14" s="338" t="n">
        <x:v>75</x:v>
      </x:c>
      <x:c r="AD14" s="42" t="str">
        <x:v>W1~W9 판매 가능 / 일반 캐릭터와 동일 환급률 / 전문화 재료 복구 없음</x:v>
      </x:c>
    </x:row>
    <x:row r="15" ht="49.5">
      <x:c r="A15" s="12"/>
      <x:c r="B15" s="1" t="s">
        <x:v>58</x:v>
      </x:c>
      <x:c r="C15" s="1"/>
      <x:c r="D15" s="1">
        <x:v>25</x:v>
      </x:c>
      <x:c r="E15" s="1"/>
      <x:c r="F15" s="1">
        <x:v>15</x:v>
      </x:c>
      <x:c r="G15" s="1"/>
      <x:c r="H15" s="1">
        <x:v>4</x:v>
      </x:c>
      <x:c r="I15" s="1">
        <x:v>2</x:v>
      </x:c>
      <x:c r="J15" s="1" t="s">
        <x:v>2</x:v>
      </x:c>
      <x:c r="K15" s="1" t="s">
        <x:v>56</x:v>
      </x:c>
      <x:c r="L15" s="1" t="s">
        <x:v>57</x:v>
      </x:c>
      <x:c r="M15" s="1" t="s">
        <x:v>62</x:v>
      </x:c>
      <x:c r="N15" s="1" t="s">
        <x:v>63</x:v>
      </x:c>
      <x:c r="O15" s="1" t="s">
        <x:v>64</x:v>
      </x:c>
      <x:c r="P15" s="12" t="s">
        <x:v>65</x:v>
      </x:c>
      <x:c r="Q15" s="1">
        <x:v>65</x:v>
      </x:c>
      <x:c r="R15" s="42" t="str">
        <x:v>적용 안 함</x:v>
      </x:c>
      <x:c r="S15" s="42" t="str">
        <x:v>-</x:v>
      </x:c>
      <x:c r="T15" s="42" t="str">
        <x:v>★1 100% / ★2 115% / ★3 132% / ★4 152% / ★5 175%</x:v>
      </x:c>
      <x:c r="U15" s="42" t="str">
        <x:v>100골드</x:v>
      </x:c>
      <x:c r="V15" s="42" t="str">
        <x:v>기존값 유지</x:v>
      </x:c>
      <x:c r="W15" s="42" t="str">
        <x:v>기존 시트 값 유지</x:v>
      </x:c>
      <x:c r="X15" s="42" t="str">
        <x:v>가능</x:v>
      </x:c>
      <x:c r="Y15" s="338" t="n">
        <x:v>40</x:v>
      </x:c>
      <x:c r="Z15" s="338" t="n">
        <x:v>55</x:v>
      </x:c>
      <x:c r="AA15" s="338" t="n">
        <x:v>70</x:v>
      </x:c>
      <x:c r="AB15" s="338" t="n">
        <x:v>95</x:v>
      </x:c>
      <x:c r="AC15" s="338" t="n">
        <x:v>130</x:v>
      </x:c>
      <x:c r="AD15" s="42" t="str">
        <x:v>W1~W9 판매 가능 / 일반 캐릭터와 동일 환급률 / 전문화 재료 복구 없음</x:v>
      </x:c>
    </x:row>
    <x:row r="16">
      <x:c r="A16" s="12"/>
      <x:c r="B16" s="1" t="s">
        <x:v>66</x:v>
      </x:c>
      <x:c r="C16" s="1"/>
      <x:c r="D16" s="1">
        <x:v>42</x:v>
      </x:c>
      <x:c r="E16" s="1"/>
      <x:c r="F16" s="1">
        <x:v>9</x:v>
      </x:c>
      <x:c r="G16" s="1"/>
      <x:c r="H16" s="1">
        <x:v>6</x:v>
      </x:c>
      <x:c r="I16" s="1">
        <x:v>1</x:v>
      </x:c>
      <x:c r="J16" s="1" t="s">
        <x:v>2</x:v>
      </x:c>
      <x:c r="K16" s="1" t="s">
        <x:v>56</x:v>
      </x:c>
      <x:c r="L16" s="1" t="s">
        <x:v>57</x:v>
      </x:c>
      <x:c r="M16" s="1"/>
      <x:c r="N16" s="1"/>
      <x:c r="O16" s="1" t="s">
        <x:v>67</x:v>
      </x:c>
      <x:c r="P16" s="12" t="s">
        <x:v>68</x:v>
      </x:c>
      <x:c r="Q16" s="1">
        <x:v>90</x:v>
      </x:c>
      <x:c r="R16" s="42" t="str">
        <x:v>적용 안 함</x:v>
      </x:c>
      <x:c r="S16" s="42" t="str">
        <x:v>-</x:v>
      </x:c>
      <x:c r="T16" s="42" t="str">
        <x:v>★1 100% / ★2 115% / ★3 132% / ★4 152% / ★5 175%</x:v>
      </x:c>
      <x:c r="U16" s="42" t="str">
        <x:v>-</x:v>
      </x:c>
      <x:c r="V16" s="42" t="str">
        <x:v>해당 없음</x:v>
      </x:c>
      <x:c r="W16" s="42" t="str">
        <x:v>전문화 트리 없음</x:v>
      </x:c>
      <x:c r="X16" s="42" t="str">
        <x:v>가능</x:v>
      </x:c>
      <x:c r="Y16" s="338" t="n">
        <x:v>90</x:v>
      </x:c>
      <x:c r="Z16" s="338" t="n">
        <x:v>110</x:v>
      </x:c>
      <x:c r="AA16" s="338" t="n">
        <x:v>135</x:v>
      </x:c>
      <x:c r="AB16" s="338" t="n">
        <x:v>170</x:v>
      </x:c>
      <x:c r="AC16" s="338" t="n">
        <x:v>220</x:v>
      </x:c>
      <x:c r="AD16" s="42" t="str">
        <x:v>W1~W9 판매 가능 / 일반 캐릭터와 동일 환급률 / 전문화 재료 복구 없음</x:v>
      </x:c>
    </x:row>
    <x:row r="17">
      <x:c r="A17" s="12"/>
      <x:c r="B17" s="1" t="s">
        <x:v>69</x:v>
      </x:c>
      <x:c r="C17" s="1"/>
      <x:c r="D17" s="1">
        <x:v>24</x:v>
      </x:c>
      <x:c r="E17" s="1"/>
      <x:c r="F17" s="1">
        <x:v>30</x:v>
      </x:c>
      <x:c r="G17" s="1"/>
      <x:c r="H17" s="1">
        <x:v>4</x:v>
      </x:c>
      <x:c r="I17" s="1">
        <x:v>3</x:v>
      </x:c>
      <x:c r="J17" s="1" t="s">
        <x:v>2</x:v>
      </x:c>
      <x:c r="K17" s="1" t="s">
        <x:v>56</x:v>
      </x:c>
      <x:c r="L17" s="1" t="s">
        <x:v>57</x:v>
      </x:c>
      <x:c r="M17" s="1"/>
      <x:c r="N17" s="1"/>
      <x:c r="O17" s="1" t="s">
        <x:v>67</x:v>
      </x:c>
      <x:c r="P17" s="12" t="s">
        <x:v>68</x:v>
      </x:c>
      <x:c r="Q17" s="1">
        <x:v>90</x:v>
      </x:c>
      <x:c r="R17" s="42" t="str">
        <x:v>적용 안 함</x:v>
      </x:c>
      <x:c r="S17" s="42" t="str">
        <x:v>-</x:v>
      </x:c>
      <x:c r="T17" s="42" t="str">
        <x:v>★1 100% / ★2 115% / ★3 132% / ★4 152% / ★5 175%</x:v>
      </x:c>
      <x:c r="U17" s="42" t="str">
        <x:v>-</x:v>
      </x:c>
      <x:c r="V17" s="42" t="str">
        <x:v>해당 없음</x:v>
      </x:c>
      <x:c r="W17" s="42" t="str">
        <x:v>전문화 트리 없음</x:v>
      </x:c>
      <x:c r="X17" s="42" t="str">
        <x:v>가능</x:v>
      </x:c>
      <x:c r="Y17" s="338" t="n">
        <x:v>90</x:v>
      </x:c>
      <x:c r="Z17" s="338" t="n">
        <x:v>110</x:v>
      </x:c>
      <x:c r="AA17" s="338" t="n">
        <x:v>135</x:v>
      </x:c>
      <x:c r="AB17" s="338" t="n">
        <x:v>170</x:v>
      </x:c>
      <x:c r="AC17" s="338" t="n">
        <x:v>220</x:v>
      </x:c>
      <x:c r="AD17" s="42" t="str">
        <x:v>W1~W9 판매 가능 / 일반 캐릭터와 동일 환급률 / 전문화 재료 복구 없음</x:v>
      </x:c>
    </x:row>
    <x:row r="18" ht="33">
      <x:c r="A18" s="12"/>
      <x:c r="B18" s="1" t="s">
        <x:v>70</x:v>
      </x:c>
      <x:c r="C18" s="1"/>
      <x:c r="D18" s="1">
        <x:v>34</x:v>
      </x:c>
      <x:c r="E18" s="1"/>
      <x:c r="F18" s="1">
        <x:v>18</x:v>
      </x:c>
      <x:c r="G18" s="1"/>
      <x:c r="H18" s="1">
        <x:v>4</x:v>
      </x:c>
      <x:c r="I18" s="1">
        <x:v>2</x:v>
      </x:c>
      <x:c r="J18" s="1" t="s">
        <x:v>4</x:v>
      </x:c>
      <x:c r="K18" s="1" t="s">
        <x:v>56</x:v>
      </x:c>
      <x:c r="L18" s="1" t="s">
        <x:v>71</x:v>
      </x:c>
      <x:c r="M18" s="1"/>
      <x:c r="N18" s="1"/>
      <x:c r="O18" s="1" t="s">
        <x:v>67</x:v>
      </x:c>
      <x:c r="P18" s="12" t="s">
        <x:v>68</x:v>
      </x:c>
      <x:c r="Q18" s="1">
        <x:v>90</x:v>
      </x:c>
      <x:c r="R18" s="42" t="str">
        <x:v>적용 안 함</x:v>
      </x:c>
      <x:c r="S18" s="42" t="str">
        <x:v>-</x:v>
      </x:c>
      <x:c r="T18" s="42" t="str">
        <x:v>★1 100% / ★2 115% / ★3 132% / ★4 152% / ★5 175%</x:v>
      </x:c>
      <x:c r="U18" s="42" t="str">
        <x:v>-</x:v>
      </x:c>
      <x:c r="V18" s="42" t="str">
        <x:v>해당 없음</x:v>
      </x:c>
      <x:c r="W18" s="42" t="str">
        <x:v>전문화 트리 없음</x:v>
      </x:c>
      <x:c r="X18" s="42" t="str">
        <x:v>가능</x:v>
      </x:c>
      <x:c r="Y18" s="338" t="n">
        <x:v>90</x:v>
      </x:c>
      <x:c r="Z18" s="338" t="n">
        <x:v>110</x:v>
      </x:c>
      <x:c r="AA18" s="338" t="n">
        <x:v>135</x:v>
      </x:c>
      <x:c r="AB18" s="338" t="n">
        <x:v>170</x:v>
      </x:c>
      <x:c r="AC18" s="338" t="n">
        <x:v>220</x:v>
      </x:c>
      <x:c r="AD18" s="42" t="str">
        <x:v>W1~W9 판매 가능 / 일반 캐릭터와 동일 환급률 / 전문화 재료 복구 없음</x:v>
      </x:c>
    </x:row>
    <x:row r="19" ht="33">
      <x:c r="A19" s="12"/>
      <x:c r="B19" s="1" t="s">
        <x:v>72</x:v>
      </x:c>
      <x:c r="C19" s="1"/>
      <x:c r="D19" s="1">
        <x:v>30</x:v>
      </x:c>
      <x:c r="E19" s="1"/>
      <x:c r="F19" s="1">
        <x:v>10</x:v>
      </x:c>
      <x:c r="G19" s="1"/>
      <x:c r="H19" s="1">
        <x:v>3</x:v>
      </x:c>
      <x:c r="I19" s="1">
        <x:v>1</x:v>
      </x:c>
      <x:c r="J19" s="1" t="s">
        <x:v>4</x:v>
      </x:c>
      <x:c r="K19" s="1" t="s">
        <x:v>56</x:v>
      </x:c>
      <x:c r="L19" s="1" t="s">
        <x:v>71</x:v>
      </x:c>
      <x:c r="M19" s="1" t="s">
        <x:v>73</x:v>
      </x:c>
      <x:c r="N19" s="1" t="s">
        <x:v>63</x:v>
      </x:c>
      <x:c r="O19" s="1" t="s">
        <x:v>42</x:v>
      </x:c>
      <x:c r="P19" s="12" t="s">
        <x:v>74</x:v>
      </x:c>
      <x:c r="Q19" s="1">
        <x:v>60</x:v>
      </x:c>
      <x:c r="R19" s="42" t="str">
        <x:v>적용 안 함</x:v>
      </x:c>
      <x:c r="S19" s="42" t="str">
        <x:v>-</x:v>
      </x:c>
      <x:c r="T19" s="42" t="str">
        <x:v>★1 100% / ★2 115% / ★3 132% / ★4 152% / ★5 175%</x:v>
      </x:c>
      <x:c r="U19" s="42" t="str">
        <x:v>100골드</x:v>
      </x:c>
      <x:c r="V19" s="42" t="str">
        <x:v>기존값 유지</x:v>
      </x:c>
      <x:c r="W19" s="42" t="str">
        <x:v>기존 시트 값 유지</x:v>
      </x:c>
      <x:c r="X19" s="42" t="str">
        <x:v>가능</x:v>
      </x:c>
      <x:c r="Y19" s="338" t="n">
        <x:v>20</x:v>
      </x:c>
      <x:c r="Z19" s="338" t="n">
        <x:v>30</x:v>
      </x:c>
      <x:c r="AA19" s="338" t="n">
        <x:v>45</x:v>
      </x:c>
      <x:c r="AB19" s="338" t="n">
        <x:v>75</x:v>
      </x:c>
      <x:c r="AC19" s="338" t="n">
        <x:v>110</x:v>
      </x:c>
      <x:c r="AD19" s="42" t="str">
        <x:v>W1~W9 판매 가능 / 일반 캐릭터와 동일 환급률 / 전문화 재료 복구 없음</x:v>
      </x:c>
    </x:row>
    <x:row r="20" ht="33">
      <x:c r="A20" s="12"/>
      <x:c r="B20" s="1" t="s">
        <x:v>73</x:v>
      </x:c>
      <x:c r="C20" s="1"/>
      <x:c r="D20" s="1">
        <x:v>48</x:v>
      </x:c>
      <x:c r="E20" s="1"/>
      <x:c r="F20" s="1">
        <x:v>8</x:v>
      </x:c>
      <x:c r="G20" s="1"/>
      <x:c r="H20" s="1">
        <x:v>4</x:v>
      </x:c>
      <x:c r="I20" s="1">
        <x:v>1</x:v>
      </x:c>
      <x:c r="J20" s="1" t="s">
        <x:v>2</x:v>
      </x:c>
      <x:c r="K20" s="1" t="s">
        <x:v>56</x:v>
      </x:c>
      <x:c r="L20" s="1"/>
      <x:c r="M20" s="1" t="s">
        <x:v>75</x:v>
      </x:c>
      <x:c r="N20" s="1" t="s">
        <x:v>76</x:v>
      </x:c>
      <x:c r="O20" s="1" t="s">
        <x:v>77</x:v>
      </x:c>
      <x:c r="P20" s="12" t="s">
        <x:v>78</x:v>
      </x:c>
      <x:c r="Q20" s="1">
        <x:v>95</x:v>
      </x:c>
      <x:c r="R20" s="42" t="str">
        <x:v>적용 안 함</x:v>
      </x:c>
      <x:c r="S20" s="42" t="str">
        <x:v>-</x:v>
      </x:c>
      <x:c r="T20" s="42" t="str">
        <x:v>★1 100% / ★2 115% / ★3 132% / ★4 152% / ★5 175%</x:v>
      </x:c>
      <x:c r="U20" s="42" t="str">
        <x:v>200골드</x:v>
      </x:c>
      <x:c r="V20" s="42" t="str">
        <x:v>기존값 유지</x:v>
      </x:c>
      <x:c r="W20" s="42" t="str">
        <x:v>기존 시트 값 유지</x:v>
      </x:c>
      <x:c r="X20" s="42" t="str">
        <x:v>가능</x:v>
      </x:c>
      <x:c r="Y20" s="338" t="n">
        <x:v>65</x:v>
      </x:c>
      <x:c r="Z20" s="338" t="n">
        <x:v>85</x:v>
      </x:c>
      <x:c r="AA20" s="338" t="n">
        <x:v>110</x:v>
      </x:c>
      <x:c r="AB20" s="338" t="n">
        <x:v>145</x:v>
      </x:c>
      <x:c r="AC20" s="338" t="n">
        <x:v>205</x:v>
      </x:c>
      <x:c r="AD20" s="42" t="str">
        <x:v>W1~W9 판매 가능 / 일반 캐릭터와 동일 환급률 / 전문화 재료 복구 없음</x:v>
      </x:c>
    </x:row>
    <x:row r="21" ht="33">
      <x:c r="A21" s="12"/>
      <x:c r="B21" s="1" t="s">
        <x:v>79</x:v>
      </x:c>
      <x:c r="C21" s="1"/>
      <x:c r="D21" s="1">
        <x:v>78</x:v>
      </x:c>
      <x:c r="E21" s="1"/>
      <x:c r="F21" s="1">
        <x:v>6</x:v>
      </x:c>
      <x:c r="G21" s="1"/>
      <x:c r="H21" s="1">
        <x:v>6</x:v>
      </x:c>
      <x:c r="I21" s="1">
        <x:v>1</x:v>
      </x:c>
      <x:c r="J21" s="1" t="s">
        <x:v>9</x:v>
      </x:c>
      <x:c r="K21" s="1" t="s">
        <x:v>80</x:v>
      </x:c>
      <x:c r="L21" s="1" t="s">
        <x:v>81</x:v>
      </x:c>
      <x:c r="M21" s="1"/>
      <x:c r="N21" s="1"/>
      <x:c r="O21" s="1" t="s">
        <x:v>82</x:v>
      </x:c>
      <x:c r="P21" s="12" t="s">
        <x:v>83</x:v>
      </x:c>
      <x:c r="Q21" s="1">
        <x:v>140</x:v>
      </x:c>
      <x:c r="R21" s="42" t="str">
        <x:v>적용 안 함</x:v>
      </x:c>
      <x:c r="S21" s="42" t="str">
        <x:v>-</x:v>
      </x:c>
      <x:c r="T21" s="42" t="str">
        <x:v>★1 100% / ★2 115% / ★3 132% / ★4 152% / ★5 175%</x:v>
      </x:c>
      <x:c r="U21" s="42" t="str">
        <x:v>-</x:v>
      </x:c>
      <x:c r="V21" s="42" t="str">
        <x:v>해당 없음</x:v>
      </x:c>
      <x:c r="W21" s="42" t="str">
        <x:v>전문화 트리 없음</x:v>
      </x:c>
      <x:c r="X21" s="42" t="str">
        <x:v>가능</x:v>
      </x:c>
      <x:c r="Y21" s="338" t="n">
        <x:v>160</x:v>
      </x:c>
      <x:c r="Z21" s="338" t="n">
        <x:v>180</x:v>
      </x:c>
      <x:c r="AA21" s="338" t="n">
        <x:v>215</x:v>
      </x:c>
      <x:c r="AB21" s="338" t="n">
        <x:v>265</x:v>
      </x:c>
      <x:c r="AC21" s="338" t="n">
        <x:v>340</x:v>
      </x:c>
      <x:c r="AD21" s="42" t="str">
        <x:v>W1~W9 판매 가능 / 일반 캐릭터와 동일 환급률 / 전문화 재료 복구 없음</x:v>
      </x:c>
    </x:row>
    <x:row r="22" ht="82.5">
      <x:c r="A22" s="12"/>
      <x:c r="B22" s="1" t="s">
        <x:v>84</x:v>
      </x:c>
      <x:c r="C22" s="1"/>
      <x:c r="D22" s="1">
        <x:v>38</x:v>
      </x:c>
      <x:c r="E22" s="1"/>
      <x:c r="F22" s="1">
        <x:v>10</x:v>
      </x:c>
      <x:c r="G22" s="1"/>
      <x:c r="H22" s="1">
        <x:v>4</x:v>
      </x:c>
      <x:c r="I22" s="1">
        <x:v>2</x:v>
      </x:c>
      <x:c r="J22" s="1" t="s">
        <x:v>85</x:v>
      </x:c>
      <x:c r="K22" s="1" t="s">
        <x:v>52</x:v>
      </x:c>
      <x:c r="L22" s="1" t="s">
        <x:v>86</x:v>
      </x:c>
      <x:c r="M22" s="1"/>
      <x:c r="N22" s="1"/>
      <x:c r="O22" s="1" t="s">
        <x:v>82</x:v>
      </x:c>
      <x:c r="P22" s="12" t="s">
        <x:v>83</x:v>
      </x:c>
      <x:c r="Q22" s="1">
        <x:v>135</x:v>
      </x:c>
      <x:c r="R22" s="42" t="str">
        <x:v>적용 안 함</x:v>
      </x:c>
      <x:c r="S22" s="42" t="str">
        <x:v>-</x:v>
      </x:c>
      <x:c r="T22" s="42" t="str">
        <x:v>★1 100% / ★2 115% / ★3 132% / ★4 152% / ★5 175%</x:v>
      </x:c>
      <x:c r="U22" s="42" t="str">
        <x:v>-</x:v>
      </x:c>
      <x:c r="V22" s="42" t="str">
        <x:v>해당 없음</x:v>
      </x:c>
      <x:c r="W22" s="42" t="str">
        <x:v>전문화 트리 없음</x:v>
      </x:c>
      <x:c r="X22" s="42" t="str">
        <x:v>가능</x:v>
      </x:c>
      <x:c r="Y22" s="338" t="n">
        <x:v>160</x:v>
      </x:c>
      <x:c r="Z22" s="338" t="n">
        <x:v>180</x:v>
      </x:c>
      <x:c r="AA22" s="338" t="n">
        <x:v>215</x:v>
      </x:c>
      <x:c r="AB22" s="338" t="n">
        <x:v>265</x:v>
      </x:c>
      <x:c r="AC22" s="338" t="n">
        <x:v>340</x:v>
      </x:c>
      <x:c r="AD22" s="42" t="str">
        <x:v>W1~W9 판매 가능 / 일반 캐릭터와 동일 환급률 / 전문화 재료 복구 없음</x:v>
      </x:c>
    </x:row>
    <x:row r="23" ht="33">
      <x:c r="A23" s="12"/>
      <x:c r="B23" s="1" t="s">
        <x:v>87</x:v>
      </x:c>
      <x:c r="C23" s="1"/>
      <x:c r="D23" s="1">
        <x:v>36</x:v>
      </x:c>
      <x:c r="E23" s="1"/>
      <x:c r="F23" s="1">
        <x:v>7</x:v>
      </x:c>
      <x:c r="G23" s="1"/>
      <x:c r="H23" s="1">
        <x:v>4</x:v>
      </x:c>
      <x:c r="I23" s="1">
        <x:v>3</x:v>
      </x:c>
      <x:c r="J23" s="1" t="s">
        <x:v>4</x:v>
      </x:c>
      <x:c r="K23" s="1" t="s">
        <x:v>52</x:v>
      </x:c>
      <x:c r="L23" s="1" t="s">
        <x:v>71</x:v>
      </x:c>
      <x:c r="M23" s="1" t="s">
        <x:v>88</x:v>
      </x:c>
      <x:c r="N23" s="1" t="str">
        <x:v>60골드</x:v>
      </x:c>
      <x:c r="O23" s="1" t="s">
        <x:v>89</x:v>
      </x:c>
      <x:c r="P23" s="12" t="s">
        <x:v>90</x:v>
      </x:c>
      <x:c r="Q23" s="1">
        <x:v>75</x:v>
      </x:c>
      <x:c r="R23" s="42" t="str">
        <x:v>적용 안 함</x:v>
      </x:c>
      <x:c r="S23" s="42" t="str">
        <x:v>-</x:v>
      </x:c>
      <x:c r="T23" s="42" t="str">
        <x:v>★1 100% / ★2 115% / ★3 132% / ★4 152% / ★5 175%</x:v>
      </x:c>
      <x:c r="U23" s="42" t="n">
        <x:v>60</x:v>
      </x:c>
      <x:c r="V23" s="42" t="str">
        <x:v>신규 확정안</x:v>
      </x:c>
      <x:c r="W23" s="42" t="str">
        <x:v>기본 계정에서도 가능하되 빡빡하게. 계정 경제 패시브로 체감 완화.</x:v>
      </x:c>
      <x:c r="X23" s="42" t="str">
        <x:v>가능</x:v>
      </x:c>
      <x:c r="Y23" s="338" t="n">
        <x:v>20</x:v>
      </x:c>
      <x:c r="Z23" s="338" t="n">
        <x:v>35</x:v>
      </x:c>
      <x:c r="AA23" s="338" t="n">
        <x:v>55</x:v>
      </x:c>
      <x:c r="AB23" s="338" t="n">
        <x:v>90</x:v>
      </x:c>
      <x:c r="AC23" s="338" t="n">
        <x:v>135</x:v>
      </x:c>
      <x:c r="AD23" s="42" t="str">
        <x:v>W1~W9 판매 가능 / 일반 캐릭터와 동일 환급률 / 전문화 재료 복구 없음</x:v>
      </x:c>
    </x:row>
    <x:row r="24" ht="33">
      <x:c r="A24" s="12"/>
      <x:c r="B24" s="1" t="s">
        <x:v>91</x:v>
      </x:c>
      <x:c r="C24" s="1"/>
      <x:c r="D24" s="1">
        <x:v>50</x:v>
      </x:c>
      <x:c r="E24" s="1"/>
      <x:c r="F24" s="1">
        <x:v>9</x:v>
      </x:c>
      <x:c r="G24" s="1"/>
      <x:c r="H24" s="1">
        <x:v>5</x:v>
      </x:c>
      <x:c r="I24" s="1">
        <x:v>3</x:v>
      </x:c>
      <x:c r="J24" s="1" t="s">
        <x:v>4</x:v>
      </x:c>
      <x:c r="K24" s="1" t="s">
        <x:v>52</x:v>
      </x:c>
      <x:c r="L24" s="1" t="s">
        <x:v>71</x:v>
      </x:c>
      <x:c r="M24" s="1" t="s">
        <x:v>92</x:v>
      </x:c>
      <x:c r="N24" s="1" t="str">
        <x:v>100골드</x:v>
      </x:c>
      <x:c r="O24" s="1" t="s">
        <x:v>93</x:v>
      </x:c>
      <x:c r="P24" s="12" t="s">
        <x:v>94</x:v>
      </x:c>
      <x:c r="Q24" s="1">
        <x:v>115</x:v>
      </x:c>
      <x:c r="R24" s="42" t="str">
        <x:v>적용 안 함</x:v>
      </x:c>
      <x:c r="S24" s="42" t="str">
        <x:v>-</x:v>
      </x:c>
      <x:c r="T24" s="42" t="str">
        <x:v>★1 100% / ★2 115% / ★3 132% / ★4 152% / ★5 175%</x:v>
      </x:c>
      <x:c r="U24" s="42" t="n">
        <x:v>100</x:v>
      </x:c>
      <x:c r="V24" s="42" t="str">
        <x:v>신규 확정안</x:v>
      </x:c>
      <x:c r="W24" s="42" t="str">
        <x:v>기본 계정에서도 가능하되 빡빡하게. 계정 경제 패시브로 체감 완화.</x:v>
      </x:c>
      <x:c r="X24" s="42" t="str">
        <x:v>가능</x:v>
      </x:c>
      <x:c r="Y24" s="338" t="n">
        <x:v>65</x:v>
      </x:c>
      <x:c r="Z24" s="338" t="n">
        <x:v>85</x:v>
      </x:c>
      <x:c r="AA24" s="338" t="n">
        <x:v>110</x:v>
      </x:c>
      <x:c r="AB24" s="338" t="n">
        <x:v>160</x:v>
      </x:c>
      <x:c r="AC24" s="338" t="n">
        <x:v>220</x:v>
      </x:c>
      <x:c r="AD24" s="42" t="str">
        <x:v>W1~W9 판매 가능 / 일반 캐릭터와 동일 환급률 / 전문화 재료 복구 없음</x:v>
      </x:c>
    </x:row>
    <x:row r="25" ht="99">
      <x:c r="A25" s="12"/>
      <x:c r="B25" s="1" t="s">
        <x:v>95</x:v>
      </x:c>
      <x:c r="C25" s="1"/>
      <x:c r="D25" s="1">
        <x:v>58</x:v>
      </x:c>
      <x:c r="E25" s="1"/>
      <x:c r="F25" s="1">
        <x:v>8</x:v>
      </x:c>
      <x:c r="G25" s="1"/>
      <x:c r="H25" s="1">
        <x:v>5</x:v>
      </x:c>
      <x:c r="I25" s="1">
        <x:v>4</x:v>
      </x:c>
      <x:c r="J25" s="1" t="s">
        <x:v>96</x:v>
      </x:c>
      <x:c r="K25" s="1" t="s">
        <x:v>52</x:v>
      </x:c>
      <x:c r="L25" s="1" t="s">
        <x:v>97</x:v>
      </x:c>
      <x:c r="M25" s="1"/>
      <x:c r="N25" s="1"/>
      <x:c r="O25" s="1" t="s">
        <x:v>98</x:v>
      </x:c>
      <x:c r="P25" s="12" t="s">
        <x:v>99</x:v>
      </x:c>
      <x:c r="Q25" s="1">
        <x:v>165</x:v>
      </x:c>
      <x:c r="R25" s="42" t="str">
        <x:v>적용 안 함</x:v>
      </x:c>
      <x:c r="S25" s="42" t="str">
        <x:v>-</x:v>
      </x:c>
      <x:c r="T25" s="42" t="str">
        <x:v>★1 100% / ★2 115% / ★3 132% / ★4 152% / ★5 175%</x:v>
      </x:c>
      <x:c r="U25" s="42" t="str">
        <x:v>-</x:v>
      </x:c>
      <x:c r="V25" s="42" t="str">
        <x:v>해당 없음</x:v>
      </x:c>
      <x:c r="W25" s="42" t="str">
        <x:v>전문화 트리 없음</x:v>
      </x:c>
      <x:c r="X25" s="42" t="str">
        <x:v>가능</x:v>
      </x:c>
      <x:c r="Y25" s="338" t="n">
        <x:v>215</x:v>
      </x:c>
      <x:c r="Z25" s="338" t="n">
        <x:v>245</x:v>
      </x:c>
      <x:c r="AA25" s="338" t="n">
        <x:v>285</x:v>
      </x:c>
      <x:c r="AB25" s="338" t="n">
        <x:v>350</x:v>
      </x:c>
      <x:c r="AC25" s="338" t="n">
        <x:v>440</x:v>
      </x:c>
      <x:c r="AD25" s="42" t="str">
        <x:v>W1~W9 판매 가능 / 일반 캐릭터와 동일 환급률 / 전문화 재료 복구 없음</x:v>
      </x:c>
    </x:row>
    <x:row r="26" ht="99">
      <x:c r="A26" s="12"/>
      <x:c r="B26" s="1" t="s">
        <x:v>100</x:v>
      </x:c>
      <x:c r="C26" s="1"/>
      <x:c r="D26" s="1">
        <x:v>52</x:v>
      </x:c>
      <x:c r="E26" s="1"/>
      <x:c r="F26" s="1">
        <x:v>10</x:v>
      </x:c>
      <x:c r="G26" s="1"/>
      <x:c r="H26" s="1">
        <x:v>5</x:v>
      </x:c>
      <x:c r="I26" s="1">
        <x:v>4</x:v>
      </x:c>
      <x:c r="J26" s="1" t="s">
        <x:v>101</x:v>
      </x:c>
      <x:c r="K26" s="1" t="s">
        <x:v>56</x:v>
      </x:c>
      <x:c r="L26" s="1" t="s">
        <x:v>102</x:v>
      </x:c>
      <x:c r="M26" s="1"/>
      <x:c r="N26" s="1"/>
      <x:c r="O26" s="1" t="s">
        <x:v>98</x:v>
      </x:c>
      <x:c r="P26" s="12" t="s">
        <x:v>99</x:v>
      </x:c>
      <x:c r="Q26" s="1">
        <x:v>170</x:v>
      </x:c>
      <x:c r="R26" s="42" t="str">
        <x:v>적용 안 함</x:v>
      </x:c>
      <x:c r="S26" s="42" t="str">
        <x:v>-</x:v>
      </x:c>
      <x:c r="T26" s="42" t="str">
        <x:v>★1 100% / ★2 115% / ★3 132% / ★4 152% / ★5 175%</x:v>
      </x:c>
      <x:c r="U26" s="42" t="str">
        <x:v>-</x:v>
      </x:c>
      <x:c r="V26" s="42" t="str">
        <x:v>해당 없음</x:v>
      </x:c>
      <x:c r="W26" s="42" t="str">
        <x:v>전문화 트리 없음</x:v>
      </x:c>
      <x:c r="X26" s="42" t="str">
        <x:v>가능</x:v>
      </x:c>
      <x:c r="Y26" s="338" t="n">
        <x:v>215</x:v>
      </x:c>
      <x:c r="Z26" s="338" t="n">
        <x:v>245</x:v>
      </x:c>
      <x:c r="AA26" s="338" t="n">
        <x:v>285</x:v>
      </x:c>
      <x:c r="AB26" s="338" t="n">
        <x:v>350</x:v>
      </x:c>
      <x:c r="AC26" s="338" t="n">
        <x:v>440</x:v>
      </x:c>
      <x:c r="AD26" s="42" t="str">
        <x:v>W1~W9 판매 가능 / 일반 캐릭터와 동일 환급률 / 전문화 재료 복구 없음</x:v>
      </x:c>
    </x:row>
    <x:row r="27" ht="33">
      <x:c r="A27" s="12"/>
      <x:c r="B27" s="1" t="s">
        <x:v>103</x:v>
      </x:c>
      <x:c r="C27" s="1"/>
      <x:c r="D27" s="1">
        <x:v>24</x:v>
      </x:c>
      <x:c r="E27" s="1"/>
      <x:c r="F27" s="1">
        <x:v>12</x:v>
      </x:c>
      <x:c r="G27" s="1"/>
      <x:c r="H27" s="1">
        <x:v>3</x:v>
      </x:c>
      <x:c r="I27" s="1">
        <x:v>2</x:v>
      </x:c>
      <x:c r="J27" s="1" t="s">
        <x:v>4</x:v>
      </x:c>
      <x:c r="K27" s="1" t="s">
        <x:v>56</x:v>
      </x:c>
      <x:c r="L27" s="1" t="s">
        <x:v>71</x:v>
      </x:c>
      <x:c r="M27" s="1" t="s">
        <x:v>104</x:v>
      </x:c>
      <x:c r="N27" s="1" t="str">
        <x:v>60골드</x:v>
      </x:c>
      <x:c r="O27" s="1" t="s">
        <x:v>105</x:v>
      </x:c>
      <x:c r="P27" s="12" t="s">
        <x:v>106</x:v>
      </x:c>
      <x:c r="Q27" s="1">
        <x:v>90</x:v>
      </x:c>
      <x:c r="R27" s="42" t="str">
        <x:v>적용 안 함</x:v>
      </x:c>
      <x:c r="S27" s="42" t="str">
        <x:v>-</x:v>
      </x:c>
      <x:c r="T27" s="42" t="str">
        <x:v>★1 100% / ★2 115% / ★3 132% / ★4 152% / ★5 175%</x:v>
      </x:c>
      <x:c r="U27" s="42" t="n">
        <x:v>60</x:v>
      </x:c>
      <x:c r="V27" s="42" t="str">
        <x:v>신규 확정안</x:v>
      </x:c>
      <x:c r="W27" s="42" t="str">
        <x:v>기본 계정에서도 가능하되 빡빡하게. 계정 경제 패시브로 체감 완화.</x:v>
      </x:c>
      <x:c r="X27" s="42" t="str">
        <x:v>가능</x:v>
      </x:c>
      <x:c r="Y27" s="338" t="n">
        <x:v>25</x:v>
      </x:c>
      <x:c r="Z27" s="338" t="n">
        <x:v>40</x:v>
      </x:c>
      <x:c r="AA27" s="338" t="n">
        <x:v>65</x:v>
      </x:c>
      <x:c r="AB27" s="338" t="n">
        <x:v>100</x:v>
      </x:c>
      <x:c r="AC27" s="338" t="n">
        <x:v>145</x:v>
      </x:c>
      <x:c r="AD27" s="42" t="str">
        <x:v>W1~W9 판매 가능 / 일반 캐릭터와 동일 환급률 / 전문화 재료 복구 없음</x:v>
      </x:c>
    </x:row>
    <x:row r="28" ht="49.5">
      <x:c r="A28" s="12"/>
      <x:c r="B28" s="1" t="s">
        <x:v>107</x:v>
      </x:c>
      <x:c r="C28" s="1"/>
      <x:c r="D28" s="1">
        <x:v>34</x:v>
      </x:c>
      <x:c r="E28" s="1"/>
      <x:c r="F28" s="1">
        <x:v>14</x:v>
      </x:c>
      <x:c r="G28" s="1"/>
      <x:c r="H28" s="1">
        <x:v>4</x:v>
      </x:c>
      <x:c r="I28" s="1">
        <x:v>3</x:v>
      </x:c>
      <x:c r="J28" s="1" t="s">
        <x:v>101</x:v>
      </x:c>
      <x:c r="K28" s="1" t="s">
        <x:v>56</x:v>
      </x:c>
      <x:c r="L28" s="1" t="s">
        <x:v>108</x:v>
      </x:c>
      <x:c r="M28" s="1" t="s">
        <x:v>109</x:v>
      </x:c>
      <x:c r="N28" s="1" t="str">
        <x:v>110골드</x:v>
      </x:c>
      <x:c r="O28" s="1" t="s">
        <x:v>110</x:v>
      </x:c>
      <x:c r="P28" s="12" t="s">
        <x:v>111</x:v>
      </x:c>
      <x:c r="Q28" s="1">
        <x:v>135</x:v>
      </x:c>
      <x:c r="R28" s="42" t="str">
        <x:v>적용 안 함</x:v>
      </x:c>
      <x:c r="S28" s="42" t="str">
        <x:v>-</x:v>
      </x:c>
      <x:c r="T28" s="42" t="str">
        <x:v>★1 100% / ★2 115% / ★3 132% / ★4 152% / ★5 175%</x:v>
      </x:c>
      <x:c r="U28" s="42" t="n">
        <x:v>110</x:v>
      </x:c>
      <x:c r="V28" s="42" t="str">
        <x:v>신규 확정안</x:v>
      </x:c>
      <x:c r="W28" s="42" t="str">
        <x:v>기본 계정에서도 가능하되 빡빡하게. 계정 경제 패시브로 체감 완화.</x:v>
      </x:c>
      <x:c r="X28" s="42" t="str">
        <x:v>가능</x:v>
      </x:c>
      <x:c r="Y28" s="338" t="n">
        <x:v>70</x:v>
      </x:c>
      <x:c r="Z28" s="338" t="n">
        <x:v>90</x:v>
      </x:c>
      <x:c r="AA28" s="338" t="n">
        <x:v>125</x:v>
      </x:c>
      <x:c r="AB28" s="338" t="n">
        <x:v>175</x:v>
      </x:c>
      <x:c r="AC28" s="338" t="n">
        <x:v>245</x:v>
      </x:c>
      <x:c r="AD28" s="42" t="str">
        <x:v>W1~W9 판매 가능 / 일반 캐릭터와 동일 환급률 / 전문화 재료 복구 없음</x:v>
      </x:c>
    </x:row>
    <x:row r="29" ht="99">
      <x:c r="A29" s="12"/>
      <x:c r="B29" s="1" t="s">
        <x:v>112</x:v>
      </x:c>
      <x:c r="C29" s="1"/>
      <x:c r="D29" s="1">
        <x:v>48</x:v>
      </x:c>
      <x:c r="E29" s="1"/>
      <x:c r="F29" s="1">
        <x:v>12</x:v>
      </x:c>
      <x:c r="G29" s="1"/>
      <x:c r="H29" s="1">
        <x:v>4</x:v>
      </x:c>
      <x:c r="I29" s="1">
        <x:v>4</x:v>
      </x:c>
      <x:c r="J29" s="1" t="s">
        <x:v>113</x:v>
      </x:c>
      <x:c r="K29" s="1" t="s">
        <x:v>56</x:v>
      </x:c>
      <x:c r="L29" s="1" t="s">
        <x:v>114</x:v>
      </x:c>
      <x:c r="M29" s="1"/>
      <x:c r="N29" s="1"/>
      <x:c r="O29" s="1" t="s">
        <x:v>115</x:v>
      </x:c>
      <x:c r="P29" s="12" t="s">
        <x:v>116</x:v>
      </x:c>
      <x:c r="Q29" s="1">
        <x:v>190</x:v>
      </x:c>
      <x:c r="R29" s="42" t="str">
        <x:v>적용 안 함</x:v>
      </x:c>
      <x:c r="S29" s="42" t="str">
        <x:v>-</x:v>
      </x:c>
      <x:c r="T29" s="42" t="str">
        <x:v>★1 100% / ★2 115% / ★3 132% / ★4 152% / ★5 175%</x:v>
      </x:c>
      <x:c r="U29" s="42" t="str">
        <x:v>-</x:v>
      </x:c>
      <x:c r="V29" s="42" t="str">
        <x:v>해당 없음</x:v>
      </x:c>
      <x:c r="W29" s="42" t="str">
        <x:v>전문화 트리 없음</x:v>
      </x:c>
      <x:c r="X29" s="42" t="str">
        <x:v>가능</x:v>
      </x:c>
      <x:c r="Y29" s="338" t="n">
        <x:v>240</x:v>
      </x:c>
      <x:c r="Z29" s="338" t="n">
        <x:v>275</x:v>
      </x:c>
      <x:c r="AA29" s="338" t="n">
        <x:v>320</x:v>
      </x:c>
      <x:c r="AB29" s="338" t="n">
        <x:v>390</x:v>
      </x:c>
      <x:c r="AC29" s="338" t="n">
        <x:v>485</x:v>
      </x:c>
      <x:c r="AD29" s="42" t="str">
        <x:v>W1~W9 판매 가능 / 일반 캐릭터와 동일 환급률 / 전문화 재료 복구 없음</x:v>
      </x:c>
    </x:row>
    <x:row r="30" ht="115.5">
      <x:c r="A30" s="12"/>
      <x:c r="B30" s="1" t="s">
        <x:v>117</x:v>
      </x:c>
      <x:c r="C30" s="1"/>
      <x:c r="D30" s="1">
        <x:v>44</x:v>
      </x:c>
      <x:c r="E30" s="1"/>
      <x:c r="F30" s="1">
        <x:v>16</x:v>
      </x:c>
      <x:c r="G30" s="1"/>
      <x:c r="H30" s="1">
        <x:v>5</x:v>
      </x:c>
      <x:c r="I30" s="1">
        <x:v>4</x:v>
      </x:c>
      <x:c r="J30" s="1" t="s">
        <x:v>118</x:v>
      </x:c>
      <x:c r="K30" s="1" t="s">
        <x:v>56</x:v>
      </x:c>
      <x:c r="L30" s="1" t="s">
        <x:v>119</x:v>
      </x:c>
      <x:c r="M30" s="1"/>
      <x:c r="N30" s="1"/>
      <x:c r="O30" s="1" t="s">
        <x:v>115</x:v>
      </x:c>
      <x:c r="P30" s="12" t="s">
        <x:v>116</x:v>
      </x:c>
      <x:c r="Q30" s="1">
        <x:v>190</x:v>
      </x:c>
      <x:c r="R30" s="42" t="str">
        <x:v>적용 안 함</x:v>
      </x:c>
      <x:c r="S30" s="42" t="str">
        <x:v>-</x:v>
      </x:c>
      <x:c r="T30" s="42" t="str">
        <x:v>★1 100% / ★2 115% / ★3 132% / ★4 152% / ★5 175%</x:v>
      </x:c>
      <x:c r="U30" s="42" t="str">
        <x:v>-</x:v>
      </x:c>
      <x:c r="V30" s="42" t="str">
        <x:v>해당 없음</x:v>
      </x:c>
      <x:c r="W30" s="42" t="str">
        <x:v>전문화 트리 없음</x:v>
      </x:c>
      <x:c r="X30" s="42" t="str">
        <x:v>가능</x:v>
      </x:c>
      <x:c r="Y30" s="338" t="n">
        <x:v>240</x:v>
      </x:c>
      <x:c r="Z30" s="338" t="n">
        <x:v>275</x:v>
      </x:c>
      <x:c r="AA30" s="338" t="n">
        <x:v>320</x:v>
      </x:c>
      <x:c r="AB30" s="338" t="n">
        <x:v>390</x:v>
      </x:c>
      <x:c r="AC30" s="338" t="n">
        <x:v>485</x:v>
      </x:c>
      <x:c r="AD30" s="42" t="str">
        <x:v>W1~W9 판매 가능 / 일반 캐릭터와 동일 환급률 / 전문화 재료 복구 없음</x:v>
      </x:c>
    </x:row>
    <x:row r="31" ht="99">
      <x:c r="A31" s="12"/>
      <x:c r="B31" s="1" t="s">
        <x:v>120</x:v>
      </x:c>
      <x:c r="C31" s="1"/>
      <x:c r="D31" s="1">
        <x:v>42</x:v>
      </x:c>
      <x:c r="E31" s="1"/>
      <x:c r="F31" s="1">
        <x:v>13</x:v>
      </x:c>
      <x:c r="G31" s="1"/>
      <x:c r="H31" s="1">
        <x:v>4</x:v>
      </x:c>
      <x:c r="I31" s="1">
        <x:v>4</x:v>
      </x:c>
      <x:c r="J31" s="1" t="s">
        <x:v>121</x:v>
      </x:c>
      <x:c r="K31" s="1" t="s">
        <x:v>56</x:v>
      </x:c>
      <x:c r="L31" s="1" t="s">
        <x:v>122</x:v>
      </x:c>
      <x:c r="M31" s="1"/>
      <x:c r="N31" s="1"/>
      <x:c r="O31" s="1" t="s">
        <x:v>115</x:v>
      </x:c>
      <x:c r="P31" s="12" t="s">
        <x:v>116</x:v>
      </x:c>
      <x:c r="Q31" s="1">
        <x:v>190</x:v>
      </x:c>
      <x:c r="R31" s="42" t="str">
        <x:v>적용 안 함</x:v>
      </x:c>
      <x:c r="S31" s="42" t="str">
        <x:v>-</x:v>
      </x:c>
      <x:c r="T31" s="42" t="str">
        <x:v>★1 100% / ★2 115% / ★3 132% / ★4 152% / ★5 175%</x:v>
      </x:c>
      <x:c r="U31" s="42" t="str">
        <x:v>-</x:v>
      </x:c>
      <x:c r="V31" s="42" t="str">
        <x:v>해당 없음</x:v>
      </x:c>
      <x:c r="W31" s="42" t="str">
        <x:v>전문화 트리 없음</x:v>
      </x:c>
      <x:c r="X31" s="42" t="str">
        <x:v>가능</x:v>
      </x:c>
      <x:c r="Y31" s="338" t="n">
        <x:v>240</x:v>
      </x:c>
      <x:c r="Z31" s="338" t="n">
        <x:v>275</x:v>
      </x:c>
      <x:c r="AA31" s="338" t="n">
        <x:v>320</x:v>
      </x:c>
      <x:c r="AB31" s="338" t="n">
        <x:v>390</x:v>
      </x:c>
      <x:c r="AC31" s="338" t="n">
        <x:v>485</x:v>
      </x:c>
      <x:c r="AD31" s="42" t="str">
        <x:v>W1~W9 판매 가능 / 일반 캐릭터와 동일 환급률 / 전문화 재료 복구 없음</x:v>
      </x:c>
    </x:row>
    <x:row r="32">
      <x:c r="A32" s="12" t="s">
        <x:v>123</x:v>
      </x:c>
      <x:c r="B32" s="1" t="s">
        <x:v>124</x:v>
      </x:c>
      <x:c r="C32" s="1"/>
      <x:c r="D32" s="1">
        <x:v>18</x:v>
      </x:c>
      <x:c r="E32" s="1"/>
      <x:c r="F32" s="1">
        <x:v>18</x:v>
      </x:c>
      <x:c r="G32" s="1"/>
      <x:c r="H32" s="1">
        <x:v>1</x:v>
      </x:c>
      <x:c r="I32" s="1">
        <x:v>1</x:v>
      </x:c>
      <x:c r="J32" s="1" t="s">
        <x:v>2</x:v>
      </x:c>
      <x:c r="K32" s="1" t="s">
        <x:v>52</x:v>
      </x:c>
      <x:c r="L32" s="1"/>
      <x:c r="M32" s="1" t="s">
        <x:v>125</x:v>
      </x:c>
      <x:c r="N32" s="1" t="str">
        <x:v>25골드</x:v>
      </x:c>
      <x:c r="O32" s="1" t="s">
        <x:v>60</x:v>
      </x:c>
      <x:c r="P32" s="12" t="s">
        <x:v>43</x:v>
      </x:c>
      <x:c r="Q32" s="1">
        <x:v>35</x:v>
      </x:c>
      <x:c r="R32" s="42" t="str">
        <x:v>적용</x:v>
      </x:c>
      <x:c r="S32" s="42" t="str">
        <x:v>ATK 기본값</x:v>
      </x:c>
      <x:c r="T32" s="42" t="str">
        <x:v>로비 성장 후 기본 ATK에 ★1 100% / ★2 115% / ★3 132% / ★4 152% / ★5 175%</x:v>
      </x:c>
      <x:c r="U32" s="42" t="n">
        <x:v>25</x:v>
      </x:c>
      <x:c r="V32" s="42" t="str">
        <x:v>신규 확정안</x:v>
      </x:c>
      <x:c r="W32" s="42" t="str">
        <x:v>기본 계정에서도 가능하되 빡빡하게. 계정 경제 패시브로 체감 완화.</x:v>
      </x:c>
      <x:c r="X32" s="42" t="str">
        <x:v>가능</x:v>
      </x:c>
      <x:c r="Y32" s="338" t="n">
        <x:v>10</x:v>
      </x:c>
      <x:c r="Z32" s="338" t="n">
        <x:v>20</x:v>
      </x:c>
      <x:c r="AA32" s="338" t="n">
        <x:v>25</x:v>
      </x:c>
      <x:c r="AB32" s="338" t="n">
        <x:v>40</x:v>
      </x:c>
      <x:c r="AC32" s="338" t="n">
        <x:v>60</x:v>
      </x:c>
      <x:c r="AD32" s="42" t="str">
        <x:v>W1~W9 판매 가능 / 전문화 재료 복구 없음</x:v>
      </x:c>
    </x:row>
    <x:row r="33" ht="33">
      <x:c r="A33" s="12"/>
      <x:c r="B33" s="1" t="s">
        <x:v>126</x:v>
      </x:c>
      <x:c r="C33" s="1"/>
      <x:c r="D33" s="1">
        <x:v>28</x:v>
      </x:c>
      <x:c r="E33" s="1"/>
      <x:c r="F33" s="1">
        <x:v>20</x:v>
      </x:c>
      <x:c r="G33" s="1"/>
      <x:c r="H33" s="1">
        <x:v>1</x:v>
      </x:c>
      <x:c r="I33" s="1">
        <x:v>1</x:v>
      </x:c>
      <x:c r="J33" s="1" t="s">
        <x:v>2</x:v>
      </x:c>
      <x:c r="K33" s="1" t="s">
        <x:v>52</x:v>
      </x:c>
      <x:c r="L33" s="1"/>
      <x:c r="M33" s="1" t="s">
        <x:v>127</x:v>
      </x:c>
      <x:c r="N33" s="1" t="str">
        <x:v>50골드</x:v>
      </x:c>
      <x:c r="O33" s="1" t="s">
        <x:v>128</x:v>
      </x:c>
      <x:c r="P33" s="12" t="s">
        <x:v>47</x:v>
      </x:c>
      <x:c r="Q33" s="1">
        <x:v>55</x:v>
      </x:c>
      <x:c r="R33" s="42" t="str">
        <x:v>적용</x:v>
      </x:c>
      <x:c r="S33" s="42" t="str">
        <x:v>ATK 기본값</x:v>
      </x:c>
      <x:c r="T33" s="42" t="str">
        <x:v>로비 성장 후 기본 ATK에 ★1 100% / ★2 115% / ★3 132% / ★4 152% / ★5 175%</x:v>
      </x:c>
      <x:c r="U33" s="42" t="n">
        <x:v>50</x:v>
      </x:c>
      <x:c r="V33" s="42" t="str">
        <x:v>신규 확정안</x:v>
      </x:c>
      <x:c r="W33" s="42" t="str">
        <x:v>기본 계정에서도 가능하되 빡빡하게. 계정 경제 패시브로 체감 완화.</x:v>
      </x:c>
      <x:c r="X33" s="42" t="str">
        <x:v>가능</x:v>
      </x:c>
      <x:c r="Y33" s="338" t="n">
        <x:v>30</x:v>
      </x:c>
      <x:c r="Z33" s="338" t="n">
        <x:v>40</x:v>
      </x:c>
      <x:c r="AA33" s="338" t="n">
        <x:v>55</x:v>
      </x:c>
      <x:c r="AB33" s="338" t="n">
        <x:v>75</x:v>
      </x:c>
      <x:c r="AC33" s="338" t="n">
        <x:v>105</x:v>
      </x:c>
      <x:c r="AD33" s="42" t="str">
        <x:v>W1~W9 판매 가능 / 전문화 재료 복구 없음</x:v>
      </x:c>
    </x:row>
    <x:row r="34">
      <x:c r="A34" s="12"/>
      <x:c r="B34" s="1" t="s">
        <x:v>129</x:v>
      </x:c>
      <x:c r="C34" s="1"/>
      <x:c r="D34" s="1">
        <x:v>42</x:v>
      </x:c>
      <x:c r="E34" s="1"/>
      <x:c r="F34" s="1">
        <x:v>22</x:v>
      </x:c>
      <x:c r="G34" s="1"/>
      <x:c r="H34" s="1">
        <x:v>1</x:v>
      </x:c>
      <x:c r="I34" s="1">
        <x:v>2</x:v>
      </x:c>
      <x:c r="J34" s="1" t="s">
        <x:v>4</x:v>
      </x:c>
      <x:c r="K34" s="1" t="s">
        <x:v>52</x:v>
      </x:c>
      <x:c r="L34" s="1"/>
      <x:c r="M34" s="1"/>
      <x:c r="N34" s="1"/>
      <x:c r="O34" s="1" t="s">
        <x:v>130</x:v>
      </x:c>
      <x:c r="P34" s="12" t="s">
        <x:v>54</x:v>
      </x:c>
      <x:c r="Q34" s="1">
        <x:v>80</x:v>
      </x:c>
      <x:c r="R34" s="42" t="str">
        <x:v>적용</x:v>
      </x:c>
      <x:c r="S34" s="42" t="str">
        <x:v>ATK 기본값</x:v>
      </x:c>
      <x:c r="T34" s="42" t="str">
        <x:v>로비 성장 후 기본 ATK에 ★1 100% / ★2 115% / ★3 132% / ★4 152% / ★5 175%</x:v>
      </x:c>
      <x:c r="U34" s="42" t="str">
        <x:v>-</x:v>
      </x:c>
      <x:c r="V34" s="42" t="str">
        <x:v>해당 없음</x:v>
      </x:c>
      <x:c r="W34" s="42" t="str">
        <x:v>전문화 트리 없음</x:v>
      </x:c>
      <x:c r="X34" s="42" t="str">
        <x:v>가능</x:v>
      </x:c>
      <x:c r="Y34" s="338" t="n">
        <x:v>100</x:v>
      </x:c>
      <x:c r="Z34" s="338" t="n">
        <x:v>115</x:v>
      </x:c>
      <x:c r="AA34" s="338" t="n">
        <x:v>135</x:v>
      </x:c>
      <x:c r="AB34" s="338" t="n">
        <x:v>170</x:v>
      </x:c>
      <x:c r="AC34" s="338" t="n">
        <x:v>215</x:v>
      </x:c>
      <x:c r="AD34" s="42" t="str">
        <x:v>W1~W9 판매 가능 / 전문화 재료 복구 없음</x:v>
      </x:c>
    </x:row>
    <x:row r="35">
      <x:c r="A35" s="12"/>
      <x:c r="B35" s="1" t="s">
        <x:v>131</x:v>
      </x:c>
      <x:c r="C35" s="1"/>
      <x:c r="D35" s="1">
        <x:v>36</x:v>
      </x:c>
      <x:c r="E35" s="1"/>
      <x:c r="F35" s="1">
        <x:v>30</x:v>
      </x:c>
      <x:c r="G35" s="1"/>
      <x:c r="H35" s="1">
        <x:v>1</x:v>
      </x:c>
      <x:c r="I35" s="1">
        <x:v>3</x:v>
      </x:c>
      <x:c r="J35" s="1" t="s">
        <x:v>101</x:v>
      </x:c>
      <x:c r="K35" s="1" t="s">
        <x:v>52</x:v>
      </x:c>
      <x:c r="L35" s="1"/>
      <x:c r="M35" s="1"/>
      <x:c r="N35" s="1"/>
      <x:c r="O35" s="1" t="s">
        <x:v>130</x:v>
      </x:c>
      <x:c r="P35" s="12" t="s">
        <x:v>54</x:v>
      </x:c>
      <x:c r="Q35" s="1">
        <x:v>80</x:v>
      </x:c>
      <x:c r="R35" s="42" t="str">
        <x:v>적용</x:v>
      </x:c>
      <x:c r="S35" s="42" t="str">
        <x:v>ATK 기본값</x:v>
      </x:c>
      <x:c r="T35" s="42" t="str">
        <x:v>로비 성장 후 기본 ATK에 ★1 100% / ★2 115% / ★3 132% / ★4 152% / ★5 175%</x:v>
      </x:c>
      <x:c r="U35" s="42" t="str">
        <x:v>-</x:v>
      </x:c>
      <x:c r="V35" s="42" t="str">
        <x:v>해당 없음</x:v>
      </x:c>
      <x:c r="W35" s="42" t="str">
        <x:v>전문화 트리 없음</x:v>
      </x:c>
      <x:c r="X35" s="42" t="str">
        <x:v>가능</x:v>
      </x:c>
      <x:c r="Y35" s="338" t="n">
        <x:v>100</x:v>
      </x:c>
      <x:c r="Z35" s="338" t="n">
        <x:v>115</x:v>
      </x:c>
      <x:c r="AA35" s="338" t="n">
        <x:v>135</x:v>
      </x:c>
      <x:c r="AB35" s="338" t="n">
        <x:v>170</x:v>
      </x:c>
      <x:c r="AC35" s="338" t="n">
        <x:v>215</x:v>
      </x:c>
      <x:c r="AD35" s="42" t="str">
        <x:v>W1~W9 판매 가능 / 전문화 재료 복구 없음</x:v>
      </x:c>
    </x:row>
    <x:row r="36">
      <x:c r="A36" s="12"/>
      <x:c r="B36" s="1" t="s">
        <x:v>132</x:v>
      </x:c>
      <x:c r="C36" s="1"/>
      <x:c r="D36" s="1">
        <x:v>16</x:v>
      </x:c>
      <x:c r="E36" s="1"/>
      <x:c r="F36" s="1">
        <x:v>18</x:v>
      </x:c>
      <x:c r="G36" s="1"/>
      <x:c r="H36" s="1">
        <x:v>3</x:v>
      </x:c>
      <x:c r="I36" s="1">
        <x:v>1</x:v>
      </x:c>
      <x:c r="J36" s="1" t="s">
        <x:v>2</x:v>
      </x:c>
      <x:c r="K36" s="1" t="s">
        <x:v>56</x:v>
      </x:c>
      <x:c r="L36" s="1"/>
      <x:c r="M36" s="1" t="s">
        <x:v>133</x:v>
      </x:c>
      <x:c r="N36" s="1" t="str">
        <x:v>25골드</x:v>
      </x:c>
      <x:c r="O36" s="1" t="s">
        <x:v>60</x:v>
      </x:c>
      <x:c r="P36" s="12" t="s">
        <x:v>43</x:v>
      </x:c>
      <x:c r="Q36" s="1">
        <x:v>35</x:v>
      </x:c>
      <x:c r="R36" s="42" t="str">
        <x:v>적용</x:v>
      </x:c>
      <x:c r="S36" s="42" t="str">
        <x:v>ATK 기본값</x:v>
      </x:c>
      <x:c r="T36" s="42" t="str">
        <x:v>로비 성장 후 기본 ATK에 ★1 100% / ★2 115% / ★3 132% / ★4 152% / ★5 175%</x:v>
      </x:c>
      <x:c r="U36" s="42" t="n">
        <x:v>25</x:v>
      </x:c>
      <x:c r="V36" s="42" t="str">
        <x:v>신규 확정안</x:v>
      </x:c>
      <x:c r="W36" s="42" t="str">
        <x:v>기본 계정에서도 가능하되 빡빡하게. 계정 경제 패시브로 체감 완화.</x:v>
      </x:c>
      <x:c r="X36" s="42" t="str">
        <x:v>가능</x:v>
      </x:c>
      <x:c r="Y36" s="338" t="n">
        <x:v>10</x:v>
      </x:c>
      <x:c r="Z36" s="338" t="n">
        <x:v>20</x:v>
      </x:c>
      <x:c r="AA36" s="338" t="n">
        <x:v>25</x:v>
      </x:c>
      <x:c r="AB36" s="338" t="n">
        <x:v>40</x:v>
      </x:c>
      <x:c r="AC36" s="338" t="n">
        <x:v>60</x:v>
      </x:c>
      <x:c r="AD36" s="42" t="str">
        <x:v>W1~W9 판매 가능 / 전문화 재료 복구 없음</x:v>
      </x:c>
    </x:row>
    <x:row r="37" ht="33">
      <x:c r="A37" s="12"/>
      <x:c r="B37" s="1" t="s">
        <x:v>133</x:v>
      </x:c>
      <x:c r="C37" s="1"/>
      <x:c r="D37" s="1">
        <x:v>28</x:v>
      </x:c>
      <x:c r="E37" s="1"/>
      <x:c r="F37" s="1">
        <x:v>15</x:v>
      </x:c>
      <x:c r="G37" s="1"/>
      <x:c r="H37" s="1">
        <x:v>5</x:v>
      </x:c>
      <x:c r="I37" s="1">
        <x:v>1</x:v>
      </x:c>
      <x:c r="J37" s="1" t="s">
        <x:v>2</x:v>
      </x:c>
      <x:c r="K37" s="1" t="s">
        <x:v>56</x:v>
      </x:c>
      <x:c r="L37" s="1"/>
      <x:c r="M37" s="1" t="s">
        <x:v>134</x:v>
      </x:c>
      <x:c r="N37" s="1" t="str">
        <x:v>50골드</x:v>
      </x:c>
      <x:c r="O37" s="1" t="s">
        <x:v>135</x:v>
      </x:c>
      <x:c r="P37" s="12" t="s">
        <x:v>47</x:v>
      </x:c>
      <x:c r="Q37" s="1">
        <x:v>55</x:v>
      </x:c>
      <x:c r="R37" s="42" t="str">
        <x:v>적용</x:v>
      </x:c>
      <x:c r="S37" s="42" t="str">
        <x:v>ATK 기본값</x:v>
      </x:c>
      <x:c r="T37" s="42" t="str">
        <x:v>로비 성장 후 기본 ATK에 ★1 100% / ★2 115% / ★3 132% / ★4 152% / ★5 175%</x:v>
      </x:c>
      <x:c r="U37" s="42" t="n">
        <x:v>50</x:v>
      </x:c>
      <x:c r="V37" s="42" t="str">
        <x:v>신규 확정안</x:v>
      </x:c>
      <x:c r="W37" s="42" t="str">
        <x:v>기본 계정에서도 가능하되 빡빡하게. 계정 경제 패시브로 체감 완화.</x:v>
      </x:c>
      <x:c r="X37" s="42" t="str">
        <x:v>가능</x:v>
      </x:c>
      <x:c r="Y37" s="338" t="n">
        <x:v>30</x:v>
      </x:c>
      <x:c r="Z37" s="338" t="n">
        <x:v>40</x:v>
      </x:c>
      <x:c r="AA37" s="338" t="n">
        <x:v>55</x:v>
      </x:c>
      <x:c r="AB37" s="338" t="n">
        <x:v>75</x:v>
      </x:c>
      <x:c r="AC37" s="338" t="n">
        <x:v>105</x:v>
      </x:c>
      <x:c r="AD37" s="42" t="str">
        <x:v>W1~W9 판매 가능 / 전문화 재료 복구 없음</x:v>
      </x:c>
    </x:row>
    <x:row r="38">
      <x:c r="A38" s="12"/>
      <x:c r="B38" s="1" t="s">
        <x:v>136</x:v>
      </x:c>
      <x:c r="C38" s="1"/>
      <x:c r="D38" s="1">
        <x:v>38</x:v>
      </x:c>
      <x:c r="E38" s="1"/>
      <x:c r="F38" s="1">
        <x:v>12</x:v>
      </x:c>
      <x:c r="G38" s="1"/>
      <x:c r="H38" s="1">
        <x:v>4</x:v>
      </x:c>
      <x:c r="I38" s="1">
        <x:v>2</x:v>
      </x:c>
      <x:c r="J38" s="1" t="s">
        <x:v>4</x:v>
      </x:c>
      <x:c r="K38" s="1" t="s">
        <x:v>56</x:v>
      </x:c>
      <x:c r="L38" s="1"/>
      <x:c r="M38" s="1"/>
      <x:c r="N38" s="1"/>
      <x:c r="O38" s="1" t="s">
        <x:v>137</x:v>
      </x:c>
      <x:c r="P38" s="12" t="s">
        <x:v>54</x:v>
      </x:c>
      <x:c r="Q38" s="1">
        <x:v>80</x:v>
      </x:c>
      <x:c r="R38" s="42" t="str">
        <x:v>적용</x:v>
      </x:c>
      <x:c r="S38" s="42" t="str">
        <x:v>ATK 기본값</x:v>
      </x:c>
      <x:c r="T38" s="42" t="str">
        <x:v>로비 성장 후 기본 ATK에 ★1 100% / ★2 115% / ★3 132% / ★4 152% / ★5 175%</x:v>
      </x:c>
      <x:c r="U38" s="42" t="str">
        <x:v>-</x:v>
      </x:c>
      <x:c r="V38" s="42" t="str">
        <x:v>해당 없음</x:v>
      </x:c>
      <x:c r="W38" s="42" t="str">
        <x:v>전문화 트리 없음</x:v>
      </x:c>
      <x:c r="X38" s="42" t="str">
        <x:v>가능</x:v>
      </x:c>
      <x:c r="Y38" s="338" t="n">
        <x:v>100</x:v>
      </x:c>
      <x:c r="Z38" s="338" t="n">
        <x:v>115</x:v>
      </x:c>
      <x:c r="AA38" s="338" t="n">
        <x:v>135</x:v>
      </x:c>
      <x:c r="AB38" s="338" t="n">
        <x:v>170</x:v>
      </x:c>
      <x:c r="AC38" s="338" t="n">
        <x:v>215</x:v>
      </x:c>
      <x:c r="AD38" s="42" t="str">
        <x:v>W1~W9 판매 가능 / 전문화 재료 복구 없음</x:v>
      </x:c>
    </x:row>
    <x:row r="39">
      <x:c r="A39" s="12"/>
      <x:c r="B39" s="1" t="s">
        <x:v>138</x:v>
      </x:c>
      <x:c r="C39" s="1"/>
      <x:c r="D39" s="1">
        <x:v>24</x:v>
      </x:c>
      <x:c r="E39" s="1"/>
      <x:c r="F39" s="1">
        <x:v>32</x:v>
      </x:c>
      <x:c r="G39" s="1"/>
      <x:c r="H39" s="1">
        <x:v>4</x:v>
      </x:c>
      <x:c r="I39" s="1">
        <x:v>3</x:v>
      </x:c>
      <x:c r="J39" s="1" t="s">
        <x:v>101</x:v>
      </x:c>
      <x:c r="K39" s="1" t="s">
        <x:v>56</x:v>
      </x:c>
      <x:c r="L39" s="1"/>
      <x:c r="M39" s="1"/>
      <x:c r="N39" s="1"/>
      <x:c r="O39" s="1" t="s">
        <x:v>137</x:v>
      </x:c>
      <x:c r="P39" s="12" t="s">
        <x:v>54</x:v>
      </x:c>
      <x:c r="Q39" s="1">
        <x:v>80</x:v>
      </x:c>
      <x:c r="R39" s="42" t="str">
        <x:v>적용</x:v>
      </x:c>
      <x:c r="S39" s="42" t="str">
        <x:v>ATK 기본값</x:v>
      </x:c>
      <x:c r="T39" s="42" t="str">
        <x:v>로비 성장 후 기본 ATK에 ★1 100% / ★2 115% / ★3 132% / ★4 152% / ★5 175%</x:v>
      </x:c>
      <x:c r="U39" s="42" t="str">
        <x:v>-</x:v>
      </x:c>
      <x:c r="V39" s="42" t="str">
        <x:v>해당 없음</x:v>
      </x:c>
      <x:c r="W39" s="42" t="str">
        <x:v>전문화 트리 없음</x:v>
      </x:c>
      <x:c r="X39" s="42" t="str">
        <x:v>가능</x:v>
      </x:c>
      <x:c r="Y39" s="338" t="n">
        <x:v>100</x:v>
      </x:c>
      <x:c r="Z39" s="338" t="n">
        <x:v>115</x:v>
      </x:c>
      <x:c r="AA39" s="338" t="n">
        <x:v>135</x:v>
      </x:c>
      <x:c r="AB39" s="338" t="n">
        <x:v>170</x:v>
      </x:c>
      <x:c r="AC39" s="338" t="n">
        <x:v>215</x:v>
      </x:c>
      <x:c r="AD39" s="42" t="str">
        <x:v>W1~W9 판매 가능 / 전문화 재료 복구 없음</x:v>
      </x:c>
    </x:row>
    <x:row r="40">
      <x:c r="A40" s="12"/>
      <x:c r="B40" s="1" t="s">
        <x:v>139</x:v>
      </x:c>
      <x:c r="C40" s="1"/>
      <x:c r="D40" s="1">
        <x:v>22</x:v>
      </x:c>
      <x:c r="E40" s="1"/>
      <x:c r="F40" s="1">
        <x:v>15</x:v>
      </x:c>
      <x:c r="G40" s="1"/>
      <x:c r="H40" s="1">
        <x:v>2</x:v>
      </x:c>
      <x:c r="I40" s="1">
        <x:v>2</x:v>
      </x:c>
      <x:c r="J40" s="1" t="s">
        <x:v>4</x:v>
      </x:c>
      <x:c r="K40" s="1" t="s">
        <x:v>52</x:v>
      </x:c>
      <x:c r="L40" s="1"/>
      <x:c r="M40" s="1" t="s">
        <x:v>140</x:v>
      </x:c>
      <x:c r="N40" s="1" t="str">
        <x:v>30골드</x:v>
      </x:c>
      <x:c r="O40" s="1" t="s">
        <x:v>60</x:v>
      </x:c>
      <x:c r="P40" s="12" t="s">
        <x:v>141</x:v>
      </x:c>
      <x:c r="Q40" s="1">
        <x:v>40</x:v>
      </x:c>
      <x:c r="R40" s="42" t="str">
        <x:v>적용</x:v>
      </x:c>
      <x:c r="S40" s="42" t="str">
        <x:v>ATK 기본값</x:v>
      </x:c>
      <x:c r="T40" s="42" t="str">
        <x:v>로비 성장 후 기본 ATK에 ★1 100% / ★2 115% / ★3 132% / ★4 152% / ★5 175%</x:v>
      </x:c>
      <x:c r="U40" s="42" t="n">
        <x:v>30</x:v>
      </x:c>
      <x:c r="V40" s="42" t="str">
        <x:v>신규 확정안</x:v>
      </x:c>
      <x:c r="W40" s="42" t="str">
        <x:v>기본 계정에서도 가능하되 빡빡하게. 계정 경제 패시브로 체감 완화.</x:v>
      </x:c>
      <x:c r="X40" s="42" t="str">
        <x:v>가능</x:v>
      </x:c>
      <x:c r="Y40" s="338" t="n">
        <x:v>10</x:v>
      </x:c>
      <x:c r="Z40" s="338" t="n">
        <x:v>20</x:v>
      </x:c>
      <x:c r="AA40" s="338" t="n">
        <x:v>30</x:v>
      </x:c>
      <x:c r="AB40" s="338" t="n">
        <x:v>40</x:v>
      </x:c>
      <x:c r="AC40" s="338" t="n">
        <x:v>65</x:v>
      </x:c>
      <x:c r="AD40" s="42" t="str">
        <x:v>W1~W9 판매 가능 / 전문화 재료 복구 없음</x:v>
      </x:c>
    </x:row>
    <x:row r="41" ht="33">
      <x:c r="A41" s="12"/>
      <x:c r="B41" s="1" t="s">
        <x:v>142</x:v>
      </x:c>
      <x:c r="C41" s="1"/>
      <x:c r="D41" s="1">
        <x:v>30</x:v>
      </x:c>
      <x:c r="E41" s="1"/>
      <x:c r="F41" s="1">
        <x:v>18</x:v>
      </x:c>
      <x:c r="G41" s="1"/>
      <x:c r="H41" s="1">
        <x:v>3</x:v>
      </x:c>
      <x:c r="I41" s="1">
        <x:v>2</x:v>
      </x:c>
      <x:c r="J41" s="1" t="s">
        <x:v>4</x:v>
      </x:c>
      <x:c r="K41" s="1" t="s">
        <x:v>56</x:v>
      </x:c>
      <x:c r="L41" s="1"/>
      <x:c r="M41" s="1" t="s">
        <x:v>143</x:v>
      </x:c>
      <x:c r="N41" s="1" t="str">
        <x:v>55골드</x:v>
      </x:c>
      <x:c r="O41" s="1" t="s">
        <x:v>144</x:v>
      </x:c>
      <x:c r="P41" s="12" t="s">
        <x:v>145</x:v>
      </x:c>
      <x:c r="Q41" s="1">
        <x:v>60</x:v>
      </x:c>
      <x:c r="R41" s="42" t="str">
        <x:v>적용</x:v>
      </x:c>
      <x:c r="S41" s="42" t="str">
        <x:v>ATK 기본값</x:v>
      </x:c>
      <x:c r="T41" s="42" t="str">
        <x:v>로비 성장 후 기본 ATK에 ★1 100% / ★2 115% / ★3 132% / ★4 152% / ★5 175%</x:v>
      </x:c>
      <x:c r="U41" s="42" t="n">
        <x:v>55</x:v>
      </x:c>
      <x:c r="V41" s="42" t="str">
        <x:v>신규 확정안</x:v>
      </x:c>
      <x:c r="W41" s="42" t="str">
        <x:v>기본 계정에서도 가능하되 빡빡하게. 계정 경제 패시브로 체감 완화.</x:v>
      </x:c>
      <x:c r="X41" s="42" t="str">
        <x:v>가능</x:v>
      </x:c>
      <x:c r="Y41" s="338" t="n">
        <x:v>30</x:v>
      </x:c>
      <x:c r="Z41" s="338" t="n">
        <x:v>40</x:v>
      </x:c>
      <x:c r="AA41" s="338" t="n">
        <x:v>55</x:v>
      </x:c>
      <x:c r="AB41" s="338" t="n">
        <x:v>80</x:v>
      </x:c>
      <x:c r="AC41" s="338" t="n">
        <x:v>110</x:v>
      </x:c>
      <x:c r="AD41" s="42" t="str">
        <x:v>W1~W9 판매 가능 / 전문화 재료 복구 없음</x:v>
      </x:c>
    </x:row>
    <x:row r="42">
      <x:c r="A42" s="12"/>
      <x:c r="B42" s="1" t="s">
        <x:v>146</x:v>
      </x:c>
      <x:c r="C42" s="1"/>
      <x:c r="D42" s="1">
        <x:v>42</x:v>
      </x:c>
      <x:c r="E42" s="1"/>
      <x:c r="F42" s="1">
        <x:v>20</x:v>
      </x:c>
      <x:c r="G42" s="1"/>
      <x:c r="H42" s="1">
        <x:v>3</x:v>
      </x:c>
      <x:c r="I42" s="1">
        <x:v>3</x:v>
      </x:c>
      <x:c r="J42" s="1" t="s">
        <x:v>101</x:v>
      </x:c>
      <x:c r="K42" s="1" t="s">
        <x:v>56</x:v>
      </x:c>
      <x:c r="L42" s="1"/>
      <x:c r="M42" s="1"/>
      <x:c r="N42" s="1"/>
      <x:c r="O42" s="1" t="s">
        <x:v>147</x:v>
      </x:c>
      <x:c r="P42" s="12" t="s">
        <x:v>148</x:v>
      </x:c>
      <x:c r="Q42" s="1">
        <x:v>85</x:v>
      </x:c>
      <x:c r="R42" s="42" t="str">
        <x:v>적용</x:v>
      </x:c>
      <x:c r="S42" s="42" t="str">
        <x:v>ATK 기본값</x:v>
      </x:c>
      <x:c r="T42" s="42" t="str">
        <x:v>로비 성장 후 기본 ATK에 ★1 100% / ★2 115% / ★3 132% / ★4 152% / ★5 175%</x:v>
      </x:c>
      <x:c r="U42" s="42" t="str">
        <x:v>-</x:v>
      </x:c>
      <x:c r="V42" s="42" t="str">
        <x:v>해당 없음</x:v>
      </x:c>
      <x:c r="W42" s="42" t="str">
        <x:v>전문화 트리 없음</x:v>
      </x:c>
      <x:c r="X42" s="42" t="str">
        <x:v>가능</x:v>
      </x:c>
      <x:c r="Y42" s="338" t="n">
        <x:v>110</x:v>
      </x:c>
      <x:c r="Z42" s="338" t="n">
        <x:v>125</x:v>
      </x:c>
      <x:c r="AA42" s="338" t="n">
        <x:v>150</x:v>
      </x:c>
      <x:c r="AB42" s="338" t="n">
        <x:v>180</x:v>
      </x:c>
      <x:c r="AC42" s="338" t="n">
        <x:v>230</x:v>
      </x:c>
      <x:c r="AD42" s="42" t="str">
        <x:v>W1~W9 판매 가능 / 전문화 재료 복구 없음</x:v>
      </x:c>
    </x:row>
    <x:row r="43">
      <x:c r="A43" s="12"/>
      <x:c r="B43" s="1" t="s">
        <x:v>149</x:v>
      </x:c>
      <x:c r="C43" s="1"/>
      <x:c r="D43" s="1">
        <x:v>34</x:v>
      </x:c>
      <x:c r="E43" s="1"/>
      <x:c r="F43" s="1">
        <x:v>22</x:v>
      </x:c>
      <x:c r="G43" s="1"/>
      <x:c r="H43" s="1">
        <x:v>4</x:v>
      </x:c>
      <x:c r="I43" s="1">
        <x:v>2</x:v>
      </x:c>
      <x:c r="J43" s="1" t="s">
        <x:v>150</x:v>
      </x:c>
      <x:c r="K43" s="1" t="s">
        <x:v>56</x:v>
      </x:c>
      <x:c r="L43" s="1"/>
      <x:c r="M43" s="1"/>
      <x:c r="N43" s="1"/>
      <x:c r="O43" s="1" t="s">
        <x:v>147</x:v>
      </x:c>
      <x:c r="P43" s="12" t="s">
        <x:v>148</x:v>
      </x:c>
      <x:c r="Q43" s="1">
        <x:v>85</x:v>
      </x:c>
      <x:c r="R43" s="42" t="str">
        <x:v>적용</x:v>
      </x:c>
      <x:c r="S43" s="42" t="str">
        <x:v>ATK 기본값</x:v>
      </x:c>
      <x:c r="T43" s="42" t="str">
        <x:v>로비 성장 후 기본 ATK에 ★1 100% / ★2 115% / ★3 132% / ★4 152% / ★5 175%</x:v>
      </x:c>
      <x:c r="U43" s="42" t="str">
        <x:v>-</x:v>
      </x:c>
      <x:c r="V43" s="42" t="str">
        <x:v>해당 없음</x:v>
      </x:c>
      <x:c r="W43" s="42" t="str">
        <x:v>전문화 트리 없음</x:v>
      </x:c>
      <x:c r="X43" s="42" t="str">
        <x:v>가능</x:v>
      </x:c>
      <x:c r="Y43" s="338" t="n">
        <x:v>110</x:v>
      </x:c>
      <x:c r="Z43" s="338" t="n">
        <x:v>125</x:v>
      </x:c>
      <x:c r="AA43" s="338" t="n">
        <x:v>150</x:v>
      </x:c>
      <x:c r="AB43" s="338" t="n">
        <x:v>180</x:v>
      </x:c>
      <x:c r="AC43" s="338" t="n">
        <x:v>230</x:v>
      </x:c>
      <x:c r="AD43" s="42" t="str">
        <x:v>W1~W9 판매 가능 / 전문화 재료 복구 없음</x:v>
      </x:c>
    </x:row>
    <x:row r="44" ht="33">
      <x:c r="A44" s="12"/>
      <x:c r="B44" s="1" t="s">
        <x:v>151</x:v>
      </x:c>
      <x:c r="C44" s="1"/>
      <x:c r="D44" s="1">
        <x:v>8</x:v>
      </x:c>
      <x:c r="E44" s="1"/>
      <x:c r="F44" s="1">
        <x:v>16</x:v>
      </x:c>
      <x:c r="G44" s="1"/>
      <x:c r="H44" s="1">
        <x:v>2</x:v>
      </x:c>
      <x:c r="I44" s="1">
        <x:v>1</x:v>
      </x:c>
      <x:c r="J44" s="1" t="s">
        <x:v>2</x:v>
      </x:c>
      <x:c r="K44" s="1" t="s">
        <x:v>52</x:v>
      </x:c>
      <x:c r="L44" s="1" t="s">
        <x:v>152</x:v>
      </x:c>
      <x:c r="M44" s="1" t="s">
        <x:v>153</x:v>
      </x:c>
      <x:c r="N44" s="1" t="str">
        <x:v>30골드</x:v>
      </x:c>
      <x:c r="O44" s="1" t="s">
        <x:v>154</x:v>
      </x:c>
      <x:c r="P44" s="12" t="s">
        <x:v>155</x:v>
      </x:c>
      <x:c r="Q44" s="1">
        <x:v>45</x:v>
      </x:c>
      <x:c r="R44" s="42" t="str">
        <x:v>적용</x:v>
      </x:c>
      <x:c r="S44" s="42" t="str">
        <x:v>ATK 기본값</x:v>
      </x:c>
      <x:c r="T44" s="42" t="str">
        <x:v>로비 성장 후 기본 ATK에 ★1 100% / ★2 115% / ★3 132% / ★4 152% / ★5 175%</x:v>
      </x:c>
      <x:c r="U44" s="42" t="n">
        <x:v>30</x:v>
      </x:c>
      <x:c r="V44" s="42" t="str">
        <x:v>신규 확정안</x:v>
      </x:c>
      <x:c r="W44" s="42" t="str">
        <x:v>기본 계정에서도 가능하되 빡빡하게. 계정 경제 패시브로 체감 완화.</x:v>
      </x:c>
      <x:c r="X44" s="42" t="str">
        <x:v>가능</x:v>
      </x:c>
      <x:c r="Y44" s="338" t="n">
        <x:v>15</x:v>
      </x:c>
      <x:c r="Z44" s="338" t="n">
        <x:v>20</x:v>
      </x:c>
      <x:c r="AA44" s="338" t="n">
        <x:v>30</x:v>
      </x:c>
      <x:c r="AB44" s="338" t="n">
        <x:v>50</x:v>
      </x:c>
      <x:c r="AC44" s="338" t="n">
        <x:v>75</x:v>
      </x:c>
      <x:c r="AD44" s="42" t="str">
        <x:v>W1~W9 판매 가능 / 전문화 재료 복구 없음</x:v>
      </x:c>
    </x:row>
    <x:row r="45" ht="33">
      <x:c r="A45" s="12"/>
      <x:c r="B45" s="1" t="s">
        <x:v>156</x:v>
      </x:c>
      <x:c r="C45" s="1"/>
      <x:c r="D45" s="1">
        <x:v>12</x:v>
      </x:c>
      <x:c r="E45" s="1"/>
      <x:c r="F45" s="1">
        <x:v>18</x:v>
      </x:c>
      <x:c r="G45" s="1"/>
      <x:c r="H45" s="1">
        <x:v>3</x:v>
      </x:c>
      <x:c r="I45" s="1">
        <x:v>1</x:v>
      </x:c>
      <x:c r="J45" s="1" t="s">
        <x:v>2</x:v>
      </x:c>
      <x:c r="K45" s="1" t="s">
        <x:v>52</x:v>
      </x:c>
      <x:c r="L45" s="1" t="s">
        <x:v>157</x:v>
      </x:c>
      <x:c r="M45" s="1" t="s">
        <x:v>158</x:v>
      </x:c>
      <x:c r="N45" s="1" t="str">
        <x:v>60골드</x:v>
      </x:c>
      <x:c r="O45" s="1" t="s">
        <x:v>159</x:v>
      </x:c>
      <x:c r="P45" s="12" t="s">
        <x:v>160</x:v>
      </x:c>
      <x:c r="Q45" s="1">
        <x:v>70</x:v>
      </x:c>
      <x:c r="R45" s="42" t="str">
        <x:v>적용</x:v>
      </x:c>
      <x:c r="S45" s="42" t="str">
        <x:v>ATK 기본값</x:v>
      </x:c>
      <x:c r="T45" s="42" t="str">
        <x:v>로비 성장 후 기본 ATK에 ★1 100% / ★2 115% / ★3 132% / ★4 152% / ★5 175%</x:v>
      </x:c>
      <x:c r="U45" s="42" t="n">
        <x:v>60</x:v>
      </x:c>
      <x:c r="V45" s="42" t="str">
        <x:v>신규 확정안</x:v>
      </x:c>
      <x:c r="W45" s="42" t="str">
        <x:v>기본 계정에서도 가능하되 빡빡하게. 계정 경제 패시브로 체감 완화.</x:v>
      </x:c>
      <x:c r="X45" s="42" t="str">
        <x:v>가능</x:v>
      </x:c>
      <x:c r="Y45" s="338" t="n">
        <x:v>35</x:v>
      </x:c>
      <x:c r="Z45" s="338" t="n">
        <x:v>45</x:v>
      </x:c>
      <x:c r="AA45" s="338" t="n">
        <x:v>65</x:v>
      </x:c>
      <x:c r="AB45" s="338" t="n">
        <x:v>90</x:v>
      </x:c>
      <x:c r="AC45" s="338" t="n">
        <x:v>130</x:v>
      </x:c>
      <x:c r="AD45" s="42" t="str">
        <x:v>W1~W9 판매 가능 / 전문화 재료 복구 없음</x:v>
      </x:c>
    </x:row>
    <x:row r="46" ht="33">
      <x:c r="A46" s="12"/>
      <x:c r="B46" s="1" t="s">
        <x:v>161</x:v>
      </x:c>
      <x:c r="C46" s="1"/>
      <x:c r="D46" s="1">
        <x:v>18</x:v>
      </x:c>
      <x:c r="E46" s="1"/>
      <x:c r="F46" s="1">
        <x:v>16</x:v>
      </x:c>
      <x:c r="G46" s="1"/>
      <x:c r="H46" s="1">
        <x:v>4</x:v>
      </x:c>
      <x:c r="I46" s="1">
        <x:v>3</x:v>
      </x:c>
      <x:c r="J46" s="1" t="s">
        <x:v>5</x:v>
      </x:c>
      <x:c r="K46" s="1" t="s">
        <x:v>56</x:v>
      </x:c>
      <x:c r="L46" s="1" t="s">
        <x:v>162</x:v>
      </x:c>
      <x:c r="M46" s="1"/>
      <x:c r="N46" s="1"/>
      <x:c r="O46" s="1" t="s">
        <x:v>163</x:v>
      </x:c>
      <x:c r="P46" s="12" t="s">
        <x:v>164</x:v>
      </x:c>
      <x:c r="Q46" s="1">
        <x:v>100</x:v>
      </x:c>
      <x:c r="R46" s="42" t="str">
        <x:v>적용</x:v>
      </x:c>
      <x:c r="S46" s="42" t="str">
        <x:v>ATK 기본값</x:v>
      </x:c>
      <x:c r="T46" s="42" t="str">
        <x:v>로비 성장 후 기본 ATK에 ★1 100% / ★2 115% / ★3 132% / ★4 152% / ★5 175%</x:v>
      </x:c>
      <x:c r="U46" s="42" t="str">
        <x:v>-</x:v>
      </x:c>
      <x:c r="V46" s="42" t="str">
        <x:v>해당 없음</x:v>
      </x:c>
      <x:c r="W46" s="42" t="str">
        <x:v>전문화 트리 없음</x:v>
      </x:c>
      <x:c r="X46" s="42" t="str">
        <x:v>가능</x:v>
      </x:c>
      <x:c r="Y46" s="338" t="n">
        <x:v>125</x:v>
      </x:c>
      <x:c r="Z46" s="338" t="n">
        <x:v>145</x:v>
      </x:c>
      <x:c r="AA46" s="338" t="n">
        <x:v>170</x:v>
      </x:c>
      <x:c r="AB46" s="338" t="n">
        <x:v>205</x:v>
      </x:c>
      <x:c r="AC46" s="338" t="n">
        <x:v>265</x:v>
      </x:c>
      <x:c r="AD46" s="42" t="str">
        <x:v>W1~W9 판매 가능 / 전문화 재료 복구 없음</x:v>
      </x:c>
    </x:row>
    <x:row r="47" ht="66">
      <x:c r="A47" s="12"/>
      <x:c r="B47" s="1" t="s">
        <x:v>165</x:v>
      </x:c>
      <x:c r="C47" s="1"/>
      <x:c r="D47" s="1">
        <x:v>10</x:v>
      </x:c>
      <x:c r="E47" s="1"/>
      <x:c r="F47" s="1">
        <x:v>20</x:v>
      </x:c>
      <x:c r="G47" s="1"/>
      <x:c r="H47" s="1">
        <x:v>3</x:v>
      </x:c>
      <x:c r="I47" s="1">
        <x:v>1</x:v>
      </x:c>
      <x:c r="J47" s="1" t="s">
        <x:v>5</x:v>
      </x:c>
      <x:c r="K47" s="1" t="s">
        <x:v>52</x:v>
      </x:c>
      <x:c r="L47" s="1" t="s">
        <x:v>166</x:v>
      </x:c>
      <x:c r="M47" s="1"/>
      <x:c r="N47" s="1"/>
      <x:c r="O47" s="1" t="s">
        <x:v>163</x:v>
      </x:c>
      <x:c r="P47" s="12" t="s">
        <x:v>164</x:v>
      </x:c>
      <x:c r="Q47" s="1">
        <x:v>100</x:v>
      </x:c>
      <x:c r="R47" s="42" t="str">
        <x:v>적용</x:v>
      </x:c>
      <x:c r="S47" s="42" t="str">
        <x:v>ATK 기본값</x:v>
      </x:c>
      <x:c r="T47" s="42" t="str">
        <x:v>로비 성장 후 기본 ATK에 ★1 100% / ★2 115% / ★3 132% / ★4 152% / ★5 175%</x:v>
      </x:c>
      <x:c r="U47" s="42" t="str">
        <x:v>-</x:v>
      </x:c>
      <x:c r="V47" s="42" t="str">
        <x:v>해당 없음</x:v>
      </x:c>
      <x:c r="W47" s="42" t="str">
        <x:v>전문화 트리 없음</x:v>
      </x:c>
      <x:c r="X47" s="42" t="str">
        <x:v>가능</x:v>
      </x:c>
      <x:c r="Y47" s="338" t="n">
        <x:v>125</x:v>
      </x:c>
      <x:c r="Z47" s="338" t="n">
        <x:v>145</x:v>
      </x:c>
      <x:c r="AA47" s="338" t="n">
        <x:v>170</x:v>
      </x:c>
      <x:c r="AB47" s="338" t="n">
        <x:v>205</x:v>
      </x:c>
      <x:c r="AC47" s="338" t="n">
        <x:v>265</x:v>
      </x:c>
      <x:c r="AD47" s="42" t="str">
        <x:v>W1~W9 판매 가능 / 전문화 재료 복구 없음</x:v>
      </x:c>
    </x:row>
    <x:row r="48">
      <x:c r="A48" s="12"/>
      <x:c r="B48" s="1" t="s">
        <x:v>167</x:v>
      </x:c>
      <x:c r="C48" s="1"/>
      <x:c r="D48" s="1">
        <x:v>20</x:v>
      </x:c>
      <x:c r="E48" s="1"/>
      <x:c r="F48" s="1">
        <x:v>14</x:v>
      </x:c>
      <x:c r="G48" s="1"/>
      <x:c r="H48" s="1">
        <x:v>3</x:v>
      </x:c>
      <x:c r="I48" s="1">
        <x:v>1</x:v>
      </x:c>
      <x:c r="J48" s="1" t="s">
        <x:v>2</x:v>
      </x:c>
      <x:c r="K48" s="1" t="s">
        <x:v>56</x:v>
      </x:c>
      <x:c r="L48" s="1"/>
      <x:c r="M48" s="1" t="s">
        <x:v>168</x:v>
      </x:c>
      <x:c r="N48" s="1" t="str">
        <x:v>35골드</x:v>
      </x:c>
      <x:c r="O48" s="1" t="s">
        <x:v>169</x:v>
      </x:c>
      <x:c r="P48" s="12" t="s">
        <x:v>155</x:v>
      </x:c>
      <x:c r="Q48" s="1">
        <x:v>45</x:v>
      </x:c>
      <x:c r="R48" s="42" t="str">
        <x:v>적용</x:v>
      </x:c>
      <x:c r="S48" s="42" t="str">
        <x:v>ATK 기본값</x:v>
      </x:c>
      <x:c r="T48" s="42" t="str">
        <x:v>로비 성장 후 기본 ATK에 ★1 100% / ★2 115% / ★3 132% / ★4 152% / ★5 175%</x:v>
      </x:c>
      <x:c r="U48" s="42" t="n">
        <x:v>35</x:v>
      </x:c>
      <x:c r="V48" s="42" t="str">
        <x:v>신규 확정안</x:v>
      </x:c>
      <x:c r="W48" s="42" t="str">
        <x:v>기본 계정에서도 가능하되 빡빡하게. 계정 경제 패시브로 체감 완화.</x:v>
      </x:c>
      <x:c r="X48" s="42" t="str">
        <x:v>가능</x:v>
      </x:c>
      <x:c r="Y48" s="338" t="n">
        <x:v>15</x:v>
      </x:c>
      <x:c r="Z48" s="338" t="n">
        <x:v>20</x:v>
      </x:c>
      <x:c r="AA48" s="338" t="n">
        <x:v>30</x:v>
      </x:c>
      <x:c r="AB48" s="338" t="n">
        <x:v>50</x:v>
      </x:c>
      <x:c r="AC48" s="338" t="n">
        <x:v>75</x:v>
      </x:c>
      <x:c r="AD48" s="42" t="str">
        <x:v>W1~W9 판매 가능 / 전문화 재료 복구 없음</x:v>
      </x:c>
    </x:row>
    <x:row r="49" ht="33">
      <x:c r="A49" s="12"/>
      <x:c r="B49" s="1" t="s">
        <x:v>168</x:v>
      </x:c>
      <x:c r="C49" s="1"/>
      <x:c r="D49" s="1">
        <x:v>32</x:v>
      </x:c>
      <x:c r="E49" s="1"/>
      <x:c r="F49" s="1">
        <x:v>15</x:v>
      </x:c>
      <x:c r="G49" s="1"/>
      <x:c r="H49" s="1">
        <x:v>4</x:v>
      </x:c>
      <x:c r="I49" s="1">
        <x:v>2</x:v>
      </x:c>
      <x:c r="J49" s="1" t="s">
        <x:v>101</x:v>
      </x:c>
      <x:c r="K49" s="1" t="s">
        <x:v>56</x:v>
      </x:c>
      <x:c r="L49" s="1"/>
      <x:c r="M49" s="1" t="s">
        <x:v>170</x:v>
      </x:c>
      <x:c r="N49" s="1" t="str">
        <x:v>70골드</x:v>
      </x:c>
      <x:c r="O49" s="1" t="s">
        <x:v>171</x:v>
      </x:c>
      <x:c r="P49" s="12" t="s">
        <x:v>172</x:v>
      </x:c>
      <x:c r="Q49" s="1">
        <x:v>75</x:v>
      </x:c>
      <x:c r="R49" s="42" t="str">
        <x:v>적용</x:v>
      </x:c>
      <x:c r="S49" s="42" t="str">
        <x:v>ATK 기본값</x:v>
      </x:c>
      <x:c r="T49" s="42" t="str">
        <x:v>로비 성장 후 기본 ATK에 ★1 100% / ★2 115% / ★3 132% / ★4 152% / ★5 175%</x:v>
      </x:c>
      <x:c r="U49" s="42" t="n">
        <x:v>70</x:v>
      </x:c>
      <x:c r="V49" s="42" t="str">
        <x:v>신규 확정안</x:v>
      </x:c>
      <x:c r="W49" s="42" t="str">
        <x:v>기본 계정에서도 가능하되 빡빡하게. 계정 경제 패시브로 체감 완화.</x:v>
      </x:c>
      <x:c r="X49" s="42" t="str">
        <x:v>가능</x:v>
      </x:c>
      <x:c r="Y49" s="338" t="n">
        <x:v>40</x:v>
      </x:c>
      <x:c r="Z49" s="338" t="n">
        <x:v>55</x:v>
      </x:c>
      <x:c r="AA49" s="338" t="n">
        <x:v>70</x:v>
      </x:c>
      <x:c r="AB49" s="338" t="n">
        <x:v>100</x:v>
      </x:c>
      <x:c r="AC49" s="338" t="n">
        <x:v>140</x:v>
      </x:c>
      <x:c r="AD49" s="42" t="str">
        <x:v>W1~W9 판매 가능 / 전문화 재료 복구 없음</x:v>
      </x:c>
    </x:row>
    <x:row r="50" ht="33">
      <x:c r="A50" s="12"/>
      <x:c r="B50" s="1" t="s">
        <x:v>173</x:v>
      </x:c>
      <x:c r="C50" s="1"/>
      <x:c r="D50" s="1">
        <x:v>40</x:v>
      </x:c>
      <x:c r="E50" s="1"/>
      <x:c r="F50" s="1">
        <x:v>16</x:v>
      </x:c>
      <x:c r="G50" s="1"/>
      <x:c r="H50" s="1">
        <x:v>5</x:v>
      </x:c>
      <x:c r="I50" s="1">
        <x:v>3</x:v>
      </x:c>
      <x:c r="J50" s="1" t="s">
        <x:v>101</x:v>
      </x:c>
      <x:c r="K50" s="1" t="s">
        <x:v>56</x:v>
      </x:c>
      <x:c r="L50" s="1" t="s">
        <x:v>174</x:v>
      </x:c>
      <x:c r="M50" s="1"/>
      <x:c r="N50" s="1"/>
      <x:c r="O50" s="1" t="s">
        <x:v>175</x:v>
      </x:c>
      <x:c r="P50" s="12" t="s">
        <x:v>176</x:v>
      </x:c>
      <x:c r="Q50" s="1">
        <x:v>110</x:v>
      </x:c>
      <x:c r="R50" s="42" t="str">
        <x:v>적용</x:v>
      </x:c>
      <x:c r="S50" s="42" t="str">
        <x:v>ATK 기본값</x:v>
      </x:c>
      <x:c r="T50" s="42" t="str">
        <x:v>로비 성장 후 기본 ATK에 ★1 100% / ★2 115% / ★3 132% / ★4 152% / ★5 175%</x:v>
      </x:c>
      <x:c r="U50" s="42" t="str">
        <x:v>-</x:v>
      </x:c>
      <x:c r="V50" s="42" t="str">
        <x:v>해당 없음</x:v>
      </x:c>
      <x:c r="W50" s="42" t="str">
        <x:v>전문화 트리 없음</x:v>
      </x:c>
      <x:c r="X50" s="42" t="str">
        <x:v>가능</x:v>
      </x:c>
      <x:c r="Y50" s="338" t="n">
        <x:v>135</x:v>
      </x:c>
      <x:c r="Z50" s="338" t="n">
        <x:v>155</x:v>
      </x:c>
      <x:c r="AA50" s="338" t="n">
        <x:v>180</x:v>
      </x:c>
      <x:c r="AB50" s="338" t="n">
        <x:v>225</x:v>
      </x:c>
      <x:c r="AC50" s="338" t="n">
        <x:v>285</x:v>
      </x:c>
      <x:c r="AD50" s="42" t="str">
        <x:v>W1~W9 판매 가능 / 전문화 재료 복구 없음</x:v>
      </x:c>
    </x:row>
    <x:row r="51" ht="49.5">
      <x:c r="A51" s="12"/>
      <x:c r="B51" s="1" t="s">
        <x:v>177</x:v>
      </x:c>
      <x:c r="C51" s="1"/>
      <x:c r="D51" s="1">
        <x:v>70</x:v>
      </x:c>
      <x:c r="E51" s="1"/>
      <x:c r="F51" s="1">
        <x:v>8</x:v>
      </x:c>
      <x:c r="G51" s="1"/>
      <x:c r="H51" s="1">
        <x:v>5</x:v>
      </x:c>
      <x:c r="I51" s="1">
        <x:v>4</x:v>
      </x:c>
      <x:c r="J51" s="1" t="s">
        <x:v>178</x:v>
      </x:c>
      <x:c r="K51" s="1" t="s">
        <x:v>56</x:v>
      </x:c>
      <x:c r="L51" s="1" t="s">
        <x:v>179</x:v>
      </x:c>
      <x:c r="M51" s="1"/>
      <x:c r="N51" s="1"/>
      <x:c r="O51" s="1" t="s">
        <x:v>175</x:v>
      </x:c>
      <x:c r="P51" s="12" t="s">
        <x:v>180</x:v>
      </x:c>
      <x:c r="Q51" s="1">
        <x:v>115</x:v>
      </x:c>
      <x:c r="R51" s="42" t="str">
        <x:v>적용</x:v>
      </x:c>
      <x:c r="S51" s="42" t="str">
        <x:v>ATK 기본값</x:v>
      </x:c>
      <x:c r="T51" s="42" t="str">
        <x:v>로비 성장 후 기본 ATK에 ★1 100% / ★2 115% / ★3 132% / ★4 152% / ★5 175%</x:v>
      </x:c>
      <x:c r="U51" s="42" t="str">
        <x:v>-</x:v>
      </x:c>
      <x:c r="V51" s="42" t="str">
        <x:v>해당 없음</x:v>
      </x:c>
      <x:c r="W51" s="42" t="str">
        <x:v>전문화 트리 없음</x:v>
      </x:c>
      <x:c r="X51" s="42" t="str">
        <x:v>가능</x:v>
      </x:c>
      <x:c r="Y51" s="338" t="n">
        <x:v>135</x:v>
      </x:c>
      <x:c r="Z51" s="338" t="n">
        <x:v>160</x:v>
      </x:c>
      <x:c r="AA51" s="338" t="n">
        <x:v>185</x:v>
      </x:c>
      <x:c r="AB51" s="338" t="n">
        <x:v>230</x:v>
      </x:c>
      <x:c r="AC51" s="338" t="n">
        <x:v>295</x:v>
      </x:c>
      <x:c r="AD51" s="42" t="str">
        <x:v>W1~W9 판매 가능 / 전문화 재료 복구 없음</x:v>
      </x:c>
    </x:row>
    <x:row r="52" ht="99">
      <x:c r="A52" s="12"/>
      <x:c r="B52" s="1" t="s">
        <x:v>181</x:v>
      </x:c>
      <x:c r="C52" s="1"/>
      <x:c r="D52" s="1">
        <x:v>28</x:v>
      </x:c>
      <x:c r="E52" s="1"/>
      <x:c r="F52" s="1">
        <x:v>14</x:v>
      </x:c>
      <x:c r="G52" s="1"/>
      <x:c r="H52" s="1">
        <x:v>4</x:v>
      </x:c>
      <x:c r="I52" s="1">
        <x:v>3</x:v>
      </x:c>
      <x:c r="J52" s="1" t="s">
        <x:v>101</x:v>
      </x:c>
      <x:c r="K52" s="1" t="s">
        <x:v>56</x:v>
      </x:c>
      <x:c r="L52" s="1" t="s">
        <x:v>182</x:v>
      </x:c>
      <x:c r="M52" s="1"/>
      <x:c r="N52" s="1"/>
      <x:c r="O52" s="1" t="s">
        <x:v>175</x:v>
      </x:c>
      <x:c r="P52" s="12" t="s">
        <x:v>176</x:v>
      </x:c>
      <x:c r="Q52" s="1">
        <x:v>110</x:v>
      </x:c>
      <x:c r="R52" s="42" t="str">
        <x:v>적용</x:v>
      </x:c>
      <x:c r="S52" s="42" t="str">
        <x:v>ATK 기본값</x:v>
      </x:c>
      <x:c r="T52" s="42" t="str">
        <x:v>로비 성장 후 기본 ATK에 ★1 100% / ★2 115% / ★3 132% / ★4 152% / ★5 175%</x:v>
      </x:c>
      <x:c r="U52" s="42" t="str">
        <x:v>-</x:v>
      </x:c>
      <x:c r="V52" s="42" t="str">
        <x:v>해당 없음</x:v>
      </x:c>
      <x:c r="W52" s="42" t="str">
        <x:v>전문화 트리 없음</x:v>
      </x:c>
      <x:c r="X52" s="42" t="str">
        <x:v>가능</x:v>
      </x:c>
      <x:c r="Y52" s="338" t="n">
        <x:v>135</x:v>
      </x:c>
      <x:c r="Z52" s="338" t="n">
        <x:v>155</x:v>
      </x:c>
      <x:c r="AA52" s="338" t="n">
        <x:v>180</x:v>
      </x:c>
      <x:c r="AB52" s="338" t="n">
        <x:v>225</x:v>
      </x:c>
      <x:c r="AC52" s="338" t="n">
        <x:v>285</x:v>
      </x:c>
      <x:c r="AD52" s="42" t="str">
        <x:v>W1~W9 판매 가능 / 전문화 재료 복구 없음</x:v>
      </x:c>
    </x:row>
    <x:row r="53">
      <x:c r="A53" s="12"/>
      <x:c r="B53" s="1" t="s">
        <x:v>183</x:v>
      </x:c>
      <x:c r="C53" s="1"/>
      <x:c r="D53" s="1">
        <x:v>18</x:v>
      </x:c>
      <x:c r="E53" s="1"/>
      <x:c r="F53" s="1">
        <x:v>16</x:v>
      </x:c>
      <x:c r="G53" s="1"/>
      <x:c r="H53" s="1">
        <x:v>3</x:v>
      </x:c>
      <x:c r="I53" s="1">
        <x:v>1</x:v>
      </x:c>
      <x:c r="J53" s="1" t="s">
        <x:v>2</x:v>
      </x:c>
      <x:c r="K53" s="1" t="s">
        <x:v>56</x:v>
      </x:c>
      <x:c r="L53" s="1"/>
      <x:c r="M53" s="1" t="s">
        <x:v>184</x:v>
      </x:c>
      <x:c r="N53" s="1" t="str">
        <x:v>35골드</x:v>
      </x:c>
      <x:c r="O53" s="1" t="s">
        <x:v>154</x:v>
      </x:c>
      <x:c r="P53" s="12" t="s">
        <x:v>185</x:v>
      </x:c>
      <x:c r="Q53" s="1">
        <x:v>50</x:v>
      </x:c>
      <x:c r="R53" s="42" t="str">
        <x:v>적용</x:v>
      </x:c>
      <x:c r="S53" s="42" t="str">
        <x:v>ATK 기본값</x:v>
      </x:c>
      <x:c r="T53" s="42" t="str">
        <x:v>로비 성장 후 기본 ATK에 ★1 100% / ★2 115% / ★3 132% / ★4 152% / ★5 175%</x:v>
      </x:c>
      <x:c r="U53" s="42" t="n">
        <x:v>35</x:v>
      </x:c>
      <x:c r="V53" s="42" t="str">
        <x:v>신규 확정안</x:v>
      </x:c>
      <x:c r="W53" s="42" t="str">
        <x:v>기본 계정에서도 가능하되 빡빡하게. 계정 경제 패시브로 체감 완화.</x:v>
      </x:c>
      <x:c r="X53" s="42" t="str">
        <x:v>가능</x:v>
      </x:c>
      <x:c r="Y53" s="338" t="n">
        <x:v>15</x:v>
      </x:c>
      <x:c r="Z53" s="338" t="n">
        <x:v>20</x:v>
      </x:c>
      <x:c r="AA53" s="338" t="n">
        <x:v>35</x:v>
      </x:c>
      <x:c r="AB53" s="338" t="n">
        <x:v>55</x:v>
      </x:c>
      <x:c r="AC53" s="338" t="n">
        <x:v>80</x:v>
      </x:c>
      <x:c r="AD53" s="42" t="str">
        <x:v>W1~W9 판매 가능 / 전문화 재료 복구 없음</x:v>
      </x:c>
    </x:row>
    <x:row r="54" ht="49.5">
      <x:c r="A54" s="12"/>
      <x:c r="B54" s="1" t="s">
        <x:v>186</x:v>
      </x:c>
      <x:c r="C54" s="1"/>
      <x:c r="D54" s="1">
        <x:v>30</x:v>
      </x:c>
      <x:c r="E54" s="1"/>
      <x:c r="F54" s="1">
        <x:v>16</x:v>
      </x:c>
      <x:c r="G54" s="1"/>
      <x:c r="H54" s="1">
        <x:v>4</x:v>
      </x:c>
      <x:c r="I54" s="1">
        <x:v>2</x:v>
      </x:c>
      <x:c r="J54" s="1" t="s">
        <x:v>101</x:v>
      </x:c>
      <x:c r="K54" s="1" t="s">
        <x:v>56</x:v>
      </x:c>
      <x:c r="L54" s="1"/>
      <x:c r="M54" s="1" t="s">
        <x:v>187</x:v>
      </x:c>
      <x:c r="N54" s="1" t="str">
        <x:v>70골드</x:v>
      </x:c>
      <x:c r="O54" s="1" t="s">
        <x:v>188</x:v>
      </x:c>
      <x:c r="P54" s="12" t="s">
        <x:v>189</x:v>
      </x:c>
      <x:c r="Q54" s="1">
        <x:v>80</x:v>
      </x:c>
      <x:c r="R54" s="42" t="str">
        <x:v>적용</x:v>
      </x:c>
      <x:c r="S54" s="42" t="str">
        <x:v>ATK 기본값</x:v>
      </x:c>
      <x:c r="T54" s="42" t="str">
        <x:v>로비 성장 후 기본 ATK에 ★1 100% / ★2 115% / ★3 132% / ★4 152% / ★5 175%</x:v>
      </x:c>
      <x:c r="U54" s="42" t="n">
        <x:v>70</x:v>
      </x:c>
      <x:c r="V54" s="42" t="str">
        <x:v>신규 확정안</x:v>
      </x:c>
      <x:c r="W54" s="42" t="str">
        <x:v>기본 계정에서도 가능하되 빡빡하게. 계정 경제 패시브로 체감 완화.</x:v>
      </x:c>
      <x:c r="X54" s="42" t="str">
        <x:v>가능</x:v>
      </x:c>
      <x:c r="Y54" s="338" t="n">
        <x:v>40</x:v>
      </x:c>
      <x:c r="Z54" s="338" t="n">
        <x:v>55</x:v>
      </x:c>
      <x:c r="AA54" s="338" t="n">
        <x:v>75</x:v>
      </x:c>
      <x:c r="AB54" s="338" t="n">
        <x:v>100</x:v>
      </x:c>
      <x:c r="AC54" s="338" t="n">
        <x:v>145</x:v>
      </x:c>
      <x:c r="AD54" s="42" t="str">
        <x:v>W1~W9 판매 가능 / 전문화 재료 복구 없음</x:v>
      </x:c>
    </x:row>
    <x:row r="55">
      <x:c r="A55" s="12"/>
      <x:c r="B55" s="1" t="s">
        <x:v>190</x:v>
      </x:c>
      <x:c r="C55" s="1"/>
      <x:c r="D55" s="1">
        <x:v>48</x:v>
      </x:c>
      <x:c r="E55" s="1"/>
      <x:c r="F55" s="1">
        <x:v>13</x:v>
      </x:c>
      <x:c r="G55" s="1"/>
      <x:c r="H55" s="1">
        <x:v>4</x:v>
      </x:c>
      <x:c r="I55" s="1">
        <x:v>3</x:v>
      </x:c>
      <x:c r="J55" s="1" t="s">
        <x:v>101</x:v>
      </x:c>
      <x:c r="K55" s="1" t="s">
        <x:v>56</x:v>
      </x:c>
      <x:c r="L55" s="1"/>
      <x:c r="M55" s="1"/>
      <x:c r="N55" s="1"/>
      <x:c r="O55" s="1" t="s">
        <x:v>191</x:v>
      </x:c>
      <x:c r="P55" s="12" t="s">
        <x:v>192</x:v>
      </x:c>
      <x:c r="Q55" s="1">
        <x:v>120</x:v>
      </x:c>
      <x:c r="R55" s="42" t="str">
        <x:v>적용</x:v>
      </x:c>
      <x:c r="S55" s="42" t="str">
        <x:v>ATK 기본값</x:v>
      </x:c>
      <x:c r="T55" s="42" t="str">
        <x:v>로비 성장 후 기본 ATK에 ★1 100% / ★2 115% / ★3 132% / ★4 152% / ★5 175%</x:v>
      </x:c>
      <x:c r="U55" s="42" t="str">
        <x:v>-</x:v>
      </x:c>
      <x:c r="V55" s="42" t="str">
        <x:v>해당 없음</x:v>
      </x:c>
      <x:c r="W55" s="42" t="str">
        <x:v>전문화 트리 없음</x:v>
      </x:c>
      <x:c r="X55" s="42" t="str">
        <x:v>가능</x:v>
      </x:c>
      <x:c r="Y55" s="338" t="n">
        <x:v>145</x:v>
      </x:c>
      <x:c r="Z55" s="338" t="n">
        <x:v>165</x:v>
      </x:c>
      <x:c r="AA55" s="338" t="n">
        <x:v>195</x:v>
      </x:c>
      <x:c r="AB55" s="338" t="n">
        <x:v>240</x:v>
      </x:c>
      <x:c r="AC55" s="338" t="n">
        <x:v>310</x:v>
      </x:c>
      <x:c r="AD55" s="42" t="str">
        <x:v>W1~W9 판매 가능 / 전문화 재료 복구 없음</x:v>
      </x:c>
    </x:row>
    <x:row r="56" ht="33">
      <x:c r="A56" s="12"/>
      <x:c r="B56" s="1" t="s">
        <x:v>193</x:v>
      </x:c>
      <x:c r="C56" s="1"/>
      <x:c r="D56" s="1">
        <x:v>26</x:v>
      </x:c>
      <x:c r="E56" s="1"/>
      <x:c r="F56" s="1">
        <x:v>18</x:v>
      </x:c>
      <x:c r="G56" s="1"/>
      <x:c r="H56" s="1">
        <x:v>4</x:v>
      </x:c>
      <x:c r="I56" s="1">
        <x:v>3</x:v>
      </x:c>
      <x:c r="J56" s="1" t="s">
        <x:v>101</x:v>
      </x:c>
      <x:c r="K56" s="1" t="s">
        <x:v>56</x:v>
      </x:c>
      <x:c r="L56" s="1" t="s">
        <x:v>194</x:v>
      </x:c>
      <x:c r="M56" s="1"/>
      <x:c r="N56" s="1"/>
      <x:c r="O56" s="1" t="s">
        <x:v>191</x:v>
      </x:c>
      <x:c r="P56" s="12" t="s">
        <x:v>180</x:v>
      </x:c>
      <x:c r="Q56" s="1">
        <x:v>115</x:v>
      </x:c>
      <x:c r="R56" s="42" t="str">
        <x:v>적용</x:v>
      </x:c>
      <x:c r="S56" s="42" t="str">
        <x:v>ATK 기본값</x:v>
      </x:c>
      <x:c r="T56" s="42" t="str">
        <x:v>로비 성장 후 기본 ATK에 ★1 100% / ★2 115% / ★3 132% / ★4 152% / ★5 175%</x:v>
      </x:c>
      <x:c r="U56" s="42" t="str">
        <x:v>-</x:v>
      </x:c>
      <x:c r="V56" s="42" t="str">
        <x:v>해당 없음</x:v>
      </x:c>
      <x:c r="W56" s="42" t="str">
        <x:v>전문화 트리 없음</x:v>
      </x:c>
      <x:c r="X56" s="42" t="str">
        <x:v>가능</x:v>
      </x:c>
      <x:c r="Y56" s="338" t="n">
        <x:v>145</x:v>
      </x:c>
      <x:c r="Z56" s="338" t="n">
        <x:v>165</x:v>
      </x:c>
      <x:c r="AA56" s="338" t="n">
        <x:v>195</x:v>
      </x:c>
      <x:c r="AB56" s="338" t="n">
        <x:v>240</x:v>
      </x:c>
      <x:c r="AC56" s="338" t="n">
        <x:v>300</x:v>
      </x:c>
      <x:c r="AD56" s="42" t="str">
        <x:v>W1~W9 판매 가능 / 전문화 재료 복구 없음</x:v>
      </x:c>
    </x:row>
    <x:row r="57" ht="33">
      <x:c r="A57" s="12"/>
      <x:c r="B57" s="1" t="s">
        <x:v>195</x:v>
      </x:c>
      <x:c r="C57" s="1"/>
      <x:c r="D57" s="1">
        <x:v>22</x:v>
      </x:c>
      <x:c r="E57" s="1"/>
      <x:c r="F57" s="1">
        <x:v>16</x:v>
      </x:c>
      <x:c r="G57" s="1"/>
      <x:c r="H57" s="1">
        <x:v>4</x:v>
      </x:c>
      <x:c r="I57" s="1">
        <x:v>3</x:v>
      </x:c>
      <x:c r="J57" s="1" t="s">
        <x:v>101</x:v>
      </x:c>
      <x:c r="K57" s="1" t="s">
        <x:v>56</x:v>
      </x:c>
      <x:c r="L57" s="1" t="s">
        <x:v>196</x:v>
      </x:c>
      <x:c r="M57" s="1"/>
      <x:c r="N57" s="1"/>
      <x:c r="O57" s="1" t="s">
        <x:v>191</x:v>
      </x:c>
      <x:c r="P57" s="12" t="s">
        <x:v>180</x:v>
      </x:c>
      <x:c r="Q57" s="1">
        <x:v>115</x:v>
      </x:c>
      <x:c r="R57" s="42" t="str">
        <x:v>적용</x:v>
      </x:c>
      <x:c r="S57" s="42" t="str">
        <x:v>ATK 기본값</x:v>
      </x:c>
      <x:c r="T57" s="42" t="str">
        <x:v>로비 성장 후 기본 ATK에 ★1 100% / ★2 115% / ★3 132% / ★4 152% / ★5 175%</x:v>
      </x:c>
      <x:c r="U57" s="42" t="str">
        <x:v>-</x:v>
      </x:c>
      <x:c r="V57" s="42" t="str">
        <x:v>해당 없음</x:v>
      </x:c>
      <x:c r="W57" s="42" t="str">
        <x:v>전문화 트리 없음</x:v>
      </x:c>
      <x:c r="X57" s="42" t="str">
        <x:v>가능</x:v>
      </x:c>
      <x:c r="Y57" s="338" t="n">
        <x:v>145</x:v>
      </x:c>
      <x:c r="Z57" s="338" t="n">
        <x:v>165</x:v>
      </x:c>
      <x:c r="AA57" s="338" t="n">
        <x:v>195</x:v>
      </x:c>
      <x:c r="AB57" s="338" t="n">
        <x:v>240</x:v>
      </x:c>
      <x:c r="AC57" s="338" t="n">
        <x:v>300</x:v>
      </x:c>
      <x:c r="AD57" s="42" t="str">
        <x:v>W1~W9 판매 가능 / 전문화 재료 복구 없음</x:v>
      </x:c>
    </x:row>
    <x:row r="58">
      <x:c r="X58" s="42"/>
      <x:c r="Y58" s="338"/>
      <x:c r="Z58" s="338"/>
      <x:c r="AA58" s="338"/>
      <x:c r="AB58" s="338"/>
      <x:c r="AC58" s="338"/>
      <x:c r="AD58" s="42"/>
    </x:row>
    <x:row r="59">
      <x:c r="X59" s="42"/>
      <x:c r="Y59" s="338"/>
      <x:c r="Z59" s="338"/>
      <x:c r="AA59" s="338"/>
      <x:c r="AB59" s="338"/>
      <x:c r="AC59" s="338"/>
      <x:c r="AD59" s="42"/>
    </x:row>
    <x:row r="60">
      <x:c r="X60" s="42"/>
      <x:c r="Y60" s="338"/>
      <x:c r="Z60" s="338"/>
      <x:c r="AA60" s="338"/>
      <x:c r="AB60" s="338"/>
      <x:c r="AC60" s="338"/>
      <x:c r="AD60" s="42"/>
    </x:row>
    <x:row r="61">
      <x:c r="X61" s="42"/>
      <x:c r="Y61" s="338"/>
      <x:c r="Z61" s="338"/>
      <x:c r="AA61" s="338"/>
      <x:c r="AB61" s="338"/>
      <x:c r="AC61" s="338"/>
      <x:c r="AD61" s="42"/>
    </x:row>
    <x:row r="62">
      <x:c r="X62" s="42"/>
      <x:c r="Y62" s="338"/>
      <x:c r="Z62" s="338"/>
      <x:c r="AA62" s="338"/>
      <x:c r="AB62" s="338"/>
      <x:c r="AC62" s="338"/>
      <x:c r="AD62" s="42"/>
    </x:row>
    <x:row r="63">
      <x:c r="X63" s="42"/>
      <x:c r="Y63" s="338"/>
      <x:c r="Z63" s="338"/>
      <x:c r="AA63" s="338"/>
      <x:c r="AB63" s="338"/>
      <x:c r="AC63" s="338"/>
      <x:c r="AD63" s="42"/>
    </x:row>
    <x:row r="64">
      <x:c r="X64" s="42"/>
      <x:c r="Y64" s="338"/>
      <x:c r="Z64" s="338"/>
      <x:c r="AA64" s="338"/>
      <x:c r="AB64" s="338"/>
      <x:c r="AC64" s="338"/>
      <x:c r="AD64" s="42"/>
    </x:row>
    <x:row r="65">
      <x:c r="X65" s="42"/>
      <x:c r="Y65" s="338"/>
      <x:c r="Z65" s="338"/>
      <x:c r="AA65" s="338"/>
      <x:c r="AB65" s="338"/>
      <x:c r="AC65" s="338"/>
      <x:c r="AD65" s="42"/>
    </x:row>
    <x:row r="66">
      <x:c r="X66" s="42"/>
      <x:c r="Y66" s="338"/>
      <x:c r="Z66" s="338"/>
      <x:c r="AA66" s="338"/>
      <x:c r="AB66" s="338"/>
      <x:c r="AC66" s="338"/>
      <x:c r="AD66" s="42"/>
    </x:row>
    <x:row r="67">
      <x:c r="X67" s="42"/>
      <x:c r="Y67" s="338"/>
      <x:c r="Z67" s="338"/>
      <x:c r="AA67" s="338"/>
      <x:c r="AB67" s="338"/>
      <x:c r="AC67" s="338"/>
      <x:c r="AD67" s="42"/>
    </x:row>
    <x:row r="68">
      <x:c r="X68" s="42"/>
      <x:c r="Y68" s="338"/>
      <x:c r="Z68" s="338"/>
      <x:c r="AA68" s="338"/>
      <x:c r="AB68" s="338"/>
      <x:c r="AC68" s="338"/>
      <x:c r="AD68" s="42"/>
    </x:row>
    <x:row r="69">
      <x:c r="X69" s="42"/>
      <x:c r="Y69" s="338"/>
      <x:c r="Z69" s="338"/>
      <x:c r="AA69" s="338"/>
      <x:c r="AB69" s="338"/>
      <x:c r="AC69" s="338"/>
      <x:c r="AD69" s="42"/>
    </x:row>
    <x:row r="70">
      <x:c r="X70" s="42"/>
      <x:c r="Y70" s="338"/>
      <x:c r="Z70" s="338"/>
      <x:c r="AA70" s="338"/>
      <x:c r="AB70" s="338"/>
      <x:c r="AC70" s="338"/>
      <x:c r="AD70" s="42"/>
    </x:row>
  </x:sheetData>
  <x:mergeCells>
    <x:mergeCell ref="A10:A31"/>
    <x:mergeCell ref="A32:A57"/>
    <x:mergeCell ref="P10:P57"/>
    <x:mergeCell ref="A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18" customWidth="1"/>
    <x:col min="3" max="3" width="11" customWidth="1"/>
    <x:col min="4" max="4" width="22" customWidth="1"/>
    <x:col min="5" max="5" width="30" customWidth="1"/>
    <x:col min="6" max="6" width="22" customWidth="1"/>
    <x:col min="7" max="7" width="23" customWidth="1"/>
    <x:col min="8" max="9" width="18" customWidth="1"/>
    <x:col min="10" max="10" width="10" customWidth="1"/>
    <x:col min="11" max="12" width="8" customWidth="1"/>
    <x:col min="13" max="13" width="12" customWidth="1"/>
    <x:col min="14" max="14" width="16" customWidth="1"/>
    <x:col min="15" max="15" width="10" customWidth="1"/>
    <x:col min="16" max="16" width="28" customWidth="1"/>
    <x:col min="17" max="20" width="12" customWidth="1"/>
    <x:col min="21" max="21" width="12" hidden="0" customWidth="1"/>
    <x:col min="22" max="22" width="12" hidden="0" customWidth="1"/>
    <x:col min="23" max="23" width="12" hidden="0" customWidth="1"/>
    <x:col min="24" max="24" width="17" hidden="0" customWidth="1"/>
    <x:col min="25" max="25" width="17" hidden="0" customWidth="1"/>
    <x:col min="26" max="26" width="34" hidden="0" customWidth="1"/>
    <x:col min="27" max="27" width="18" hidden="0" customWidth="1"/>
    <x:col min="28" max="28" width="20" hidden="0" customWidth="1"/>
    <x:col min="29" max="29" width="42" hidden="0" customWidth="1"/>
  </x:cols>
  <x:sheetData>
    <x:row r="3">
      <x:c r="B3" t="s">
        <x:v>0</x:v>
      </x:c>
    </x:row>
    <x:row r="4">
      <x:c r="B4" t="s">
        <x:v>1</x:v>
      </x:c>
    </x:row>
    <x:row r="5">
      <x:c r="B5" t="s">
        <x:v>2</x:v>
      </x:c>
      <x:c r="C5" t="s">
        <x:v>3</x:v>
      </x:c>
      <x:c r="D5" t="s">
        <x:v>4</x:v>
      </x:c>
      <x:c r="E5" t="s">
        <x:v>5</x:v>
      </x:c>
      <x:c r="F5" t="s">
        <x:v>6</x:v>
      </x:c>
      <x:c r="G5" t="s">
        <x:v>7</x:v>
      </x:c>
      <x:c r="H5" t="s">
        <x:v>8</x:v>
      </x:c>
      <x:c r="I5" t="s">
        <x:v>9</x:v>
      </x:c>
      <x:c r="J5" t="s">
        <x:v>10</x:v>
      </x:c>
    </x:row>
    <x:row r="6">
      <x:c r="B6" t="s">
        <x:v>11</x:v>
      </x:c>
      <x:c r="C6" t="s">
        <x:v>12</x:v>
      </x:c>
      <x:c r="D6" t="s">
        <x:v>13</x:v>
      </x:c>
      <x:c r="E6" t="s">
        <x:v>14</x:v>
      </x:c>
      <x:c r="F6" t="s">
        <x:v>15</x:v>
      </x:c>
      <x:c r="G6" t="s">
        <x:v>16</x:v>
      </x:c>
      <x:c r="H6" t="s">
        <x:v>17</x:v>
      </x:c>
      <x:c r="I6" t="s">
        <x:v>18</x:v>
      </x:c>
      <x:c r="J6" t="s">
        <x:v>19</x:v>
      </x:c>
    </x:row>
    <x:row r="8" ht="82.5">
      <x:c r="B8" s="1" t="s">
        <x:v>197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33">
      <x:c r="B9" s="4" t="s">
        <x:v>198</x:v>
      </x:c>
      <x:c r="C9" s="4" t="s">
        <x:v>21</x:v>
      </x:c>
      <x:c r="D9" s="4" t="s">
        <x:v>199</x:v>
      </x:c>
      <x:c r="E9" s="4" t="s">
        <x:v>200</x:v>
      </x:c>
      <x:c r="F9" s="4" t="s">
        <x:v>201</x:v>
      </x:c>
      <x:c r="G9" s="4" t="s">
        <x:v>202</x:v>
      </x:c>
      <x:c r="H9" s="4" t="s">
        <x:v>203</x:v>
      </x:c>
      <x:c r="I9" s="3" t="s">
        <x:v>35</x:v>
      </x:c>
      <x:c r="J9" s="3" t="s">
        <x:v>23</x:v>
      </x:c>
      <x:c r="K9" s="3" t="s">
        <x:v>25</x:v>
      </x:c>
      <x:c r="L9" s="3" t="s">
        <x:v>27</x:v>
      </x:c>
      <x:c r="M9" s="3" t="s">
        <x:v>204</x:v>
      </x:c>
      <x:c r="N9" s="3" t="s">
        <x:v>205</x:v>
      </x:c>
      <x:c r="O9" s="3" t="s">
        <x:v>206</x:v>
      </x:c>
      <x:c r="P9" s="3" t="s">
        <x:v>207</x:v>
      </x:c>
      <x:c r="Q9" s="3" t="s">
        <x:v>208</x:v>
      </x:c>
      <x:c r="R9" s="3" t="s">
        <x:v>209</x:v>
      </x:c>
      <x:c r="S9" s="3" t="s">
        <x:v>210</x:v>
      </x:c>
      <x:c r="T9" s="3" t="s">
        <x:v>211</x:v>
      </x:c>
      <x:c r="U9" s="37" t="str">
        <x:v>하드 HP</x:v>
      </x:c>
      <x:c r="V9" s="37" t="str">
        <x:v>하드 DEF</x:v>
      </x:c>
      <x:c r="W9" s="37" t="str">
        <x:v>하드 이속</x:v>
      </x:c>
      <x:c r="X9" s="37" t="str">
        <x:v>하드 방벽 공격력</x:v>
      </x:c>
      <x:c r="Y9" s="37" t="str">
        <x:v>하드 공격주기(초)</x:v>
      </x:c>
      <x:c r="Z9" s="37" t="str">
        <x:v>하드 특수 보정</x:v>
      </x:c>
      <x:c r="AA9" s="131" t="str">
        <x:v>권장 처치 골드 V1.4</x:v>
      </x:c>
      <x:c r="AB9" s="131" t="str">
        <x:v>하드 권장 처치 골드</x:v>
      </x:c>
      <x:c r="AC9" s="131" t="str">
        <x:v>골드 설계 메모</x:v>
      </x:c>
    </x:row>
    <x:row r="10">
      <x:c r="B10" s="6" t="s">
        <x:v>212</x:v>
      </x:c>
      <x:c r="C10" s="6" t="s">
        <x:v>213</x:v>
      </x:c>
      <x:c r="D10" s="6" t="s">
        <x:v>214</x:v>
      </x:c>
      <x:c r="E10" s="6" t="s">
        <x:v>215</x:v>
      </x:c>
      <x:c r="F10" s="6" t="s">
        <x:v>216</x:v>
      </x:c>
      <x:c r="G10" s="6" t="s">
        <x:v>217</x:v>
      </x:c>
      <x:c r="H10" s="6" t="s">
        <x:v>218</x:v>
      </x:c>
      <x:c r="I10" s="1"/>
      <x:c r="J10" s="1">
        <x:v>110</x:v>
      </x:c>
      <x:c r="K10" s="1">
        <x:v>0</x:v>
      </x:c>
      <x:c r="L10" s="1">
        <x:v>1</x:v>
      </x:c>
      <x:c r="M10" s="1">
        <x:v>12</x:v>
      </x:c>
      <x:c r="N10" s="1">
        <x:v>1.2</x:v>
      </x:c>
      <x:c r="O10" s="1" t="s">
        <x:v>52</x:v>
      </x:c>
      <x:c r="P10" s="1" t="s">
        <x:v>57</x:v>
      </x:c>
      <x:c r="Q10" s="1">
        <x:v>6</x:v>
      </x:c>
      <x:c r="R10" s="1">
        <x:v>1</x:v>
      </x:c>
      <x:c r="S10" s="1">
        <x:v>1.85</x:v>
      </x:c>
      <x:c r="T10" s="1">
        <x:v>1.45</x:v>
      </x:c>
      <x:c r="U10" s="42" t="n">
        <x:f>ROUND(J10*S10,0)</x:f>
        <x:v>204</x:v>
      </x:c>
      <x:c r="V10" s="42" t="n">
        <x:f>ROUND(K10*1.45+5,0)</x:f>
        <x:v>5</x:v>
      </x:c>
      <x:c r="W10" s="42" t="n">
        <x:f>ROUND(L10*1.08,2)</x:f>
        <x:v>1.08</x:v>
      </x:c>
      <x:c r="X10" s="42" t="n">
        <x:f>ROUND(M10*T10,0)</x:f>
        <x:v>17</x:v>
      </x:c>
      <x:c r="Y10" s="42" t="n">
        <x:f>MAX(0.5,ROUND(N10*0.90,2))</x:f>
        <x:v>1.08</x:v>
      </x:c>
      <x:c r="Z10" s="42" t="str">
        <x:f>IF(I10="5웨이브 중간보스","중간보스 강화: 상태이상 저항 +25%, 기존 특수효과 강화","상태이상 저항 +15%, 기존 특수효과 강화")</x:f>
        <x:v>상태이상 저항 +15%, 기존 특수효과 강화</x:v>
      </x:c>
      <x:c r="AA10" s="42" t="n">
        <x:f>MAX(10,ROUND(Q10*2,0))</x:f>
        <x:v>12</x:v>
      </x:c>
      <x:c r="AB10" s="42" t="n">
        <x:f>ROUND(AA10*1.15,0)</x:f>
        <x:v>14</x:v>
      </x:c>
      <x:c r="AC10" s="42" t="str">
        <x:f>IF(I10="5웨이브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1">
      <x:c r="B11" s="6" t="s">
        <x:v>212</x:v>
      </x:c>
      <x:c r="C11" s="6" t="s">
        <x:v>213</x:v>
      </x:c>
      <x:c r="D11" s="6" t="s">
        <x:v>219</x:v>
      </x:c>
      <x:c r="E11" s="6" t="s">
        <x:v>220</x:v>
      </x:c>
      <x:c r="F11" s="6" t="s">
        <x:v>221</x:v>
      </x:c>
      <x:c r="G11" s="6" t="s">
        <x:v>222</x:v>
      </x:c>
      <x:c r="H11" s="6" t="s">
        <x:v>218</x:v>
      </x:c>
      <x:c r="I11" s="1"/>
      <x:c r="J11" s="1">
        <x:v>86</x:v>
      </x:c>
      <x:c r="K11" s="1">
        <x:v>0</x:v>
      </x:c>
      <x:c r="L11" s="1">
        <x:v>1.35</x:v>
      </x:c>
      <x:c r="M11" s="1">
        <x:v>11</x:v>
      </x:c>
      <x:c r="N11" s="1">
        <x:v>1.02</x:v>
      </x:c>
      <x:c r="O11" s="1" t="s">
        <x:v>52</x:v>
      </x:c>
      <x:c r="P11" s="1" t="s">
        <x:v>57</x:v>
      </x:c>
      <x:c r="Q11" s="1">
        <x:v>5</x:v>
      </x:c>
      <x:c r="R11" s="1">
        <x:v>2</x:v>
      </x:c>
      <x:c r="S11" s="1">
        <x:v>1.85</x:v>
      </x:c>
      <x:c r="T11" s="1">
        <x:v>1.45</x:v>
      </x:c>
      <x:c r="U11" s="42" t="n">
        <x:f>ROUND(J11*S11,0)</x:f>
        <x:v>159</x:v>
      </x:c>
      <x:c r="V11" s="42" t="n">
        <x:f>ROUND(K11*1.45+5,0)</x:f>
        <x:v>5</x:v>
      </x:c>
      <x:c r="W11" s="42" t="n">
        <x:f>ROUND(L11*1.08,2)</x:f>
        <x:v>1.46</x:v>
      </x:c>
      <x:c r="X11" s="42" t="n">
        <x:f>ROUND(M11*T11,0)</x:f>
        <x:v>16</x:v>
      </x:c>
      <x:c r="Y11" s="42" t="n">
        <x:f>MAX(0.5,ROUND(N11*0.90,2))</x:f>
        <x:v>0.92</x:v>
      </x:c>
      <x:c r="Z11" s="42" t="str">
        <x:f>IF(I11="5웨이브 중간보스","중간보스 강화: 상태이상 저항 +25%, 기존 특수효과 강화","상태이상 저항 +15%, 기존 특수효과 강화")</x:f>
        <x:v>상태이상 저항 +15%, 기존 특수효과 강화</x:v>
      </x:c>
      <x:c r="AA11" s="42" t="n">
        <x:f>MAX(10,ROUND(Q11*2,0))</x:f>
        <x:v>10</x:v>
      </x:c>
      <x:c r="AB11" s="42" t="n">
        <x:f>ROUND(AA11*1.15,0)</x:f>
        <x:v>12</x:v>
      </x:c>
      <x:c r="AC11" s="42" t="str">
        <x:f>IF(I11="5웨이브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2">
      <x:c r="B12" s="6" t="s">
        <x:v>212</x:v>
      </x:c>
      <x:c r="C12" s="6" t="s">
        <x:v>213</x:v>
      </x:c>
      <x:c r="D12" s="6" t="s">
        <x:v>223</x:v>
      </x:c>
      <x:c r="E12" s="6" t="s">
        <x:v>224</x:v>
      </x:c>
      <x:c r="F12" s="6" t="s">
        <x:v>225</x:v>
      </x:c>
      <x:c r="G12" s="6" t="s">
        <x:v>226</x:v>
      </x:c>
      <x:c r="H12" s="6" t="s">
        <x:v>227</x:v>
      </x:c>
      <x:c r="I12" s="1"/>
      <x:c r="J12" s="1">
        <x:v>148</x:v>
      </x:c>
      <x:c r="K12" s="1">
        <x:v>12</x:v>
      </x:c>
      <x:c r="L12" s="1">
        <x:v>0.82</x:v>
      </x:c>
      <x:c r="M12" s="1">
        <x:v>14</x:v>
      </x:c>
      <x:c r="N12" s="1">
        <x:v>1.32</x:v>
      </x:c>
      <x:c r="O12" s="1" t="s">
        <x:v>52</x:v>
      </x:c>
      <x:c r="P12" s="1" t="s">
        <x:v>57</x:v>
      </x:c>
      <x:c r="Q12" s="1">
        <x:v>8</x:v>
      </x:c>
      <x:c r="R12" s="1">
        <x:v>3</x:v>
      </x:c>
      <x:c r="S12" s="1">
        <x:v>1.85</x:v>
      </x:c>
      <x:c r="T12" s="1">
        <x:v>1.45</x:v>
      </x:c>
      <x:c r="U12" s="42" t="n">
        <x:f>ROUND(J12*S12,0)</x:f>
        <x:v>274</x:v>
      </x:c>
      <x:c r="V12" s="42" t="n">
        <x:f>ROUND(K12*1.45+5,0)</x:f>
        <x:v>22</x:v>
      </x:c>
      <x:c r="W12" s="42" t="n">
        <x:f>ROUND(L12*1.08,2)</x:f>
        <x:v>0.89</x:v>
      </x:c>
      <x:c r="X12" s="42" t="n">
        <x:f>ROUND(M12*T12,0)</x:f>
        <x:v>20</x:v>
      </x:c>
      <x:c r="Y12" s="42" t="n">
        <x:f>MAX(0.5,ROUND(N12*0.90,2))</x:f>
        <x:v>1.19</x:v>
      </x:c>
      <x:c r="Z12" s="42" t="str">
        <x:f>IF(I12="5웨이브 중간보스","중간보스 강화: 상태이상 저항 +25%, 기존 특수효과 강화","상태이상 저항 +15%, 기존 특수효과 강화")</x:f>
        <x:v>상태이상 저항 +15%, 기존 특수효과 강화</x:v>
      </x:c>
      <x:c r="AA12" s="42" t="n">
        <x:f>MAX(10,ROUND(Q12*2,0))</x:f>
        <x:v>16</x:v>
      </x:c>
      <x:c r="AB12" s="42" t="n">
        <x:f>ROUND(AA12*1.15,0)</x:f>
        <x:v>18</x:v>
      </x:c>
      <x:c r="AC12" s="42" t="str">
        <x:f>IF(I12="5웨이브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3">
      <x:c r="B13" s="6" t="s">
        <x:v>212</x:v>
      </x:c>
      <x:c r="C13" s="6" t="s">
        <x:v>213</x:v>
      </x:c>
      <x:c r="D13" s="6" t="s">
        <x:v>228</x:v>
      </x:c>
      <x:c r="E13" s="6" t="s">
        <x:v>229</x:v>
      </x:c>
      <x:c r="F13" s="6" t="s">
        <x:v>230</x:v>
      </x:c>
      <x:c r="G13" s="6" t="s">
        <x:v>231</x:v>
      </x:c>
      <x:c r="H13" s="6" t="s">
        <x:v>232</x:v>
      </x:c>
      <x:c r="I13" s="1"/>
      <x:c r="J13" s="1">
        <x:v>94</x:v>
      </x:c>
      <x:c r="K13" s="1">
        <x:v>0</x:v>
      </x:c>
      <x:c r="L13" s="1">
        <x:v>1.08</x:v>
      </x:c>
      <x:c r="M13" s="1">
        <x:v>12</x:v>
      </x:c>
      <x:c r="N13" s="1">
        <x:v>1.08</x:v>
      </x:c>
      <x:c r="O13" s="1" t="s">
        <x:v>52</x:v>
      </x:c>
      <x:c r="P13" s="1" t="s">
        <x:v>57</x:v>
      </x:c>
      <x:c r="Q13" s="1">
        <x:v>5</x:v>
      </x:c>
      <x:c r="R13" s="1">
        <x:v>4</x:v>
      </x:c>
      <x:c r="S13" s="1">
        <x:v>1.85</x:v>
      </x:c>
      <x:c r="T13" s="1">
        <x:v>1.45</x:v>
      </x:c>
      <x:c r="U13" s="42" t="n">
        <x:f>ROUND(J13*S13,0)</x:f>
        <x:v>174</x:v>
      </x:c>
      <x:c r="V13" s="42" t="n">
        <x:f>ROUND(K13*1.45+5,0)</x:f>
        <x:v>5</x:v>
      </x:c>
      <x:c r="W13" s="42" t="n">
        <x:f>ROUND(L13*1.08,2)</x:f>
        <x:v>1.17</x:v>
      </x:c>
      <x:c r="X13" s="42" t="n">
        <x:f>ROUND(M13*T13,0)</x:f>
        <x:v>17</x:v>
      </x:c>
      <x:c r="Y13" s="42" t="n">
        <x:f>MAX(0.5,ROUND(N13*0.90,2))</x:f>
        <x:v>0.97</x:v>
      </x:c>
      <x:c r="Z13" s="42" t="str">
        <x:f>IF(I13="5웨이브 중간보스","중간보스 강화: 상태이상 저항 +25%, 기존 특수효과 강화","상태이상 저항 +15%, 기존 특수효과 강화")</x:f>
        <x:v>상태이상 저항 +15%, 기존 특수효과 강화</x:v>
      </x:c>
      <x:c r="AA13" s="42" t="n">
        <x:f>MAX(10,ROUND(Q13*2,0))</x:f>
        <x:v>10</x:v>
      </x:c>
      <x:c r="AB13" s="42" t="n">
        <x:f>ROUND(AA13*1.15,0)</x:f>
        <x:v>12</x:v>
      </x:c>
      <x:c r="AC13" s="42" t="str">
        <x:f>IF(I13="5웨이브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4" ht="33">
      <x:c r="B14" s="6" t="s">
        <x:v>212</x:v>
      </x:c>
      <x:c r="C14" s="6" t="s">
        <x:v>213</x:v>
      </x:c>
      <x:c r="D14" s="6" t="s">
        <x:v>233</x:v>
      </x:c>
      <x:c r="E14" s="6" t="s">
        <x:v>234</x:v>
      </x:c>
      <x:c r="F14" s="6" t="s">
        <x:v>235</x:v>
      </x:c>
      <x:c r="G14" s="6" t="s">
        <x:v>236</x:v>
      </x:c>
      <x:c r="H14" s="6" t="s">
        <x:v>237</x:v>
      </x:c>
      <x:c r="I14" s="1"/>
      <x:c r="J14" s="1">
        <x:v>116</x:v>
      </x:c>
      <x:c r="K14" s="1">
        <x:v>4</x:v>
      </x:c>
      <x:c r="L14" s="1">
        <x:v>0.95</x:v>
      </x:c>
      <x:c r="M14" s="1">
        <x:v>21</x:v>
      </x:c>
      <x:c r="N14" s="1">
        <x:v>1.08</x:v>
      </x:c>
      <x:c r="O14" s="1" t="s">
        <x:v>52</x:v>
      </x:c>
      <x:c r="P14" s="1" t="s">
        <x:v>238</x:v>
      </x:c>
      <x:c r="Q14" s="1">
        <x:v>6</x:v>
      </x:c>
      <x:c r="R14" s="1">
        <x:v>5</x:v>
      </x:c>
      <x:c r="S14" s="1">
        <x:v>1.85</x:v>
      </x:c>
      <x:c r="T14" s="1">
        <x:v>1.45</x:v>
      </x:c>
      <x:c r="U14" s="42" t="n">
        <x:f>ROUND(J14*S14,0)</x:f>
        <x:v>215</x:v>
      </x:c>
      <x:c r="V14" s="42" t="n">
        <x:f>ROUND(K14*1.45+5,0)</x:f>
        <x:v>11</x:v>
      </x:c>
      <x:c r="W14" s="42" t="n">
        <x:f>ROUND(L14*1.08,2)</x:f>
        <x:v>1.03</x:v>
      </x:c>
      <x:c r="X14" s="42" t="n">
        <x:f>ROUND(M14*T14,0)</x:f>
        <x:v>30</x:v>
      </x:c>
      <x:c r="Y14" s="42" t="n">
        <x:f>MAX(0.5,ROUND(N14*0.90,2))</x:f>
        <x:v>0.97</x:v>
      </x:c>
      <x:c r="Z14" s="42" t="str">
        <x:f>IF(I14="5웨이브 중간보스","중간보스 강화: 상태이상 저항 +25%, 기존 특수효과 강화","상태이상 저항 +15%, 기존 특수효과 강화")</x:f>
        <x:v>상태이상 저항 +15%, 기존 특수효과 강화</x:v>
      </x:c>
      <x:c r="AA14" s="42" t="n">
        <x:f>MAX(10,ROUND(Q14*2,0))</x:f>
        <x:v>12</x:v>
      </x:c>
      <x:c r="AB14" s="42" t="n">
        <x:f>ROUND(AA14*1.15,0)</x:f>
        <x:v>14</x:v>
      </x:c>
      <x:c r="AC14" s="42" t="str">
        <x:f>IF(I14="5웨이브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5">
      <x:c r="B15" s="6" t="s">
        <x:v>212</x:v>
      </x:c>
      <x:c r="C15" s="6" t="s">
        <x:v>239</x:v>
      </x:c>
      <x:c r="D15" s="6" t="s">
        <x:v>240</x:v>
      </x:c>
      <x:c r="E15" s="6" t="s">
        <x:v>241</x:v>
      </x:c>
      <x:c r="F15" s="6" t="s">
        <x:v>242</x:v>
      </x:c>
      <x:c r="G15" s="6" t="s">
        <x:v>243</x:v>
      </x:c>
      <x:c r="H15" s="6" t="s">
        <x:v>244</x:v>
      </x:c>
      <x:c r="I15" s="1"/>
      <x:c r="J15" s="1">
        <x:v>79</x:v>
      </x:c>
      <x:c r="K15" s="1">
        <x:v>0</x:v>
      </x:c>
      <x:c r="L15" s="1">
        <x:v>1.42</x:v>
      </x:c>
      <x:c r="M15" s="1">
        <x:v>10</x:v>
      </x:c>
      <x:c r="N15" s="1">
        <x:v>0.96</x:v>
      </x:c>
      <x:c r="O15" s="1" t="s">
        <x:v>52</x:v>
      </x:c>
      <x:c r="P15" s="1" t="s">
        <x:v>57</x:v>
      </x:c>
      <x:c r="Q15" s="1">
        <x:v>5</x:v>
      </x:c>
      <x:c r="R15" s="1">
        <x:v>5</x:v>
      </x:c>
      <x:c r="S15" s="1">
        <x:v>1.85</x:v>
      </x:c>
      <x:c r="T15" s="1">
        <x:v>1.45</x:v>
      </x:c>
      <x:c r="U15" s="42" t="n">
        <x:f>ROUND(J15*S15,0)</x:f>
        <x:v>146</x:v>
      </x:c>
      <x:c r="V15" s="42" t="n">
        <x:f>ROUND(K15*1.45+5,0)</x:f>
        <x:v>5</x:v>
      </x:c>
      <x:c r="W15" s="42" t="n">
        <x:f>ROUND(L15*1.08,2)</x:f>
        <x:v>1.53</x:v>
      </x:c>
      <x:c r="X15" s="42" t="n">
        <x:f>ROUND(M15*T15,0)</x:f>
        <x:v>15</x:v>
      </x:c>
      <x:c r="Y15" s="42" t="n">
        <x:f>MAX(0.5,ROUND(N15*0.90,2))</x:f>
        <x:v>0.86</x:v>
      </x:c>
      <x:c r="Z15" s="42" t="str">
        <x:f>IF(I15="5웨이브 중간보스","중간보스 강화: 상태이상 저항 +25%, 기존 특수효과 강화","상태이상 저항 +15%, 기존 특수효과 강화")</x:f>
        <x:v>상태이상 저항 +15%, 기존 특수효과 강화</x:v>
      </x:c>
      <x:c r="AA15" s="42" t="n">
        <x:f>MAX(10,ROUND(Q15*2,0))</x:f>
        <x:v>10</x:v>
      </x:c>
      <x:c r="AB15" s="42" t="n">
        <x:f>ROUND(AA15*1.15,0)</x:f>
        <x:v>12</x:v>
      </x:c>
      <x:c r="AC15" s="42" t="str">
        <x:f>IF(I15="5웨이브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6">
      <x:c r="B16" s="6" t="s">
        <x:v>212</x:v>
      </x:c>
      <x:c r="C16" s="6" t="s">
        <x:v>239</x:v>
      </x:c>
      <x:c r="D16" s="6" t="s">
        <x:v>245</x:v>
      </x:c>
      <x:c r="E16" s="6" t="s">
        <x:v>246</x:v>
      </x:c>
      <x:c r="F16" s="6" t="s">
        <x:v>247</x:v>
      </x:c>
      <x:c r="G16" s="6" t="s">
        <x:v>248</x:v>
      </x:c>
      <x:c r="H16" s="6" t="s">
        <x:v>244</x:v>
      </x:c>
      <x:c r="I16" s="1"/>
      <x:c r="J16" s="1">
        <x:v>104</x:v>
      </x:c>
      <x:c r="K16" s="1">
        <x:v>2</x:v>
      </x:c>
      <x:c r="L16" s="1">
        <x:v>1.35</x:v>
      </x:c>
      <x:c r="M16" s="1">
        <x:v>16</x:v>
      </x:c>
      <x:c r="N16" s="1">
        <x:v>0.96</x:v>
      </x:c>
      <x:c r="O16" s="1" t="s">
        <x:v>52</x:v>
      </x:c>
      <x:c r="P16" s="1" t="s">
        <x:v>57</x:v>
      </x:c>
      <x:c r="Q16" s="1">
        <x:v>6</x:v>
      </x:c>
      <x:c r="R16" s="1">
        <x:v>5</x:v>
      </x:c>
      <x:c r="S16" s="1">
        <x:v>1.85</x:v>
      </x:c>
      <x:c r="T16" s="1">
        <x:v>1.45</x:v>
      </x:c>
      <x:c r="U16" s="42" t="n">
        <x:f>ROUND(J16*S16,0)</x:f>
        <x:v>192</x:v>
      </x:c>
      <x:c r="V16" s="42" t="n">
        <x:f>ROUND(K16*1.45+5,0)</x:f>
        <x:v>8</x:v>
      </x:c>
      <x:c r="W16" s="42" t="n">
        <x:f>ROUND(L16*1.08,2)</x:f>
        <x:v>1.46</x:v>
      </x:c>
      <x:c r="X16" s="42" t="n">
        <x:f>ROUND(M16*T16,0)</x:f>
        <x:v>23</x:v>
      </x:c>
      <x:c r="Y16" s="42" t="n">
        <x:f>MAX(0.5,ROUND(N16*0.90,2))</x:f>
        <x:v>0.86</x:v>
      </x:c>
      <x:c r="Z16" s="42" t="str">
        <x:f>IF(I16="5웨이브 중간보스","중간보스 강화: 상태이상 저항 +25%, 기존 특수효과 강화","상태이상 저항 +15%, 기존 특수효과 강화")</x:f>
        <x:v>상태이상 저항 +15%, 기존 특수효과 강화</x:v>
      </x:c>
      <x:c r="AA16" s="42" t="n">
        <x:f>MAX(10,ROUND(Q16*2,0))</x:f>
        <x:v>12</x:v>
      </x:c>
      <x:c r="AB16" s="42" t="n">
        <x:f>ROUND(AA16*1.15,0)</x:f>
        <x:v>14</x:v>
      </x:c>
      <x:c r="AC16" s="42" t="str">
        <x:f>IF(I16="5웨이브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7">
      <x:c r="B17" s="6" t="s">
        <x:v>212</x:v>
      </x:c>
      <x:c r="C17" s="6" t="s">
        <x:v>239</x:v>
      </x:c>
      <x:c r="D17" s="6" t="s">
        <x:v>249</x:v>
      </x:c>
      <x:c r="E17" s="6" t="s">
        <x:v>250</x:v>
      </x:c>
      <x:c r="F17" s="6" t="s">
        <x:v>225</x:v>
      </x:c>
      <x:c r="G17" s="6" t="s">
        <x:v>251</x:v>
      </x:c>
      <x:c r="H17" s="6" t="s">
        <x:v>252</x:v>
      </x:c>
      <x:c r="I17" s="1"/>
      <x:c r="J17" s="1">
        <x:v>148</x:v>
      </x:c>
      <x:c r="K17" s="1">
        <x:v>12</x:v>
      </x:c>
      <x:c r="L17" s="1">
        <x:v>0.82</x:v>
      </x:c>
      <x:c r="M17" s="1">
        <x:v>14</x:v>
      </x:c>
      <x:c r="N17" s="1">
        <x:v>1.32</x:v>
      </x:c>
      <x:c r="O17" s="1" t="s">
        <x:v>52</x:v>
      </x:c>
      <x:c r="P17" s="1" t="s">
        <x:v>57</x:v>
      </x:c>
      <x:c r="Q17" s="1">
        <x:v>8</x:v>
      </x:c>
      <x:c r="R17" s="1">
        <x:v>5</x:v>
      </x:c>
      <x:c r="S17" s="1">
        <x:v>1.85</x:v>
      </x:c>
      <x:c r="T17" s="1">
        <x:v>1.45</x:v>
      </x:c>
      <x:c r="U17" s="42" t="n">
        <x:f>ROUND(J17*S17,0)</x:f>
        <x:v>274</x:v>
      </x:c>
      <x:c r="V17" s="42" t="n">
        <x:f>ROUND(K17*1.45+5,0)</x:f>
        <x:v>22</x:v>
      </x:c>
      <x:c r="W17" s="42" t="n">
        <x:f>ROUND(L17*1.08,2)</x:f>
        <x:v>0.89</x:v>
      </x:c>
      <x:c r="X17" s="42" t="n">
        <x:f>ROUND(M17*T17,0)</x:f>
        <x:v>20</x:v>
      </x:c>
      <x:c r="Y17" s="42" t="n">
        <x:f>MAX(0.5,ROUND(N17*0.90,2))</x:f>
        <x:v>1.19</x:v>
      </x:c>
      <x:c r="Z17" s="42" t="str">
        <x:f>IF(I17="5웨이브 중간보스","중간보스 강화: 상태이상 저항 +25%, 기존 특수효과 강화","상태이상 저항 +15%, 기존 특수효과 강화")</x:f>
        <x:v>상태이상 저항 +15%, 기존 특수효과 강화</x:v>
      </x:c>
      <x:c r="AA17" s="42" t="n">
        <x:f>MAX(10,ROUND(Q17*2,0))</x:f>
        <x:v>16</x:v>
      </x:c>
      <x:c r="AB17" s="42" t="n">
        <x:f>ROUND(AA17*1.15,0)</x:f>
        <x:v>18</x:v>
      </x:c>
      <x:c r="AC17" s="42" t="str">
        <x:f>IF(I17="5웨이브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8">
      <x:c r="B18" s="6" t="s">
        <x:v>212</x:v>
      </x:c>
      <x:c r="C18" s="6" t="s">
        <x:v>239</x:v>
      </x:c>
      <x:c r="D18" s="6" t="s">
        <x:v>253</x:v>
      </x:c>
      <x:c r="E18" s="6" t="s">
        <x:v>254</x:v>
      </x:c>
      <x:c r="F18" s="6" t="s">
        <x:v>206</x:v>
      </x:c>
      <x:c r="G18" s="6" t="s">
        <x:v>255</x:v>
      </x:c>
      <x:c r="H18" s="6" t="s">
        <x:v>256</x:v>
      </x:c>
      <x:c r="I18" s="1"/>
      <x:c r="J18" s="1">
        <x:v>86</x:v>
      </x:c>
      <x:c r="K18" s="1">
        <x:v>0</x:v>
      </x:c>
      <x:c r="L18" s="1">
        <x:v>1.28</x:v>
      </x:c>
      <x:c r="M18" s="1">
        <x:v>9</x:v>
      </x:c>
      <x:c r="N18" s="1">
        <x:v>1.02</x:v>
      </x:c>
      <x:c r="O18" s="1" t="s">
        <x:v>56</x:v>
      </x:c>
      <x:c r="P18" s="1" t="s">
        <x:v>257</x:v>
      </x:c>
      <x:c r="Q18" s="1">
        <x:v>5</x:v>
      </x:c>
      <x:c r="R18" s="1">
        <x:v>5</x:v>
      </x:c>
      <x:c r="S18" s="1">
        <x:v>1.85</x:v>
      </x:c>
      <x:c r="T18" s="1">
        <x:v>1.45</x:v>
      </x:c>
      <x:c r="U18" s="42" t="n">
        <x:f>ROUND(J18*S18,0)</x:f>
        <x:v>159</x:v>
      </x:c>
      <x:c r="V18" s="42" t="n">
        <x:f>ROUND(K18*1.45+5,0)</x:f>
        <x:v>5</x:v>
      </x:c>
      <x:c r="W18" s="42" t="n">
        <x:f>ROUND(L18*1.08,2)</x:f>
        <x:v>1.38</x:v>
      </x:c>
      <x:c r="X18" s="42" t="n">
        <x:f>ROUND(M18*T18,0)</x:f>
        <x:v>13</x:v>
      </x:c>
      <x:c r="Y18" s="42" t="n">
        <x:f>MAX(0.5,ROUND(N18*0.90,2))</x:f>
        <x:v>0.92</x:v>
      </x:c>
      <x:c r="Z18" s="42" t="str">
        <x:f>IF(I18="5웨이브 중간보스","중간보스 강화: 상태이상 저항 +25%, 기존 특수효과 강화","상태이상 저항 +15%, 기존 특수효과 강화")</x:f>
        <x:v>상태이상 저항 +15%, 기존 특수효과 강화</x:v>
      </x:c>
      <x:c r="AA18" s="42" t="n">
        <x:f>MAX(10,ROUND(Q18*2,0))</x:f>
        <x:v>10</x:v>
      </x:c>
      <x:c r="AB18" s="42" t="n">
        <x:f>ROUND(AA18*1.15,0)</x:f>
        <x:v>12</x:v>
      </x:c>
      <x:c r="AC18" s="42" t="str">
        <x:f>IF(I18="5웨이브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19">
      <x:c r="B19" s="6" t="s">
        <x:v>212</x:v>
      </x:c>
      <x:c r="C19" s="6" t="s">
        <x:v>239</x:v>
      </x:c>
      <x:c r="D19" s="6" t="s">
        <x:v>258</x:v>
      </x:c>
      <x:c r="E19" s="6" t="s">
        <x:v>259</x:v>
      </x:c>
      <x:c r="F19" s="6" t="s">
        <x:v>260</x:v>
      </x:c>
      <x:c r="G19" s="6" t="s">
        <x:v>261</x:v>
      </x:c>
      <x:c r="H19" s="6" t="s">
        <x:v>262</x:v>
      </x:c>
      <x:c r="I19" s="1"/>
      <x:c r="J19" s="1">
        <x:v>170</x:v>
      </x:c>
      <x:c r="K19" s="1">
        <x:v>5</x:v>
      </x:c>
      <x:c r="L19" s="1">
        <x:v>0.78</x:v>
      </x:c>
      <x:c r="M19" s="1">
        <x:v>15</x:v>
      </x:c>
      <x:c r="N19" s="1">
        <x:v>1.38</x:v>
      </x:c>
      <x:c r="O19" s="1" t="s">
        <x:v>52</x:v>
      </x:c>
      <x:c r="P19" s="1" t="s">
        <x:v>263</x:v>
      </x:c>
      <x:c r="Q19" s="1">
        <x:v>9</x:v>
      </x:c>
      <x:c r="R19" s="1">
        <x:v>5</x:v>
      </x:c>
      <x:c r="S19" s="1">
        <x:v>1.85</x:v>
      </x:c>
      <x:c r="T19" s="1">
        <x:v>1.45</x:v>
      </x:c>
      <x:c r="U19" s="42" t="n">
        <x:f>ROUND(J19*S19,0)</x:f>
        <x:v>315</x:v>
      </x:c>
      <x:c r="V19" s="42" t="n">
        <x:f>ROUND(K19*1.45+5,0)</x:f>
        <x:v>12</x:v>
      </x:c>
      <x:c r="W19" s="42" t="n">
        <x:f>ROUND(L19*1.08,2)</x:f>
        <x:v>0.84</x:v>
      </x:c>
      <x:c r="X19" s="42" t="n">
        <x:f>ROUND(M19*T19,0)</x:f>
        <x:v>22</x:v>
      </x:c>
      <x:c r="Y19" s="42" t="n">
        <x:f>MAX(0.5,ROUND(N19*0.90,2))</x:f>
        <x:v>1.24</x:v>
      </x:c>
      <x:c r="Z19" s="42" t="str">
        <x:f>IF(I19="5웨이브 중간보스","중간보스 강화: 상태이상 저항 +25%, 기존 특수효과 강화","상태이상 저항 +15%, 기존 특수효과 강화")</x:f>
        <x:v>상태이상 저항 +15%, 기존 특수효과 강화</x:v>
      </x:c>
      <x:c r="AA19" s="42" t="n">
        <x:f>MAX(10,ROUND(Q19*2,0))</x:f>
        <x:v>18</x:v>
      </x:c>
      <x:c r="AB19" s="42" t="n">
        <x:f>ROUND(AA19*1.15,0)</x:f>
        <x:v>21</x:v>
      </x:c>
      <x:c r="AC19" s="42" t="str">
        <x:f>IF(I19="5웨이브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0">
      <x:c r="B20" s="6" t="s">
        <x:v>212</x:v>
      </x:c>
      <x:c r="C20" s="6" t="s">
        <x:v>239</x:v>
      </x:c>
      <x:c r="D20" s="6" t="s">
        <x:v>264</x:v>
      </x:c>
      <x:c r="E20" s="6" t="s">
        <x:v>265</x:v>
      </x:c>
      <x:c r="F20" s="6" t="s">
        <x:v>266</x:v>
      </x:c>
      <x:c r="G20" s="6" t="s">
        <x:v>267</x:v>
      </x:c>
      <x:c r="H20" s="6" t="s">
        <x:v>262</x:v>
      </x:c>
      <x:c r="I20" s="1" t="s">
        <x:v>268</x:v>
      </x:c>
      <x:c r="J20" s="1">
        <x:v>2376</x:v>
      </x:c>
      <x:c r="K20" s="1">
        <x:v>40</x:v>
      </x:c>
      <x:c r="L20" s="1">
        <x:v>0.72</x:v>
      </x:c>
      <x:c r="M20" s="1">
        <x:v>50</x:v>
      </x:c>
      <x:c r="N20" s="1">
        <x:v>1.08</x:v>
      </x:c>
      <x:c r="O20" s="1" t="s">
        <x:v>52</x:v>
      </x:c>
      <x:c r="P20" s="1" t="s">
        <x:v>263</x:v>
      </x:c>
      <x:c r="Q20" s="1">
        <x:v>15</x:v>
      </x:c>
      <x:c r="R20" s="1">
        <x:v>5</x:v>
      </x:c>
      <x:c r="S20" s="1">
        <x:v>2.0499999999999998</x:v>
      </x:c>
      <x:c r="T20" s="1">
        <x:v>1.65</x:v>
      </x:c>
      <x:c r="U20" s="42" t="n">
        <x:f>ROUND(J20*S20,0)</x:f>
        <x:v>4871</x:v>
      </x:c>
      <x:c r="V20" s="42" t="n">
        <x:f>ROUND(K20*1.45+5,0)</x:f>
        <x:v>63</x:v>
      </x:c>
      <x:c r="W20" s="42" t="n">
        <x:f>ROUND(L20*1.08,2)</x:f>
        <x:v>0.78</x:v>
      </x:c>
      <x:c r="X20" s="42" t="n">
        <x:f>ROUND(M20*T20,0)</x:f>
        <x:v>83</x:v>
      </x:c>
      <x:c r="Y20" s="42" t="n">
        <x:f>MAX(0.5,ROUND(N20*0.90,2))</x:f>
        <x:v>0.97</x:v>
      </x:c>
      <x:c r="Z20" s="42" t="str">
        <x:f>IF(I20="5웨이브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20" s="42" t="n">
        <x:f>MAX(10,ROUND(Q20*2,0))</x:f>
        <x:v>30</x:v>
      </x:c>
      <x:c r="AB20" s="42" t="n">
        <x:f>ROUND(AA20*1.15,0)</x:f>
        <x:v>35</x:v>
      </x:c>
      <x:c r="AC20" s="42" t="str">
        <x:f>IF(I20="5웨이브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  <x:row r="21">
      <x:c r="B21" s="6" t="s">
        <x:v>269</x:v>
      </x:c>
      <x:c r="C21" s="6" t="s">
        <x:v>213</x:v>
      </x:c>
      <x:c r="D21" s="6" t="s">
        <x:v>270</x:v>
      </x:c>
      <x:c r="E21" s="6" t="s">
        <x:v>271</x:v>
      </x:c>
      <x:c r="F21" s="6" t="s">
        <x:v>216</x:v>
      </x:c>
      <x:c r="G21" s="6" t="s">
        <x:v>272</x:v>
      </x:c>
      <x:c r="H21" s="6" t="s">
        <x:v>218</x:v>
      </x:c>
      <x:c r="I21" s="1"/>
      <x:c r="J21" s="1">
        <x:v>165</x:v>
      </x:c>
      <x:c r="K21" s="1">
        <x:v>2</x:v>
      </x:c>
      <x:c r="L21" s="1">
        <x:v>1.03</x:v>
      </x:c>
      <x:c r="M21" s="1">
        <x:v>15</x:v>
      </x:c>
      <x:c r="N21" s="1">
        <x:v>1.2</x:v>
      </x:c>
      <x:c r="O21" s="1" t="s">
        <x:v>52</x:v>
      </x:c>
      <x:c r="P21" s="1" t="s">
        <x:v>57</x:v>
      </x:c>
      <x:c r="Q21" s="1">
        <x:v>8</x:v>
      </x:c>
      <x:c r="R21" s="1">
        <x:v>6</x:v>
      </x:c>
      <x:c r="S21" s="1">
        <x:v>1.85</x:v>
      </x:c>
      <x:c r="T21" s="1">
        <x:v>1.45</x:v>
      </x:c>
      <x:c r="U21" s="42" t="n">
        <x:f>ROUND(J21*S21,0)</x:f>
        <x:v>305</x:v>
      </x:c>
      <x:c r="V21" s="42" t="n">
        <x:f>ROUND(K21*1.45+5,0)</x:f>
        <x:v>8</x:v>
      </x:c>
      <x:c r="W21" s="42" t="n">
        <x:f>ROUND(L21*1.08,2)</x:f>
        <x:v>1.11</x:v>
      </x:c>
      <x:c r="X21" s="42" t="n">
        <x:f>ROUND(M21*T21,0)</x:f>
        <x:v>22</x:v>
      </x:c>
      <x:c r="Y21" s="42" t="n">
        <x:f>MAX(0.5,ROUND(N21*0.90,2))</x:f>
        <x:v>1.08</x:v>
      </x:c>
      <x:c r="Z21" s="42" t="str">
        <x:f>IF(I21="5웨이브 중간보스","중간보스 강화: 상태이상 저항 +25%, 기존 특수효과 강화","상태이상 저항 +15%, 기존 특수효과 강화")</x:f>
        <x:v>상태이상 저항 +15%, 기존 특수효과 강화</x:v>
      </x:c>
      <x:c r="AA21" s="42" t="n">
        <x:f>MAX(10,ROUND(Q21*2,0))</x:f>
        <x:v>16</x:v>
      </x:c>
      <x:c r="AB21" s="42" t="n">
        <x:f>ROUND(AA21*1.15,0)</x:f>
        <x:v>18</x:v>
      </x:c>
      <x:c r="AC21" s="42" t="str">
        <x:f>IF(I21="5웨이브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2">
      <x:c r="B22" s="6" t="s">
        <x:v>269</x:v>
      </x:c>
      <x:c r="C22" s="6" t="s">
        <x:v>213</x:v>
      </x:c>
      <x:c r="D22" s="6" t="s">
        <x:v>273</x:v>
      </x:c>
      <x:c r="E22" s="6" t="s">
        <x:v>274</x:v>
      </x:c>
      <x:c r="F22" s="6" t="s">
        <x:v>275</x:v>
      </x:c>
      <x:c r="G22" s="6" t="s">
        <x:v>276</x:v>
      </x:c>
      <x:c r="H22" s="6" t="s">
        <x:v>277</x:v>
      </x:c>
      <x:c r="I22" s="1"/>
      <x:c r="J22" s="1">
        <x:v>148</x:v>
      </x:c>
      <x:c r="K22" s="1">
        <x:v>3</x:v>
      </x:c>
      <x:c r="L22" s="1">
        <x:v>1.1299999999999999</x:v>
      </x:c>
      <x:c r="M22" s="1">
        <x:v>15</x:v>
      </x:c>
      <x:c r="N22" s="1">
        <x:v>1.08</x:v>
      </x:c>
      <x:c r="O22" s="1" t="s">
        <x:v>52</x:v>
      </x:c>
      <x:c r="P22" s="1" t="s">
        <x:v>57</x:v>
      </x:c>
      <x:c r="Q22" s="1">
        <x:v>7</x:v>
      </x:c>
      <x:c r="R22" s="1">
        <x:v>7</x:v>
      </x:c>
      <x:c r="S22" s="1">
        <x:v>1.85</x:v>
      </x:c>
      <x:c r="T22" s="1">
        <x:v>1.45</x:v>
      </x:c>
      <x:c r="U22" s="42" t="n">
        <x:f>ROUND(J22*S22,0)</x:f>
        <x:v>274</x:v>
      </x:c>
      <x:c r="V22" s="42" t="n">
        <x:f>ROUND(K22*1.45+5,0)</x:f>
        <x:v>9</x:v>
      </x:c>
      <x:c r="W22" s="42" t="n">
        <x:f>ROUND(L22*1.08,2)</x:f>
        <x:v>1.22</x:v>
      </x:c>
      <x:c r="X22" s="42" t="n">
        <x:f>ROUND(M22*T22,0)</x:f>
        <x:v>22</x:v>
      </x:c>
      <x:c r="Y22" s="42" t="n">
        <x:f>MAX(0.5,ROUND(N22*0.90,2))</x:f>
        <x:v>0.97</x:v>
      </x:c>
      <x:c r="Z22" s="42" t="str">
        <x:f>IF(I22="5웨이브 중간보스","중간보스 강화: 상태이상 저항 +25%, 기존 특수효과 강화","상태이상 저항 +15%, 기존 특수효과 강화")</x:f>
        <x:v>상태이상 저항 +15%, 기존 특수효과 강화</x:v>
      </x:c>
      <x:c r="AA22" s="42" t="n">
        <x:f>MAX(10,ROUND(Q22*2,0))</x:f>
        <x:v>14</x:v>
      </x:c>
      <x:c r="AB22" s="42" t="n">
        <x:f>ROUND(AA22*1.15,0)</x:f>
        <x:v>16</x:v>
      </x:c>
      <x:c r="AC22" s="42" t="str">
        <x:f>IF(I22="5웨이브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3">
      <x:c r="B23" s="6" t="s">
        <x:v>269</x:v>
      </x:c>
      <x:c r="C23" s="6" t="s">
        <x:v>213</x:v>
      </x:c>
      <x:c r="D23" s="6" t="s">
        <x:v>278</x:v>
      </x:c>
      <x:c r="E23" s="6" t="s">
        <x:v>279</x:v>
      </x:c>
      <x:c r="F23" s="6" t="s">
        <x:v>280</x:v>
      </x:c>
      <x:c r="G23" s="6" t="s">
        <x:v>281</x:v>
      </x:c>
      <x:c r="H23" s="6" t="s">
        <x:v>282</x:v>
      </x:c>
      <x:c r="I23" s="1"/>
      <x:c r="J23" s="1">
        <x:v>145</x:v>
      </x:c>
      <x:c r="K23" s="1">
        <x:v>3</x:v>
      </x:c>
      <x:c r="L23" s="1">
        <x:v>1.1100000000000001</x:v>
      </x:c>
      <x:c r="M23" s="1">
        <x:v>16</x:v>
      </x:c>
      <x:c r="N23" s="1">
        <x:v>1.08</x:v>
      </x:c>
      <x:c r="O23" s="1" t="s">
        <x:v>52</x:v>
      </x:c>
      <x:c r="P23" s="1" t="s">
        <x:v>57</x:v>
      </x:c>
      <x:c r="Q23" s="1">
        <x:v>7</x:v>
      </x:c>
      <x:c r="R23" s="1">
        <x:v>8</x:v>
      </x:c>
      <x:c r="S23" s="1">
        <x:v>1.85</x:v>
      </x:c>
      <x:c r="T23" s="1">
        <x:v>1.45</x:v>
      </x:c>
      <x:c r="U23" s="42" t="n">
        <x:f>ROUND(J23*S23,0)</x:f>
        <x:v>268</x:v>
      </x:c>
      <x:c r="V23" s="42" t="n">
        <x:f>ROUND(K23*1.45+5,0)</x:f>
        <x:v>9</x:v>
      </x:c>
      <x:c r="W23" s="42" t="n">
        <x:f>ROUND(L23*1.08,2)</x:f>
        <x:v>1.2</x:v>
      </x:c>
      <x:c r="X23" s="42" t="n">
        <x:f>ROUND(M23*T23,0)</x:f>
        <x:v>23</x:v>
      </x:c>
      <x:c r="Y23" s="42" t="n">
        <x:f>MAX(0.5,ROUND(N23*0.90,2))</x:f>
        <x:v>0.97</x:v>
      </x:c>
      <x:c r="Z23" s="42" t="str">
        <x:f>IF(I23="5웨이브 중간보스","중간보스 강화: 상태이상 저항 +25%, 기존 특수효과 강화","상태이상 저항 +15%, 기존 특수효과 강화")</x:f>
        <x:v>상태이상 저항 +15%, 기존 특수효과 강화</x:v>
      </x:c>
      <x:c r="AA23" s="42" t="n">
        <x:f>MAX(10,ROUND(Q23*2,0))</x:f>
        <x:v>14</x:v>
      </x:c>
      <x:c r="AB23" s="42" t="n">
        <x:f>ROUND(AA23*1.15,0)</x:f>
        <x:v>16</x:v>
      </x:c>
      <x:c r="AC23" s="42" t="str">
        <x:f>IF(I23="5웨이브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4" ht="33">
      <x:c r="B24" s="6" t="s">
        <x:v>269</x:v>
      </x:c>
      <x:c r="C24" s="6" t="s">
        <x:v>213</x:v>
      </x:c>
      <x:c r="D24" s="6" t="s">
        <x:v>283</x:v>
      </x:c>
      <x:c r="E24" s="6" t="s">
        <x:v>284</x:v>
      </x:c>
      <x:c r="F24" s="6" t="s">
        <x:v>285</x:v>
      </x:c>
      <x:c r="G24" s="6" t="s">
        <x:v>286</x:v>
      </x:c>
      <x:c r="H24" s="6" t="s">
        <x:v>287</x:v>
      </x:c>
      <x:c r="I24" s="1"/>
      <x:c r="J24" s="1">
        <x:v>157</x:v>
      </x:c>
      <x:c r="K24" s="1">
        <x:v>4</x:v>
      </x:c>
      <x:c r="L24" s="1">
        <x:v>0.95</x:v>
      </x:c>
      <x:c r="M24" s="1">
        <x:v>12</x:v>
      </x:c>
      <x:c r="N24" s="1">
        <x:v>1.32</x:v>
      </x:c>
      <x:c r="O24" s="1" t="s">
        <x:v>52</x:v>
      </x:c>
      <x:c r="P24" s="1" t="s">
        <x:v>288</x:v>
      </x:c>
      <x:c r="Q24" s="1">
        <x:v>8</x:v>
      </x:c>
      <x:c r="R24" s="1">
        <x:v>9</x:v>
      </x:c>
      <x:c r="S24" s="1">
        <x:v>1.85</x:v>
      </x:c>
      <x:c r="T24" s="1">
        <x:v>1.45</x:v>
      </x:c>
      <x:c r="U24" s="42" t="n">
        <x:f>ROUND(J24*S24,0)</x:f>
        <x:v>290</x:v>
      </x:c>
      <x:c r="V24" s="42" t="n">
        <x:f>ROUND(K24*1.45+5,0)</x:f>
        <x:v>11</x:v>
      </x:c>
      <x:c r="W24" s="42" t="n">
        <x:f>ROUND(L24*1.08,2)</x:f>
        <x:v>1.03</x:v>
      </x:c>
      <x:c r="X24" s="42" t="n">
        <x:f>ROUND(M24*T24,0)</x:f>
        <x:v>17</x:v>
      </x:c>
      <x:c r="Y24" s="42" t="n">
        <x:f>MAX(0.5,ROUND(N24*0.90,2))</x:f>
        <x:v>1.19</x:v>
      </x:c>
      <x:c r="Z24" s="42" t="str">
        <x:f>IF(I24="5웨이브 중간보스","중간보스 강화: 상태이상 저항 +25%, 기존 특수효과 강화","상태이상 저항 +15%, 기존 특수효과 강화")</x:f>
        <x:v>상태이상 저항 +15%, 기존 특수효과 강화</x:v>
      </x:c>
      <x:c r="AA24" s="42" t="n">
        <x:f>MAX(10,ROUND(Q24*2,0))</x:f>
        <x:v>16</x:v>
      </x:c>
      <x:c r="AB24" s="42" t="n">
        <x:f>ROUND(AA24*1.15,0)</x:f>
        <x:v>18</x:v>
      </x:c>
      <x:c r="AC24" s="42" t="str">
        <x:f>IF(I24="5웨이브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5">
      <x:c r="B25" s="6" t="s">
        <x:v>269</x:v>
      </x:c>
      <x:c r="C25" s="6" t="s">
        <x:v>239</x:v>
      </x:c>
      <x:c r="D25" s="6" t="s">
        <x:v>289</x:v>
      </x:c>
      <x:c r="E25" s="6" t="s">
        <x:v>290</x:v>
      </x:c>
      <x:c r="F25" s="6" t="s">
        <x:v>275</x:v>
      </x:c>
      <x:c r="G25" s="6" t="s">
        <x:v>291</x:v>
      </x:c>
      <x:c r="H25" s="6" t="s">
        <x:v>292</x:v>
      </x:c>
      <x:c r="I25" s="1"/>
      <x:c r="J25" s="1">
        <x:v>148</x:v>
      </x:c>
      <x:c r="K25" s="1">
        <x:v>3</x:v>
      </x:c>
      <x:c r="L25" s="1">
        <x:v>1.1299999999999999</x:v>
      </x:c>
      <x:c r="M25" s="1">
        <x:v>15</x:v>
      </x:c>
      <x:c r="N25" s="1">
        <x:v>1.08</x:v>
      </x:c>
      <x:c r="O25" s="1" t="s">
        <x:v>52</x:v>
      </x:c>
      <x:c r="P25" s="1" t="s">
        <x:v>57</x:v>
      </x:c>
      <x:c r="Q25" s="1">
        <x:v>7</x:v>
      </x:c>
      <x:c r="R25" s="1">
        <x:v>10</x:v>
      </x:c>
      <x:c r="S25" s="1">
        <x:v>1.85</x:v>
      </x:c>
      <x:c r="T25" s="1">
        <x:v>1.45</x:v>
      </x:c>
      <x:c r="U25" s="42" t="n">
        <x:f>ROUND(J25*S25,0)</x:f>
        <x:v>274</x:v>
      </x:c>
      <x:c r="V25" s="42" t="n">
        <x:f>ROUND(K25*1.45+5,0)</x:f>
        <x:v>9</x:v>
      </x:c>
      <x:c r="W25" s="42" t="n">
        <x:f>ROUND(L25*1.08,2)</x:f>
        <x:v>1.22</x:v>
      </x:c>
      <x:c r="X25" s="42" t="n">
        <x:f>ROUND(M25*T25,0)</x:f>
        <x:v>22</x:v>
      </x:c>
      <x:c r="Y25" s="42" t="n">
        <x:f>MAX(0.5,ROUND(N25*0.90,2))</x:f>
        <x:v>0.97</x:v>
      </x:c>
      <x:c r="Z25" s="42" t="str">
        <x:f>IF(I25="5웨이브 중간보스","중간보스 강화: 상태이상 저항 +25%, 기존 특수효과 강화","상태이상 저항 +15%, 기존 특수효과 강화")</x:f>
        <x:v>상태이상 저항 +15%, 기존 특수효과 강화</x:v>
      </x:c>
      <x:c r="AA25" s="42" t="n">
        <x:f>MAX(10,ROUND(Q25*2,0))</x:f>
        <x:v>14</x:v>
      </x:c>
      <x:c r="AB25" s="42" t="n">
        <x:f>ROUND(AA25*1.15,0)</x:f>
        <x:v>16</x:v>
      </x:c>
      <x:c r="AC25" s="42" t="str">
        <x:f>IF(I25="5웨이브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6">
      <x:c r="B26" s="6" t="s">
        <x:v>269</x:v>
      </x:c>
      <x:c r="C26" s="6" t="s">
        <x:v>239</x:v>
      </x:c>
      <x:c r="D26" s="6" t="s">
        <x:v>293</x:v>
      </x:c>
      <x:c r="E26" s="6" t="s">
        <x:v>294</x:v>
      </x:c>
      <x:c r="F26" s="6" t="s">
        <x:v>242</x:v>
      </x:c>
      <x:c r="G26" s="6" t="s">
        <x:v>295</x:v>
      </x:c>
      <x:c r="H26" s="6" t="s">
        <x:v>244</x:v>
      </x:c>
      <x:c r="I26" s="1"/>
      <x:c r="J26" s="1">
        <x:v>119</x:v>
      </x:c>
      <x:c r="K26" s="1">
        <x:v>2</x:v>
      </x:c>
      <x:c r="L26" s="1">
        <x:v>1.46</x:v>
      </x:c>
      <x:c r="M26" s="1">
        <x:v>12</x:v>
      </x:c>
      <x:c r="N26" s="1">
        <x:v>0.96</x:v>
      </x:c>
      <x:c r="O26" s="1" t="s">
        <x:v>52</x:v>
      </x:c>
      <x:c r="P26" s="1" t="s">
        <x:v>57</x:v>
      </x:c>
      <x:c r="Q26" s="1">
        <x:v>6</x:v>
      </x:c>
      <x:c r="R26" s="1">
        <x:v>10</x:v>
      </x:c>
      <x:c r="S26" s="1">
        <x:v>1.85</x:v>
      </x:c>
      <x:c r="T26" s="1">
        <x:v>1.45</x:v>
      </x:c>
      <x:c r="U26" s="42" t="n">
        <x:f>ROUND(J26*S26,0)</x:f>
        <x:v>220</x:v>
      </x:c>
      <x:c r="V26" s="42" t="n">
        <x:f>ROUND(K26*1.45+5,0)</x:f>
        <x:v>8</x:v>
      </x:c>
      <x:c r="W26" s="42" t="n">
        <x:f>ROUND(L26*1.08,2)</x:f>
        <x:v>1.58</x:v>
      </x:c>
      <x:c r="X26" s="42" t="n">
        <x:f>ROUND(M26*T26,0)</x:f>
        <x:v>17</x:v>
      </x:c>
      <x:c r="Y26" s="42" t="n">
        <x:f>MAX(0.5,ROUND(N26*0.90,2))</x:f>
        <x:v>0.86</x:v>
      </x:c>
      <x:c r="Z26" s="42" t="str">
        <x:f>IF(I26="5웨이브 중간보스","중간보스 강화: 상태이상 저항 +25%, 기존 특수효과 강화","상태이상 저항 +15%, 기존 특수효과 강화")</x:f>
        <x:v>상태이상 저항 +15%, 기존 특수효과 강화</x:v>
      </x:c>
      <x:c r="AA26" s="42" t="n">
        <x:f>MAX(10,ROUND(Q26*2,0))</x:f>
        <x:v>12</x:v>
      </x:c>
      <x:c r="AB26" s="42" t="n">
        <x:f>ROUND(AA26*1.15,0)</x:f>
        <x:v>14</x:v>
      </x:c>
      <x:c r="AC26" s="42" t="str">
        <x:f>IF(I26="5웨이브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7">
      <x:c r="B27" s="6" t="s">
        <x:v>269</x:v>
      </x:c>
      <x:c r="C27" s="6" t="s">
        <x:v>239</x:v>
      </x:c>
      <x:c r="D27" s="6" t="s">
        <x:v>296</x:v>
      </x:c>
      <x:c r="E27" s="6" t="s">
        <x:v>297</x:v>
      </x:c>
      <x:c r="F27" s="6" t="s">
        <x:v>225</x:v>
      </x:c>
      <x:c r="G27" s="6" t="s">
        <x:v>298</x:v>
      </x:c>
      <x:c r="H27" s="6" t="s">
        <x:v>252</x:v>
      </x:c>
      <x:c r="I27" s="1"/>
      <x:c r="J27" s="1">
        <x:v>223</x:v>
      </x:c>
      <x:c r="K27" s="1">
        <x:v>14</x:v>
      </x:c>
      <x:c r="L27" s="1">
        <x:v>0.84</x:v>
      </x:c>
      <x:c r="M27" s="1">
        <x:v>17</x:v>
      </x:c>
      <x:c r="N27" s="1">
        <x:v>1.32</x:v>
      </x:c>
      <x:c r="O27" s="1" t="s">
        <x:v>52</x:v>
      </x:c>
      <x:c r="P27" s="1" t="s">
        <x:v>57</x:v>
      </x:c>
      <x:c r="Q27" s="1">
        <x:v>11</x:v>
      </x:c>
      <x:c r="R27" s="1">
        <x:v>10</x:v>
      </x:c>
      <x:c r="S27" s="1">
        <x:v>1.85</x:v>
      </x:c>
      <x:c r="T27" s="1">
        <x:v>1.45</x:v>
      </x:c>
      <x:c r="U27" s="42" t="n">
        <x:f>ROUND(J27*S27,0)</x:f>
        <x:v>413</x:v>
      </x:c>
      <x:c r="V27" s="42" t="n">
        <x:f>ROUND(K27*1.45+5,0)</x:f>
        <x:v>25</x:v>
      </x:c>
      <x:c r="W27" s="42" t="n">
        <x:f>ROUND(L27*1.08,2)</x:f>
        <x:v>0.91</x:v>
      </x:c>
      <x:c r="X27" s="42" t="n">
        <x:f>ROUND(M27*T27,0)</x:f>
        <x:v>25</x:v>
      </x:c>
      <x:c r="Y27" s="42" t="n">
        <x:f>MAX(0.5,ROUND(N27*0.90,2))</x:f>
        <x:v>1.19</x:v>
      </x:c>
      <x:c r="Z27" s="42" t="str">
        <x:f>IF(I27="5웨이브 중간보스","중간보스 강화: 상태이상 저항 +25%, 기존 특수효과 강화","상태이상 저항 +15%, 기존 특수효과 강화")</x:f>
        <x:v>상태이상 저항 +15%, 기존 특수효과 강화</x:v>
      </x:c>
      <x:c r="AA27" s="42" t="n">
        <x:f>MAX(10,ROUND(Q27*2,0))</x:f>
        <x:v>22</x:v>
      </x:c>
      <x:c r="AB27" s="42" t="n">
        <x:f>ROUND(AA27*1.15,0)</x:f>
        <x:v>25</x:v>
      </x:c>
      <x:c r="AC27" s="42" t="str">
        <x:f>IF(I27="5웨이브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8">
      <x:c r="B28" s="6" t="s">
        <x:v>269</x:v>
      </x:c>
      <x:c r="C28" s="6" t="s">
        <x:v>239</x:v>
      </x:c>
      <x:c r="D28" s="6" t="s">
        <x:v>299</x:v>
      </x:c>
      <x:c r="E28" s="6" t="s">
        <x:v>300</x:v>
      </x:c>
      <x:c r="F28" s="6" t="s">
        <x:v>301</x:v>
      </x:c>
      <x:c r="G28" s="6" t="s">
        <x:v>302</x:v>
      </x:c>
      <x:c r="H28" s="6" t="s">
        <x:v>303</x:v>
      </x:c>
      <x:c r="I28" s="1"/>
      <x:c r="J28" s="1">
        <x:v>140</x:v>
      </x:c>
      <x:c r="K28" s="1">
        <x:v>10</x:v>
      </x:c>
      <x:c r="L28" s="1">
        <x:v>1.17</x:v>
      </x:c>
      <x:c r="M28" s="1">
        <x:v>14</x:v>
      </x:c>
      <x:c r="N28" s="1">
        <x:v>1.08</x:v>
      </x:c>
      <x:c r="O28" s="1" t="s">
        <x:v>52</x:v>
      </x:c>
      <x:c r="P28" s="1" t="s">
        <x:v>304</x:v>
      </x:c>
      <x:c r="Q28" s="1">
        <x:v>7</x:v>
      </x:c>
      <x:c r="R28" s="1">
        <x:v>10</x:v>
      </x:c>
      <x:c r="S28" s="1">
        <x:v>1.85</x:v>
      </x:c>
      <x:c r="T28" s="1">
        <x:v>1.45</x:v>
      </x:c>
      <x:c r="U28" s="42" t="n">
        <x:f>ROUND(J28*S28,0)</x:f>
        <x:v>259</x:v>
      </x:c>
      <x:c r="V28" s="42" t="n">
        <x:f>ROUND(K28*1.45+5,0)</x:f>
        <x:v>20</x:v>
      </x:c>
      <x:c r="W28" s="42" t="n">
        <x:f>ROUND(L28*1.08,2)</x:f>
        <x:v>1.26</x:v>
      </x:c>
      <x:c r="X28" s="42" t="n">
        <x:f>ROUND(M28*T28,0)</x:f>
        <x:v>20</x:v>
      </x:c>
      <x:c r="Y28" s="42" t="n">
        <x:f>MAX(0.5,ROUND(N28*0.90,2))</x:f>
        <x:v>0.97</x:v>
      </x:c>
      <x:c r="Z28" s="42" t="str">
        <x:f>IF(I28="5웨이브 중간보스","중간보스 강화: 상태이상 저항 +25%, 기존 특수효과 강화","상태이상 저항 +15%, 기존 특수효과 강화")</x:f>
        <x:v>상태이상 저항 +15%, 기존 특수효과 강화</x:v>
      </x:c>
      <x:c r="AA28" s="42" t="n">
        <x:f>MAX(10,ROUND(Q28*2,0))</x:f>
        <x:v>14</x:v>
      </x:c>
      <x:c r="AB28" s="42" t="n">
        <x:f>ROUND(AA28*1.15,0)</x:f>
        <x:v>16</x:v>
      </x:c>
      <x:c r="AC28" s="42" t="str">
        <x:f>IF(I28="5웨이브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29" ht="33">
      <x:c r="B29" s="6" t="s">
        <x:v>269</x:v>
      </x:c>
      <x:c r="C29" s="6" t="s">
        <x:v>239</x:v>
      </x:c>
      <x:c r="D29" s="6" t="s">
        <x:v>305</x:v>
      </x:c>
      <x:c r="E29" s="6" t="s">
        <x:v>306</x:v>
      </x:c>
      <x:c r="F29" s="6" t="s">
        <x:v>307</x:v>
      </x:c>
      <x:c r="G29" s="6" t="s">
        <x:v>308</x:v>
      </x:c>
      <x:c r="H29" s="6" t="s">
        <x:v>309</x:v>
      </x:c>
      <x:c r="I29" s="1"/>
      <x:c r="J29" s="1">
        <x:v>173</x:v>
      </x:c>
      <x:c r="K29" s="1">
        <x:v>10</x:v>
      </x:c>
      <x:c r="L29" s="1">
        <x:v>1.05</x:v>
      </x:c>
      <x:c r="M29" s="1">
        <x:v>15</x:v>
      </x:c>
      <x:c r="N29" s="1">
        <x:v>1.2</x:v>
      </x:c>
      <x:c r="O29" s="1" t="s">
        <x:v>52</x:v>
      </x:c>
      <x:c r="P29" s="1" t="s">
        <x:v>57</x:v>
      </x:c>
      <x:c r="Q29" s="1">
        <x:v>8</x:v>
      </x:c>
      <x:c r="R29" s="1">
        <x:v>10</x:v>
      </x:c>
      <x:c r="S29" s="1">
        <x:v>1.85</x:v>
      </x:c>
      <x:c r="T29" s="1">
        <x:v>1.45</x:v>
      </x:c>
      <x:c r="U29" s="42" t="n">
        <x:f>ROUND(J29*S29,0)</x:f>
        <x:v>320</x:v>
      </x:c>
      <x:c r="V29" s="42" t="n">
        <x:f>ROUND(K29*1.45+5,0)</x:f>
        <x:v>20</x:v>
      </x:c>
      <x:c r="W29" s="42" t="n">
        <x:f>ROUND(L29*1.08,2)</x:f>
        <x:v>1.13</x:v>
      </x:c>
      <x:c r="X29" s="42" t="n">
        <x:f>ROUND(M29*T29,0)</x:f>
        <x:v>22</x:v>
      </x:c>
      <x:c r="Y29" s="42" t="n">
        <x:f>MAX(0.5,ROUND(N29*0.90,2))</x:f>
        <x:v>1.08</x:v>
      </x:c>
      <x:c r="Z29" s="42" t="str">
        <x:f>IF(I29="5웨이브 중간보스","중간보스 강화: 상태이상 저항 +25%, 기존 특수효과 강화","상태이상 저항 +15%, 기존 특수효과 강화")</x:f>
        <x:v>상태이상 저항 +15%, 기존 특수효과 강화</x:v>
      </x:c>
      <x:c r="AA29" s="42" t="n">
        <x:f>MAX(10,ROUND(Q29*2,0))</x:f>
        <x:v>16</x:v>
      </x:c>
      <x:c r="AB29" s="42" t="n">
        <x:f>ROUND(AA29*1.15,0)</x:f>
        <x:v>18</x:v>
      </x:c>
      <x:c r="AC29" s="42" t="str">
        <x:f>IF(I29="5웨이브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0">
      <x:c r="B30" s="6" t="s">
        <x:v>269</x:v>
      </x:c>
      <x:c r="C30" s="6" t="s">
        <x:v>239</x:v>
      </x:c>
      <x:c r="D30" s="6" t="s">
        <x:v>310</x:v>
      </x:c>
      <x:c r="E30" s="6" t="s">
        <x:v>311</x:v>
      </x:c>
      <x:c r="F30" s="6" t="s">
        <x:v>312</x:v>
      </x:c>
      <x:c r="G30" s="6" t="s">
        <x:v>313</x:v>
      </x:c>
      <x:c r="H30" s="6" t="s">
        <x:v>309</x:v>
      </x:c>
      <x:c r="I30" s="1" t="s">
        <x:v>268</x:v>
      </x:c>
      <x:c r="J30" s="1">
        <x:v>3267</x:v>
      </x:c>
      <x:c r="K30" s="1">
        <x:v>44</x:v>
      </x:c>
      <x:c r="L30" s="1">
        <x:v>0.91</x:v>
      </x:c>
      <x:c r="M30" s="1">
        <x:v>60</x:v>
      </x:c>
      <x:c r="N30" s="1">
        <x:v>1.08</x:v>
      </x:c>
      <x:c r="O30" s="1" t="s">
        <x:v>52</x:v>
      </x:c>
      <x:c r="P30" s="1" t="s">
        <x:v>57</x:v>
      </x:c>
      <x:c r="Q30" s="1">
        <x:v>20</x:v>
      </x:c>
      <x:c r="R30" s="1">
        <x:v>10</x:v>
      </x:c>
      <x:c r="S30" s="1">
        <x:v>2.0499999999999998</x:v>
      </x:c>
      <x:c r="T30" s="1">
        <x:v>1.65</x:v>
      </x:c>
      <x:c r="U30" s="42" t="n">
        <x:f>ROUND(J30*S30,0)</x:f>
        <x:v>6697</x:v>
      </x:c>
      <x:c r="V30" s="42" t="n">
        <x:f>ROUND(K30*1.45+5,0)</x:f>
        <x:v>69</x:v>
      </x:c>
      <x:c r="W30" s="42" t="n">
        <x:f>ROUND(L30*1.08,2)</x:f>
        <x:v>0.98</x:v>
      </x:c>
      <x:c r="X30" s="42" t="n">
        <x:f>ROUND(M30*T30,0)</x:f>
        <x:v>99</x:v>
      </x:c>
      <x:c r="Y30" s="42" t="n">
        <x:f>MAX(0.5,ROUND(N30*0.90,2))</x:f>
        <x:v>0.97</x:v>
      </x:c>
      <x:c r="Z30" s="42" t="str">
        <x:f>IF(I30="5웨이브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30" s="42" t="n">
        <x:f>MAX(10,ROUND(Q30*2,0))</x:f>
        <x:v>40</x:v>
      </x:c>
      <x:c r="AB30" s="42" t="n">
        <x:f>ROUND(AA30*1.15,0)</x:f>
        <x:v>46</x:v>
      </x:c>
      <x:c r="AC30" s="42" t="str">
        <x:f>IF(I30="5웨이브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  <x:row r="31">
      <x:c r="B31" s="6" t="s">
        <x:v>314</x:v>
      </x:c>
      <x:c r="C31" s="6" t="s">
        <x:v>213</x:v>
      </x:c>
      <x:c r="D31" s="6" t="s">
        <x:v>315</x:v>
      </x:c>
      <x:c r="E31" s="6" t="s">
        <x:v>316</x:v>
      </x:c>
      <x:c r="F31" s="6" t="s">
        <x:v>216</x:v>
      </x:c>
      <x:c r="G31" s="6" t="s">
        <x:v>317</x:v>
      </x:c>
      <x:c r="H31" s="6" t="s">
        <x:v>318</x:v>
      </x:c>
      <x:c r="I31" s="1"/>
      <x:c r="J31" s="1">
        <x:v>230</x:v>
      </x:c>
      <x:c r="K31" s="1">
        <x:v>4</x:v>
      </x:c>
      <x:c r="L31" s="1">
        <x:v>1.05</x:v>
      </x:c>
      <x:c r="M31" s="1">
        <x:v>18</x:v>
      </x:c>
      <x:c r="N31" s="1">
        <x:v>1.2</x:v>
      </x:c>
      <x:c r="O31" s="1" t="s">
        <x:v>52</x:v>
      </x:c>
      <x:c r="P31" s="1" t="s">
        <x:v>57</x:v>
      </x:c>
      <x:c r="Q31" s="1">
        <x:v>10</x:v>
      </x:c>
      <x:c r="R31" s="1">
        <x:v>11</x:v>
      </x:c>
      <x:c r="S31" s="1">
        <x:v>1.85</x:v>
      </x:c>
      <x:c r="T31" s="1">
        <x:v>1.45</x:v>
      </x:c>
      <x:c r="U31" s="42" t="n">
        <x:f>ROUND(J31*S31,0)</x:f>
        <x:v>426</x:v>
      </x:c>
      <x:c r="V31" s="42" t="n">
        <x:f>ROUND(K31*1.45+5,0)</x:f>
        <x:v>11</x:v>
      </x:c>
      <x:c r="W31" s="42" t="n">
        <x:f>ROUND(L31*1.08,2)</x:f>
        <x:v>1.13</x:v>
      </x:c>
      <x:c r="X31" s="42" t="n">
        <x:f>ROUND(M31*T31,0)</x:f>
        <x:v>26</x:v>
      </x:c>
      <x:c r="Y31" s="42" t="n">
        <x:f>MAX(0.5,ROUND(N31*0.90,2))</x:f>
        <x:v>1.08</x:v>
      </x:c>
      <x:c r="Z31" s="42" t="str">
        <x:f>IF(I31="5웨이브 중간보스","중간보스 강화: 상태이상 저항 +25%, 기존 특수효과 강화","상태이상 저항 +15%, 기존 특수효과 강화")</x:f>
        <x:v>상태이상 저항 +15%, 기존 특수효과 강화</x:v>
      </x:c>
      <x:c r="AA31" s="42" t="n">
        <x:f>MAX(10,ROUND(Q31*2,0))</x:f>
        <x:v>20</x:v>
      </x:c>
      <x:c r="AB31" s="42" t="n">
        <x:f>ROUND(AA31*1.15,0)</x:f>
        <x:v>23</x:v>
      </x:c>
      <x:c r="AC31" s="42" t="str">
        <x:f>IF(I31="5웨이브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2">
      <x:c r="B32" s="6" t="s">
        <x:v>314</x:v>
      </x:c>
      <x:c r="C32" s="6" t="s">
        <x:v>213</x:v>
      </x:c>
      <x:c r="D32" s="6" t="s">
        <x:v>319</x:v>
      </x:c>
      <x:c r="E32" s="6" t="s">
        <x:v>320</x:v>
      </x:c>
      <x:c r="F32" s="6" t="s">
        <x:v>321</x:v>
      </x:c>
      <x:c r="G32" s="6" t="s">
        <x:v>322</x:v>
      </x:c>
      <x:c r="H32" s="6" t="s">
        <x:v>323</x:v>
      </x:c>
      <x:c r="I32" s="1"/>
      <x:c r="J32" s="1">
        <x:v>175</x:v>
      </x:c>
      <x:c r="K32" s="1">
        <x:v>4</x:v>
      </x:c>
      <x:c r="L32" s="1">
        <x:v>1.45</x:v>
      </x:c>
      <x:c r="M32" s="1">
        <x:v>15</x:v>
      </x:c>
      <x:c r="N32" s="1">
        <x:v>1.02</x:v>
      </x:c>
      <x:c r="O32" s="1" t="s">
        <x:v>52</x:v>
      </x:c>
      <x:c r="P32" s="1" t="s">
        <x:v>57</x:v>
      </x:c>
      <x:c r="Q32" s="1">
        <x:v>8</x:v>
      </x:c>
      <x:c r="R32" s="1">
        <x:v>12</x:v>
      </x:c>
      <x:c r="S32" s="1">
        <x:v>1.85</x:v>
      </x:c>
      <x:c r="T32" s="1">
        <x:v>1.45</x:v>
      </x:c>
      <x:c r="U32" s="42" t="n">
        <x:f>ROUND(J32*S32,0)</x:f>
        <x:v>324</x:v>
      </x:c>
      <x:c r="V32" s="42" t="n">
        <x:f>ROUND(K32*1.45+5,0)</x:f>
        <x:v>11</x:v>
      </x:c>
      <x:c r="W32" s="42" t="n">
        <x:f>ROUND(L32*1.08,2)</x:f>
        <x:v>1.57</x:v>
      </x:c>
      <x:c r="X32" s="42" t="n">
        <x:f>ROUND(M32*T32,0)</x:f>
        <x:v>22</x:v>
      </x:c>
      <x:c r="Y32" s="42" t="n">
        <x:f>MAX(0.5,ROUND(N32*0.90,2))</x:f>
        <x:v>0.92</x:v>
      </x:c>
      <x:c r="Z32" s="42" t="str">
        <x:f>IF(I32="5웨이브 중간보스","중간보스 강화: 상태이상 저항 +25%, 기존 특수효과 강화","상태이상 저항 +15%, 기존 특수효과 강화")</x:f>
        <x:v>상태이상 저항 +15%, 기존 특수효과 강화</x:v>
      </x:c>
      <x:c r="AA32" s="42" t="n">
        <x:f>MAX(10,ROUND(Q32*2,0))</x:f>
        <x:v>16</x:v>
      </x:c>
      <x:c r="AB32" s="42" t="n">
        <x:f>ROUND(AA32*1.15,0)</x:f>
        <x:v>18</x:v>
      </x:c>
      <x:c r="AC32" s="42" t="str">
        <x:f>IF(I32="5웨이브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3">
      <x:c r="B33" s="6" t="s">
        <x:v>314</x:v>
      </x:c>
      <x:c r="C33" s="6" t="s">
        <x:v>213</x:v>
      </x:c>
      <x:c r="D33" s="6" t="s">
        <x:v>324</x:v>
      </x:c>
      <x:c r="E33" s="6" t="s">
        <x:v>325</x:v>
      </x:c>
      <x:c r="F33" s="6" t="s">
        <x:v>326</x:v>
      </x:c>
      <x:c r="G33" s="6" t="s">
        <x:v>327</x:v>
      </x:c>
      <x:c r="H33" s="6" t="s">
        <x:v>328</x:v>
      </x:c>
      <x:c r="I33" s="1"/>
      <x:c r="J33" s="1">
        <x:v>189</x:v>
      </x:c>
      <x:c r="K33" s="1">
        <x:v>5</x:v>
      </x:c>
      <x:c r="L33" s="1">
        <x:v>1.1000000000000001</x:v>
      </x:c>
      <x:c r="M33" s="1">
        <x:v>19</x:v>
      </x:c>
      <x:c r="N33" s="1">
        <x:v>1.38</x:v>
      </x:c>
      <x:c r="O33" s="1" t="s">
        <x:v>52</x:v>
      </x:c>
      <x:c r="P33" s="1" t="s">
        <x:v>57</x:v>
      </x:c>
      <x:c r="Q33" s="1">
        <x:v>8</x:v>
      </x:c>
      <x:c r="R33" s="1">
        <x:v>13</x:v>
      </x:c>
      <x:c r="S33" s="1">
        <x:v>1.85</x:v>
      </x:c>
      <x:c r="T33" s="1">
        <x:v>1.45</x:v>
      </x:c>
      <x:c r="U33" s="42" t="n">
        <x:f>ROUND(J33*S33,0)</x:f>
        <x:v>350</x:v>
      </x:c>
      <x:c r="V33" s="42" t="n">
        <x:f>ROUND(K33*1.45+5,0)</x:f>
        <x:v>12</x:v>
      </x:c>
      <x:c r="W33" s="42" t="n">
        <x:f>ROUND(L33*1.08,2)</x:f>
        <x:v>1.19</x:v>
      </x:c>
      <x:c r="X33" s="42" t="n">
        <x:f>ROUND(M33*T33,0)</x:f>
        <x:v>28</x:v>
      </x:c>
      <x:c r="Y33" s="42" t="n">
        <x:f>MAX(0.5,ROUND(N33*0.90,2))</x:f>
        <x:v>1.24</x:v>
      </x:c>
      <x:c r="Z33" s="42" t="str">
        <x:f>IF(I33="5웨이브 중간보스","중간보스 강화: 상태이상 저항 +25%, 기존 특수효과 강화","상태이상 저항 +15%, 기존 특수효과 강화")</x:f>
        <x:v>상태이상 저항 +15%, 기존 특수효과 강화</x:v>
      </x:c>
      <x:c r="AA33" s="42" t="n">
        <x:f>MAX(10,ROUND(Q33*2,0))</x:f>
        <x:v>16</x:v>
      </x:c>
      <x:c r="AB33" s="42" t="n">
        <x:f>ROUND(AA33*1.15,0)</x:f>
        <x:v>18</x:v>
      </x:c>
      <x:c r="AC33" s="42" t="str">
        <x:f>IF(I33="5웨이브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4">
      <x:c r="B34" s="6" t="s">
        <x:v>314</x:v>
      </x:c>
      <x:c r="C34" s="6" t="s">
        <x:v>213</x:v>
      </x:c>
      <x:c r="D34" s="6" t="s">
        <x:v>329</x:v>
      </x:c>
      <x:c r="E34" s="6" t="s">
        <x:v>330</x:v>
      </x:c>
      <x:c r="F34" s="6" t="s">
        <x:v>331</x:v>
      </x:c>
      <x:c r="G34" s="6" t="s">
        <x:v>332</x:v>
      </x:c>
      <x:c r="H34" s="6" t="s">
        <x:v>232</x:v>
      </x:c>
      <x:c r="I34" s="1"/>
      <x:c r="J34" s="1">
        <x:v>207</x:v>
      </x:c>
      <x:c r="K34" s="1">
        <x:v>5</x:v>
      </x:c>
      <x:c r="L34" s="1">
        <x:v>1.07</x:v>
      </x:c>
      <x:c r="M34" s="1">
        <x:v>25</x:v>
      </x:c>
      <x:c r="N34" s="1">
        <x:v>1.26</x:v>
      </x:c>
      <x:c r="O34" s="1" t="s">
        <x:v>52</x:v>
      </x:c>
      <x:c r="P34" s="1" t="s">
        <x:v>333</x:v>
      </x:c>
      <x:c r="Q34" s="1">
        <x:v>9</x:v>
      </x:c>
      <x:c r="R34" s="1">
        <x:v>14</x:v>
      </x:c>
      <x:c r="S34" s="1">
        <x:v>1.85</x:v>
      </x:c>
      <x:c r="T34" s="1">
        <x:v>1.45</x:v>
      </x:c>
      <x:c r="U34" s="42" t="n">
        <x:f>ROUND(J34*S34,0)</x:f>
        <x:v>383</x:v>
      </x:c>
      <x:c r="V34" s="42" t="n">
        <x:f>ROUND(K34*1.45+5,0)</x:f>
        <x:v>12</x:v>
      </x:c>
      <x:c r="W34" s="42" t="n">
        <x:f>ROUND(L34*1.08,2)</x:f>
        <x:v>1.16</x:v>
      </x:c>
      <x:c r="X34" s="42" t="n">
        <x:f>ROUND(M34*T34,0)</x:f>
        <x:v>36</x:v>
      </x:c>
      <x:c r="Y34" s="42" t="n">
        <x:f>MAX(0.5,ROUND(N34*0.90,2))</x:f>
        <x:v>1.13</x:v>
      </x:c>
      <x:c r="Z34" s="42" t="str">
        <x:f>IF(I34="5웨이브 중간보스","중간보스 강화: 상태이상 저항 +25%, 기존 특수효과 강화","상태이상 저항 +15%, 기존 특수효과 강화")</x:f>
        <x:v>상태이상 저항 +15%, 기존 특수효과 강화</x:v>
      </x:c>
      <x:c r="AA34" s="42" t="n">
        <x:f>MAX(10,ROUND(Q34*2,0))</x:f>
        <x:v>18</x:v>
      </x:c>
      <x:c r="AB34" s="42" t="n">
        <x:f>ROUND(AA34*1.15,0)</x:f>
        <x:v>21</x:v>
      </x:c>
      <x:c r="AC34" s="42" t="str">
        <x:f>IF(I34="5웨이브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5">
      <x:c r="B35" s="6" t="s">
        <x:v>314</x:v>
      </x:c>
      <x:c r="C35" s="6" t="s">
        <x:v>213</x:v>
      </x:c>
      <x:c r="D35" s="6" t="s">
        <x:v>334</x:v>
      </x:c>
      <x:c r="E35" s="6" t="s">
        <x:v>335</x:v>
      </x:c>
      <x:c r="F35" s="6" t="s">
        <x:v>336</x:v>
      </x:c>
      <x:c r="G35" s="6" t="s">
        <x:v>337</x:v>
      </x:c>
      <x:c r="H35" s="6" t="s">
        <x:v>338</x:v>
      </x:c>
      <x:c r="I35" s="1"/>
      <x:c r="J35" s="1">
        <x:v>184</x:v>
      </x:c>
      <x:c r="K35" s="1">
        <x:v>4</x:v>
      </x:c>
      <x:c r="L35" s="1">
        <x:v>1.37</x:v>
      </x:c>
      <x:c r="M35" s="1">
        <x:v>17</x:v>
      </x:c>
      <x:c r="N35" s="1">
        <x:v>1.02</x:v>
      </x:c>
      <x:c r="O35" s="1" t="s">
        <x:v>52</x:v>
      </x:c>
      <x:c r="P35" s="1" t="s">
        <x:v>57</x:v>
      </x:c>
      <x:c r="Q35" s="1">
        <x:v>8</x:v>
      </x:c>
      <x:c r="R35" s="1">
        <x:v>15</x:v>
      </x:c>
      <x:c r="S35" s="1">
        <x:v>1.85</x:v>
      </x:c>
      <x:c r="T35" s="1">
        <x:v>1.45</x:v>
      </x:c>
      <x:c r="U35" s="42" t="n">
        <x:f>ROUND(J35*S35,0)</x:f>
        <x:v>340</x:v>
      </x:c>
      <x:c r="V35" s="42" t="n">
        <x:f>ROUND(K35*1.45+5,0)</x:f>
        <x:v>11</x:v>
      </x:c>
      <x:c r="W35" s="42" t="n">
        <x:f>ROUND(L35*1.08,2)</x:f>
        <x:v>1.48</x:v>
      </x:c>
      <x:c r="X35" s="42" t="n">
        <x:f>ROUND(M35*T35,0)</x:f>
        <x:v>25</x:v>
      </x:c>
      <x:c r="Y35" s="42" t="n">
        <x:f>MAX(0.5,ROUND(N35*0.90,2))</x:f>
        <x:v>0.92</x:v>
      </x:c>
      <x:c r="Z35" s="42" t="str">
        <x:f>IF(I35="5웨이브 중간보스","중간보스 강화: 상태이상 저항 +25%, 기존 특수효과 강화","상태이상 저항 +15%, 기존 특수효과 강화")</x:f>
        <x:v>상태이상 저항 +15%, 기존 특수효과 강화</x:v>
      </x:c>
      <x:c r="AA35" s="42" t="n">
        <x:f>MAX(10,ROUND(Q35*2,0))</x:f>
        <x:v>16</x:v>
      </x:c>
      <x:c r="AB35" s="42" t="n">
        <x:f>ROUND(AA35*1.15,0)</x:f>
        <x:v>18</x:v>
      </x:c>
      <x:c r="AC35" s="42" t="str">
        <x:f>IF(I35="5웨이브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6">
      <x:c r="B36" s="6" t="s">
        <x:v>314</x:v>
      </x:c>
      <x:c r="C36" s="6" t="s">
        <x:v>239</x:v>
      </x:c>
      <x:c r="D36" s="6" t="s">
        <x:v>339</x:v>
      </x:c>
      <x:c r="E36" s="6" t="s">
        <x:v>340</x:v>
      </x:c>
      <x:c r="F36" s="6" t="s">
        <x:v>225</x:v>
      </x:c>
      <x:c r="G36" s="6" t="s">
        <x:v>341</x:v>
      </x:c>
      <x:c r="H36" s="6" t="s">
        <x:v>252</x:v>
      </x:c>
      <x:c r="I36" s="1"/>
      <x:c r="J36" s="1">
        <x:v>310</x:v>
      </x:c>
      <x:c r="K36" s="1">
        <x:v>16</x:v>
      </x:c>
      <x:c r="L36" s="1">
        <x:v>0.86</x:v>
      </x:c>
      <x:c r="M36" s="1">
        <x:v>21</x:v>
      </x:c>
      <x:c r="N36" s="1">
        <x:v>1.32</x:v>
      </x:c>
      <x:c r="O36" s="1" t="s">
        <x:v>52</x:v>
      </x:c>
      <x:c r="P36" s="1" t="s">
        <x:v>57</x:v>
      </x:c>
      <x:c r="Q36" s="1">
        <x:v>14</x:v>
      </x:c>
      <x:c r="R36" s="1">
        <x:v>15</x:v>
      </x:c>
      <x:c r="S36" s="1">
        <x:v>1.85</x:v>
      </x:c>
      <x:c r="T36" s="1">
        <x:v>1.45</x:v>
      </x:c>
      <x:c r="U36" s="42" t="n">
        <x:f>ROUND(J36*S36,0)</x:f>
        <x:v>574</x:v>
      </x:c>
      <x:c r="V36" s="42" t="n">
        <x:f>ROUND(K36*1.45+5,0)</x:f>
        <x:v>28</x:v>
      </x:c>
      <x:c r="W36" s="42" t="n">
        <x:f>ROUND(L36*1.08,2)</x:f>
        <x:v>0.93</x:v>
      </x:c>
      <x:c r="X36" s="42" t="n">
        <x:f>ROUND(M36*T36,0)</x:f>
        <x:v>30</x:v>
      </x:c>
      <x:c r="Y36" s="42" t="n">
        <x:f>MAX(0.5,ROUND(N36*0.90,2))</x:f>
        <x:v>1.19</x:v>
      </x:c>
      <x:c r="Z36" s="42" t="str">
        <x:f>IF(I36="5웨이브 중간보스","중간보스 강화: 상태이상 저항 +25%, 기존 특수효과 강화","상태이상 저항 +15%, 기존 특수효과 강화")</x:f>
        <x:v>상태이상 저항 +15%, 기존 특수효과 강화</x:v>
      </x:c>
      <x:c r="AA36" s="42" t="n">
        <x:f>MAX(10,ROUND(Q36*2,0))</x:f>
        <x:v>28</x:v>
      </x:c>
      <x:c r="AB36" s="42" t="n">
        <x:f>ROUND(AA36*1.15,0)</x:f>
        <x:v>32</x:v>
      </x:c>
      <x:c r="AC36" s="42" t="str">
        <x:f>IF(I36="5웨이브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7">
      <x:c r="B37" s="6" t="s">
        <x:v>314</x:v>
      </x:c>
      <x:c r="C37" s="6" t="s">
        <x:v>239</x:v>
      </x:c>
      <x:c r="D37" s="6" t="s">
        <x:v>342</x:v>
      </x:c>
      <x:c r="E37" s="6" t="s">
        <x:v>343</x:v>
      </x:c>
      <x:c r="F37" s="6" t="s">
        <x:v>344</x:v>
      </x:c>
      <x:c r="G37" s="6" t="s">
        <x:v>345</x:v>
      </x:c>
      <x:c r="H37" s="6" t="s">
        <x:v>256</x:v>
      </x:c>
      <x:c r="I37" s="1"/>
      <x:c r="J37" s="1">
        <x:v>156</x:v>
      </x:c>
      <x:c r="K37" s="1">
        <x:v>4</x:v>
      </x:c>
      <x:c r="L37" s="1">
        <x:v>1.58</x:v>
      </x:c>
      <x:c r="M37" s="1">
        <x:v>13</x:v>
      </x:c>
      <x:c r="N37" s="1">
        <x:v>0.96</x:v>
      </x:c>
      <x:c r="O37" s="1" t="s">
        <x:v>56</x:v>
      </x:c>
      <x:c r="P37" s="1" t="s">
        <x:v>257</x:v>
      </x:c>
      <x:c r="Q37" s="1">
        <x:v>8</x:v>
      </x:c>
      <x:c r="R37" s="1">
        <x:v>15</x:v>
      </x:c>
      <x:c r="S37" s="1">
        <x:v>1.85</x:v>
      </x:c>
      <x:c r="T37" s="1">
        <x:v>1.45</x:v>
      </x:c>
      <x:c r="U37" s="42" t="n">
        <x:f>ROUND(J37*S37,0)</x:f>
        <x:v>289</x:v>
      </x:c>
      <x:c r="V37" s="42" t="n">
        <x:f>ROUND(K37*1.45+5,0)</x:f>
        <x:v>11</x:v>
      </x:c>
      <x:c r="W37" s="42" t="n">
        <x:f>ROUND(L37*1.08,2)</x:f>
        <x:v>1.71</x:v>
      </x:c>
      <x:c r="X37" s="42" t="n">
        <x:f>ROUND(M37*T37,0)</x:f>
        <x:v>19</x:v>
      </x:c>
      <x:c r="Y37" s="42" t="n">
        <x:f>MAX(0.5,ROUND(N37*0.90,2))</x:f>
        <x:v>0.86</x:v>
      </x:c>
      <x:c r="Z37" s="42" t="str">
        <x:f>IF(I37="5웨이브 중간보스","중간보스 강화: 상태이상 저항 +25%, 기존 특수효과 강화","상태이상 저항 +15%, 기존 특수효과 강화")</x:f>
        <x:v>상태이상 저항 +15%, 기존 특수효과 강화</x:v>
      </x:c>
      <x:c r="AA37" s="42" t="n">
        <x:f>MAX(10,ROUND(Q37*2,0))</x:f>
        <x:v>16</x:v>
      </x:c>
      <x:c r="AB37" s="42" t="n">
        <x:f>ROUND(AA37*1.15,0)</x:f>
        <x:v>18</x:v>
      </x:c>
      <x:c r="AC37" s="42" t="str">
        <x:f>IF(I37="5웨이브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8">
      <x:c r="B38" s="6" t="s">
        <x:v>314</x:v>
      </x:c>
      <x:c r="C38" s="6" t="s">
        <x:v>239</x:v>
      </x:c>
      <x:c r="D38" s="6" t="s">
        <x:v>346</x:v>
      </x:c>
      <x:c r="E38" s="6" t="s">
        <x:v>347</x:v>
      </x:c>
      <x:c r="F38" s="6" t="s">
        <x:v>348</x:v>
      </x:c>
      <x:c r="G38" s="6" t="s">
        <x:v>349</x:v>
      </x:c>
      <x:c r="H38" s="6" t="s">
        <x:v>303</x:v>
      </x:c>
      <x:c r="I38" s="1"/>
      <x:c r="J38" s="1">
        <x:v>189</x:v>
      </x:c>
      <x:c r="K38" s="1">
        <x:v>8</x:v>
      </x:c>
      <x:c r="L38" s="1">
        <x:v>1.24</x:v>
      </x:c>
      <x:c r="M38" s="1">
        <x:v>16</x:v>
      </x:c>
      <x:c r="N38" s="1">
        <x:v>1.08</x:v>
      </x:c>
      <x:c r="O38" s="1" t="s">
        <x:v>52</x:v>
      </x:c>
      <x:c r="P38" s="1" t="s">
        <x:v>304</x:v>
      </x:c>
      <x:c r="Q38" s="1">
        <x:v>8</x:v>
      </x:c>
      <x:c r="R38" s="1">
        <x:v>15</x:v>
      </x:c>
      <x:c r="S38" s="1">
        <x:v>1.85</x:v>
      </x:c>
      <x:c r="T38" s="1">
        <x:v>1.45</x:v>
      </x:c>
      <x:c r="U38" s="42" t="n">
        <x:f>ROUND(J38*S38,0)</x:f>
        <x:v>350</x:v>
      </x:c>
      <x:c r="V38" s="42" t="n">
        <x:f>ROUND(K38*1.45+5,0)</x:f>
        <x:v>17</x:v>
      </x:c>
      <x:c r="W38" s="42" t="n">
        <x:f>ROUND(L38*1.08,2)</x:f>
        <x:v>1.34</x:v>
      </x:c>
      <x:c r="X38" s="42" t="n">
        <x:f>ROUND(M38*T38,0)</x:f>
        <x:v>23</x:v>
      </x:c>
      <x:c r="Y38" s="42" t="n">
        <x:f>MAX(0.5,ROUND(N38*0.90,2))</x:f>
        <x:v>0.97</x:v>
      </x:c>
      <x:c r="Z38" s="42" t="str">
        <x:f>IF(I38="5웨이브 중간보스","중간보스 강화: 상태이상 저항 +25%, 기존 특수효과 강화","상태이상 저항 +15%, 기존 특수효과 강화")</x:f>
        <x:v>상태이상 저항 +15%, 기존 특수효과 강화</x:v>
      </x:c>
      <x:c r="AA38" s="42" t="n">
        <x:f>MAX(10,ROUND(Q38*2,0))</x:f>
        <x:v>16</x:v>
      </x:c>
      <x:c r="AB38" s="42" t="n">
        <x:f>ROUND(AA38*1.15,0)</x:f>
        <x:v>18</x:v>
      </x:c>
      <x:c r="AC38" s="42" t="str">
        <x:f>IF(I38="5웨이브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39">
      <x:c r="B39" s="6" t="s">
        <x:v>314</x:v>
      </x:c>
      <x:c r="C39" s="6" t="s">
        <x:v>239</x:v>
      </x:c>
      <x:c r="D39" s="6" t="s">
        <x:v>350</x:v>
      </x:c>
      <x:c r="E39" s="6" t="s">
        <x:v>351</x:v>
      </x:c>
      <x:c r="F39" s="6" t="s">
        <x:v>352</x:v>
      </x:c>
      <x:c r="G39" s="6" t="s">
        <x:v>353</x:v>
      </x:c>
      <x:c r="H39" s="6" t="s">
        <x:v>277</x:v>
      </x:c>
      <x:c r="I39" s="1"/>
      <x:c r="J39" s="1">
        <x:v>212</x:v>
      </x:c>
      <x:c r="K39" s="1">
        <x:v>8</x:v>
      </x:c>
      <x:c r="L39" s="1">
        <x:v>1.05</x:v>
      </x:c>
      <x:c r="M39" s="1">
        <x:v>15</x:v>
      </x:c>
      <x:c r="N39" s="1">
        <x:v>1.32</x:v>
      </x:c>
      <x:c r="O39" s="1" t="s">
        <x:v>52</x:v>
      </x:c>
      <x:c r="P39" s="1" t="s">
        <x:v>57</x:v>
      </x:c>
      <x:c r="Q39" s="1">
        <x:v>9</x:v>
      </x:c>
      <x:c r="R39" s="1">
        <x:v>15</x:v>
      </x:c>
      <x:c r="S39" s="1">
        <x:v>1.85</x:v>
      </x:c>
      <x:c r="T39" s="1">
        <x:v>1.45</x:v>
      </x:c>
      <x:c r="U39" s="42" t="n">
        <x:f>ROUND(J39*S39,0)</x:f>
        <x:v>392</x:v>
      </x:c>
      <x:c r="V39" s="42" t="n">
        <x:f>ROUND(K39*1.45+5,0)</x:f>
        <x:v>17</x:v>
      </x:c>
      <x:c r="W39" s="42" t="n">
        <x:f>ROUND(L39*1.08,2)</x:f>
        <x:v>1.13</x:v>
      </x:c>
      <x:c r="X39" s="42" t="n">
        <x:f>ROUND(M39*T39,0)</x:f>
        <x:v>22</x:v>
      </x:c>
      <x:c r="Y39" s="42" t="n">
        <x:f>MAX(0.5,ROUND(N39*0.90,2))</x:f>
        <x:v>1.19</x:v>
      </x:c>
      <x:c r="Z39" s="42" t="str">
        <x:f>IF(I39="5웨이브 중간보스","중간보스 강화: 상태이상 저항 +25%, 기존 특수효과 강화","상태이상 저항 +15%, 기존 특수효과 강화")</x:f>
        <x:v>상태이상 저항 +15%, 기존 특수효과 강화</x:v>
      </x:c>
      <x:c r="AA39" s="42" t="n">
        <x:f>MAX(10,ROUND(Q39*2,0))</x:f>
        <x:v>18</x:v>
      </x:c>
      <x:c r="AB39" s="42" t="n">
        <x:f>ROUND(AA39*1.15,0)</x:f>
        <x:v>21</x:v>
      </x:c>
      <x:c r="AC39" s="42" t="str">
        <x:f>IF(I39="5웨이브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0">
      <x:c r="B40" s="6" t="s">
        <x:v>314</x:v>
      </x:c>
      <x:c r="C40" s="6" t="s">
        <x:v>239</x:v>
      </x:c>
      <x:c r="D40" s="6" t="s">
        <x:v>354</x:v>
      </x:c>
      <x:c r="E40" s="6" t="s">
        <x:v>355</x:v>
      </x:c>
      <x:c r="F40" s="6" t="s">
        <x:v>237</x:v>
      </x:c>
      <x:c r="G40" s="6" t="s">
        <x:v>356</x:v>
      </x:c>
      <x:c r="H40" s="6" t="s">
        <x:v>237</x:v>
      </x:c>
      <x:c r="I40" s="1"/>
      <x:c r="J40" s="1">
        <x:v>264</x:v>
      </x:c>
      <x:c r="K40" s="1">
        <x:v>9</x:v>
      </x:c>
      <x:c r="L40" s="1">
        <x:v>0.97</x:v>
      </x:c>
      <x:c r="M40" s="1">
        <x:v>30</x:v>
      </x:c>
      <x:c r="N40" s="1">
        <x:v>1.1399999999999999</x:v>
      </x:c>
      <x:c r="O40" s="1" t="s">
        <x:v>52</x:v>
      </x:c>
      <x:c r="P40" s="1" t="s">
        <x:v>238</x:v>
      </x:c>
      <x:c r="Q40" s="1">
        <x:v>12</x:v>
      </x:c>
      <x:c r="R40" s="1">
        <x:v>15</x:v>
      </x:c>
      <x:c r="S40" s="1">
        <x:v>1.85</x:v>
      </x:c>
      <x:c r="T40" s="1">
        <x:v>1.45</x:v>
      </x:c>
      <x:c r="U40" s="42" t="n">
        <x:f>ROUND(J40*S40,0)</x:f>
        <x:v>488</x:v>
      </x:c>
      <x:c r="V40" s="42" t="n">
        <x:f>ROUND(K40*1.45+5,0)</x:f>
        <x:v>18</x:v>
      </x:c>
      <x:c r="W40" s="42" t="n">
        <x:f>ROUND(L40*1.08,2)</x:f>
        <x:v>1.05</x:v>
      </x:c>
      <x:c r="X40" s="42" t="n">
        <x:f>ROUND(M40*T40,0)</x:f>
        <x:v>44</x:v>
      </x:c>
      <x:c r="Y40" s="42" t="n">
        <x:f>MAX(0.5,ROUND(N40*0.90,2))</x:f>
        <x:v>1.03</x:v>
      </x:c>
      <x:c r="Z40" s="42" t="str">
        <x:f>IF(I40="5웨이브 중간보스","중간보스 강화: 상태이상 저항 +25%, 기존 특수효과 강화","상태이상 저항 +15%, 기존 특수효과 강화")</x:f>
        <x:v>상태이상 저항 +15%, 기존 특수효과 강화</x:v>
      </x:c>
      <x:c r="AA40" s="42" t="n">
        <x:f>MAX(10,ROUND(Q40*2,0))</x:f>
        <x:v>24</x:v>
      </x:c>
      <x:c r="AB40" s="42" t="n">
        <x:f>ROUND(AA40*1.15,0)</x:f>
        <x:v>28</x:v>
      </x:c>
      <x:c r="AC40" s="42" t="str">
        <x:f>IF(I40="5웨이브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1" ht="33">
      <x:c r="B41" s="6" t="s">
        <x:v>314</x:v>
      </x:c>
      <x:c r="C41" s="6" t="s">
        <x:v>239</x:v>
      </x:c>
      <x:c r="D41" s="6" t="s">
        <x:v>357</x:v>
      </x:c>
      <x:c r="E41" s="6" t="s">
        <x:v>358</x:v>
      </x:c>
      <x:c r="F41" s="6" t="s">
        <x:v>359</x:v>
      </x:c>
      <x:c r="G41" s="6" t="s">
        <x:v>360</x:v>
      </x:c>
      <x:c r="H41" s="6" t="s">
        <x:v>237</x:v>
      </x:c>
      <x:c r="I41" s="1" t="s">
        <x:v>268</x:v>
      </x:c>
      <x:c r="J41" s="1">
        <x:v>4968</x:v>
      </x:c>
      <x:c r="K41" s="1">
        <x:v>40</x:v>
      </x:c>
      <x:c r="L41" s="1">
        <x:v>0.89</x:v>
      </x:c>
      <x:c r="M41" s="1">
        <x:v>83</x:v>
      </x:c>
      <x:c r="N41" s="1">
        <x:v>1.08</x:v>
      </x:c>
      <x:c r="O41" s="1" t="s">
        <x:v>52</x:v>
      </x:c>
      <x:c r="P41" s="1" t="s">
        <x:v>238</x:v>
      </x:c>
      <x:c r="Q41" s="1">
        <x:v>25</x:v>
      </x:c>
      <x:c r="R41" s="1">
        <x:v>15</x:v>
      </x:c>
      <x:c r="S41" s="1">
        <x:v>2.0499999999999998</x:v>
      </x:c>
      <x:c r="T41" s="1">
        <x:v>1.65</x:v>
      </x:c>
      <x:c r="U41" s="42" t="n">
        <x:f>ROUND(J41*S41,0)</x:f>
        <x:v>10184</x:v>
      </x:c>
      <x:c r="V41" s="42" t="n">
        <x:f>ROUND(K41*1.45+5,0)</x:f>
        <x:v>63</x:v>
      </x:c>
      <x:c r="W41" s="42" t="n">
        <x:f>ROUND(L41*1.08,2)</x:f>
        <x:v>0.96</x:v>
      </x:c>
      <x:c r="X41" s="42" t="n">
        <x:f>ROUND(M41*T41,0)</x:f>
        <x:v>137</x:v>
      </x:c>
      <x:c r="Y41" s="42" t="n">
        <x:f>MAX(0.5,ROUND(N41*0.90,2))</x:f>
        <x:v>0.97</x:v>
      </x:c>
      <x:c r="Z41" s="42" t="str">
        <x:f>IF(I41="5웨이브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41" s="42" t="n">
        <x:f>MAX(10,ROUND(Q41*2,0))</x:f>
        <x:v>50</x:v>
      </x:c>
      <x:c r="AB41" s="42" t="n">
        <x:f>ROUND(AA41*1.15,0)</x:f>
        <x:v>57</x:v>
      </x:c>
      <x:c r="AC41" s="42" t="str">
        <x:f>IF(I41="5웨이브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  <x:row r="42">
      <x:c r="B42" s="6" t="s">
        <x:v>361</x:v>
      </x:c>
      <x:c r="C42" s="6" t="s">
        <x:v>213</x:v>
      </x:c>
      <x:c r="D42" s="6" t="s">
        <x:v>362</x:v>
      </x:c>
      <x:c r="E42" s="6" t="s">
        <x:v>363</x:v>
      </x:c>
      <x:c r="F42" s="6" t="s">
        <x:v>216</x:v>
      </x:c>
      <x:c r="G42" s="6" t="s">
        <x:v>364</x:v>
      </x:c>
      <x:c r="H42" s="6" t="s">
        <x:v>218</x:v>
      </x:c>
      <x:c r="I42" s="1"/>
      <x:c r="J42" s="1">
        <x:v>310</x:v>
      </x:c>
      <x:c r="K42" s="1">
        <x:v>6</x:v>
      </x:c>
      <x:c r="L42" s="1">
        <x:v>0.98</x:v>
      </x:c>
      <x:c r="M42" s="1">
        <x:v>22</x:v>
      </x:c>
      <x:c r="N42" s="1">
        <x:v>1.2</x:v>
      </x:c>
      <x:c r="O42" s="1" t="s">
        <x:v>52</x:v>
      </x:c>
      <x:c r="P42" s="1" t="s">
        <x:v>57</x:v>
      </x:c>
      <x:c r="Q42" s="1">
        <x:v>12</x:v>
      </x:c>
      <x:c r="R42" s="1">
        <x:v>16</x:v>
      </x:c>
      <x:c r="S42" s="1">
        <x:v>1.85</x:v>
      </x:c>
      <x:c r="T42" s="1">
        <x:v>1.45</x:v>
      </x:c>
      <x:c r="U42" s="42" t="n">
        <x:f>ROUND(J42*S42,0)</x:f>
        <x:v>574</x:v>
      </x:c>
      <x:c r="V42" s="42" t="n">
        <x:f>ROUND(K42*1.45+5,0)</x:f>
        <x:v>14</x:v>
      </x:c>
      <x:c r="W42" s="42" t="n">
        <x:f>ROUND(L42*1.08,2)</x:f>
        <x:v>1.06</x:v>
      </x:c>
      <x:c r="X42" s="42" t="n">
        <x:f>ROUND(M42*T42,0)</x:f>
        <x:v>32</x:v>
      </x:c>
      <x:c r="Y42" s="42" t="n">
        <x:f>MAX(0.5,ROUND(N42*0.90,2))</x:f>
        <x:v>1.08</x:v>
      </x:c>
      <x:c r="Z42" s="42" t="str">
        <x:f>IF(I42="5웨이브 중간보스","중간보스 강화: 상태이상 저항 +25%, 기존 특수효과 강화","상태이상 저항 +15%, 기존 특수효과 강화")</x:f>
        <x:v>상태이상 저항 +15%, 기존 특수효과 강화</x:v>
      </x:c>
      <x:c r="AA42" s="42" t="n">
        <x:f>MAX(10,ROUND(Q42*2,0))</x:f>
        <x:v>24</x:v>
      </x:c>
      <x:c r="AB42" s="42" t="n">
        <x:f>ROUND(AA42*1.15,0)</x:f>
        <x:v>28</x:v>
      </x:c>
      <x:c r="AC42" s="42" t="str">
        <x:f>IF(I42="5웨이브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3">
      <x:c r="B43" s="6" t="s">
        <x:v>361</x:v>
      </x:c>
      <x:c r="C43" s="6" t="s">
        <x:v>213</x:v>
      </x:c>
      <x:c r="D43" s="6" t="s">
        <x:v>365</x:v>
      </x:c>
      <x:c r="E43" s="6" t="s">
        <x:v>366</x:v>
      </x:c>
      <x:c r="F43" s="6" t="s">
        <x:v>367</x:v>
      </x:c>
      <x:c r="G43" s="6" t="s">
        <x:v>368</x:v>
      </x:c>
      <x:c r="H43" s="6" t="s">
        <x:v>227</x:v>
      </x:c>
      <x:c r="I43" s="1"/>
      <x:c r="J43" s="1">
        <x:v>418</x:v>
      </x:c>
      <x:c r="K43" s="1">
        <x:v>20</x:v>
      </x:c>
      <x:c r="L43" s="1">
        <x:v>0.84</x:v>
      </x:c>
      <x:c r="M43" s="1">
        <x:v>26</x:v>
      </x:c>
      <x:c r="N43" s="1">
        <x:v>1.32</x:v>
      </x:c>
      <x:c r="O43" s="1" t="s">
        <x:v>52</x:v>
      </x:c>
      <x:c r="P43" s="1" t="s">
        <x:v>57</x:v>
      </x:c>
      <x:c r="Q43" s="1">
        <x:v>16</x:v>
      </x:c>
      <x:c r="R43" s="1">
        <x:v>17</x:v>
      </x:c>
      <x:c r="S43" s="1">
        <x:v>1.85</x:v>
      </x:c>
      <x:c r="T43" s="1">
        <x:v>1.45</x:v>
      </x:c>
      <x:c r="U43" s="42" t="n">
        <x:f>ROUND(J43*S43,0)</x:f>
        <x:v>773</x:v>
      </x:c>
      <x:c r="V43" s="42" t="n">
        <x:f>ROUND(K43*1.45+5,0)</x:f>
        <x:v>34</x:v>
      </x:c>
      <x:c r="W43" s="42" t="n">
        <x:f>ROUND(L43*1.08,2)</x:f>
        <x:v>0.91</x:v>
      </x:c>
      <x:c r="X43" s="42" t="n">
        <x:f>ROUND(M43*T43,0)</x:f>
        <x:v>38</x:v>
      </x:c>
      <x:c r="Y43" s="42" t="n">
        <x:f>MAX(0.5,ROUND(N43*0.90,2))</x:f>
        <x:v>1.19</x:v>
      </x:c>
      <x:c r="Z43" s="42" t="str">
        <x:f>IF(I43="5웨이브 중간보스","중간보스 강화: 상태이상 저항 +25%, 기존 특수효과 강화","상태이상 저항 +15%, 기존 특수효과 강화")</x:f>
        <x:v>상태이상 저항 +15%, 기존 특수효과 강화</x:v>
      </x:c>
      <x:c r="AA43" s="42" t="n">
        <x:f>MAX(10,ROUND(Q43*2,0))</x:f>
        <x:v>32</x:v>
      </x:c>
      <x:c r="AB43" s="42" t="n">
        <x:f>ROUND(AA43*1.15,0)</x:f>
        <x:v>37</x:v>
      </x:c>
      <x:c r="AC43" s="42" t="str">
        <x:f>IF(I43="5웨이브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4">
      <x:c r="B44" s="6" t="s">
        <x:v>361</x:v>
      </x:c>
      <x:c r="C44" s="6" t="s">
        <x:v>213</x:v>
      </x:c>
      <x:c r="D44" s="6" t="s">
        <x:v>369</x:v>
      </x:c>
      <x:c r="E44" s="6" t="s">
        <x:v>370</x:v>
      </x:c>
      <x:c r="F44" s="6" t="s">
        <x:v>326</x:v>
      </x:c>
      <x:c r="G44" s="6" t="s">
        <x:v>371</x:v>
      </x:c>
      <x:c r="H44" s="6" t="s">
        <x:v>328</x:v>
      </x:c>
      <x:c r="I44" s="1"/>
      <x:c r="J44" s="1">
        <x:v>254</x:v>
      </x:c>
      <x:c r="K44" s="1">
        <x:v>7</x:v>
      </x:c>
      <x:c r="L44" s="1">
        <x:v>1.03</x:v>
      </x:c>
      <x:c r="M44" s="1">
        <x:v>23</x:v>
      </x:c>
      <x:c r="N44" s="1">
        <x:v>1.38</x:v>
      </x:c>
      <x:c r="O44" s="1" t="s">
        <x:v>52</x:v>
      </x:c>
      <x:c r="P44" s="1" t="s">
        <x:v>57</x:v>
      </x:c>
      <x:c r="Q44" s="1">
        <x:v>10</x:v>
      </x:c>
      <x:c r="R44" s="1">
        <x:v>18</x:v>
      </x:c>
      <x:c r="S44" s="1">
        <x:v>1.85</x:v>
      </x:c>
      <x:c r="T44" s="1">
        <x:v>1.45</x:v>
      </x:c>
      <x:c r="U44" s="42" t="n">
        <x:f>ROUND(J44*S44,0)</x:f>
        <x:v>470</x:v>
      </x:c>
      <x:c r="V44" s="42" t="n">
        <x:f>ROUND(K44*1.45+5,0)</x:f>
        <x:v>15</x:v>
      </x:c>
      <x:c r="W44" s="42" t="n">
        <x:f>ROUND(L44*1.08,2)</x:f>
        <x:v>1.11</x:v>
      </x:c>
      <x:c r="X44" s="42" t="n">
        <x:f>ROUND(M44*T44,0)</x:f>
        <x:v>33</x:v>
      </x:c>
      <x:c r="Y44" s="42" t="n">
        <x:f>MAX(0.5,ROUND(N44*0.90,2))</x:f>
        <x:v>1.24</x:v>
      </x:c>
      <x:c r="Z44" s="42" t="str">
        <x:f>IF(I44="5웨이브 중간보스","중간보스 강화: 상태이상 저항 +25%, 기존 특수효과 강화","상태이상 저항 +15%, 기존 특수효과 강화")</x:f>
        <x:v>상태이상 저항 +15%, 기존 특수효과 강화</x:v>
      </x:c>
      <x:c r="AA44" s="42" t="n">
        <x:f>MAX(10,ROUND(Q44*2,0))</x:f>
        <x:v>20</x:v>
      </x:c>
      <x:c r="AB44" s="42" t="n">
        <x:f>ROUND(AA44*1.15,0)</x:f>
        <x:v>23</x:v>
      </x:c>
      <x:c r="AC44" s="42" t="str">
        <x:f>IF(I44="5웨이브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5" ht="33">
      <x:c r="B45" s="6" t="s">
        <x:v>361</x:v>
      </x:c>
      <x:c r="C45" s="6" t="s">
        <x:v>213</x:v>
      </x:c>
      <x:c r="D45" s="6" t="s">
        <x:v>372</x:v>
      </x:c>
      <x:c r="E45" s="6" t="s">
        <x:v>373</x:v>
      </x:c>
      <x:c r="F45" s="6" t="s">
        <x:v>374</x:v>
      </x:c>
      <x:c r="G45" s="6" t="s">
        <x:v>375</x:v>
      </x:c>
      <x:c r="H45" s="6" t="s">
        <x:v>376</x:v>
      </x:c>
      <x:c r="I45" s="1"/>
      <x:c r="J45" s="1">
        <x:v>223</x:v>
      </x:c>
      <x:c r="K45" s="1">
        <x:v>8</x:v>
      </x:c>
      <x:c r="L45" s="1">
        <x:v>1.23</x:v>
      </x:c>
      <x:c r="M45" s="1">
        <x:v>33</x:v>
      </x:c>
      <x:c r="N45" s="1">
        <x:v>0.9</x:v>
      </x:c>
      <x:c r="O45" s="1" t="s">
        <x:v>52</x:v>
      </x:c>
      <x:c r="P45" s="1" t="s">
        <x:v>377</x:v>
      </x:c>
      <x:c r="Q45" s="1">
        <x:v>10</x:v>
      </x:c>
      <x:c r="R45" s="1">
        <x:v>19</x:v>
      </x:c>
      <x:c r="S45" s="1">
        <x:v>1.85</x:v>
      </x:c>
      <x:c r="T45" s="1">
        <x:v>1.45</x:v>
      </x:c>
      <x:c r="U45" s="42" t="n">
        <x:f>ROUND(J45*S45,0)</x:f>
        <x:v>413</x:v>
      </x:c>
      <x:c r="V45" s="42" t="n">
        <x:f>ROUND(K45*1.45+5,0)</x:f>
        <x:v>17</x:v>
      </x:c>
      <x:c r="W45" s="42" t="n">
        <x:f>ROUND(L45*1.08,2)</x:f>
        <x:v>1.33</x:v>
      </x:c>
      <x:c r="X45" s="42" t="n">
        <x:f>ROUND(M45*T45,0)</x:f>
        <x:v>48</x:v>
      </x:c>
      <x:c r="Y45" s="42" t="n">
        <x:f>MAX(0.5,ROUND(N45*0.90,2))</x:f>
        <x:v>0.81</x:v>
      </x:c>
      <x:c r="Z45" s="42" t="str">
        <x:f>IF(I45="5웨이브 중간보스","중간보스 강화: 상태이상 저항 +25%, 기존 특수효과 강화","상태이상 저항 +15%, 기존 특수효과 강화")</x:f>
        <x:v>상태이상 저항 +15%, 기존 특수효과 강화</x:v>
      </x:c>
      <x:c r="AA45" s="42" t="n">
        <x:f>MAX(10,ROUND(Q45*2,0))</x:f>
        <x:v>20</x:v>
      </x:c>
      <x:c r="AB45" s="42" t="n">
        <x:f>ROUND(AA45*1.15,0)</x:f>
        <x:v>23</x:v>
      </x:c>
      <x:c r="AC45" s="42" t="str">
        <x:f>IF(I45="5웨이브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6" ht="33">
      <x:c r="B46" s="6" t="s">
        <x:v>361</x:v>
      </x:c>
      <x:c r="C46" s="6" t="s">
        <x:v>213</x:v>
      </x:c>
      <x:c r="D46" s="6" t="s">
        <x:v>378</x:v>
      </x:c>
      <x:c r="E46" s="6" t="s">
        <x:v>379</x:v>
      </x:c>
      <x:c r="F46" s="6" t="s">
        <x:v>380</x:v>
      </x:c>
      <x:c r="G46" s="6" t="s">
        <x:v>381</x:v>
      </x:c>
      <x:c r="H46" s="6" t="s">
        <x:v>287</x:v>
      </x:c>
      <x:c r="I46" s="1"/>
      <x:c r="J46" s="1">
        <x:v>285</x:v>
      </x:c>
      <x:c r="K46" s="1">
        <x:v>10</x:v>
      </x:c>
      <x:c r="L46" s="1">
        <x:v>0.88</x:v>
      </x:c>
      <x:c r="M46" s="1">
        <x:v>19</x:v>
      </x:c>
      <x:c r="N46" s="1">
        <x:v>1.32</x:v>
      </x:c>
      <x:c r="O46" s="1" t="s">
        <x:v>52</x:v>
      </x:c>
      <x:c r="P46" s="1" t="s">
        <x:v>288</x:v>
      </x:c>
      <x:c r="Q46" s="1">
        <x:v>11</x:v>
      </x:c>
      <x:c r="R46" s="1">
        <x:v>20</x:v>
      </x:c>
      <x:c r="S46" s="1">
        <x:v>1.85</x:v>
      </x:c>
      <x:c r="T46" s="1">
        <x:v>1.45</x:v>
      </x:c>
      <x:c r="U46" s="42" t="n">
        <x:f>ROUND(J46*S46,0)</x:f>
        <x:v>527</x:v>
      </x:c>
      <x:c r="V46" s="42" t="n">
        <x:f>ROUND(K46*1.45+5,0)</x:f>
        <x:v>20</x:v>
      </x:c>
      <x:c r="W46" s="42" t="n">
        <x:f>ROUND(L46*1.08,2)</x:f>
        <x:v>0.95</x:v>
      </x:c>
      <x:c r="X46" s="42" t="n">
        <x:f>ROUND(M46*T46,0)</x:f>
        <x:v>28</x:v>
      </x:c>
      <x:c r="Y46" s="42" t="n">
        <x:f>MAX(0.5,ROUND(N46*0.90,2))</x:f>
        <x:v>1.19</x:v>
      </x:c>
      <x:c r="Z46" s="42" t="str">
        <x:f>IF(I46="5웨이브 중간보스","중간보스 강화: 상태이상 저항 +25%, 기존 특수효과 강화","상태이상 저항 +15%, 기존 특수효과 강화")</x:f>
        <x:v>상태이상 저항 +15%, 기존 특수효과 강화</x:v>
      </x:c>
      <x:c r="AA46" s="42" t="n">
        <x:f>MAX(10,ROUND(Q46*2,0))</x:f>
        <x:v>22</x:v>
      </x:c>
      <x:c r="AB46" s="42" t="n">
        <x:f>ROUND(AA46*1.15,0)</x:f>
        <x:v>25</x:v>
      </x:c>
      <x:c r="AC46" s="42" t="str">
        <x:f>IF(I46="5웨이브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7">
      <x:c r="B47" s="6" t="s">
        <x:v>361</x:v>
      </x:c>
      <x:c r="C47" s="6" t="s">
        <x:v>239</x:v>
      </x:c>
      <x:c r="D47" s="6" t="s">
        <x:v>382</x:v>
      </x:c>
      <x:c r="E47" s="6" t="s">
        <x:v>383</x:v>
      </x:c>
      <x:c r="F47" s="6" t="s">
        <x:v>242</x:v>
      </x:c>
      <x:c r="G47" s="6" t="s">
        <x:v>384</x:v>
      </x:c>
      <x:c r="H47" s="6" t="s">
        <x:v>244</x:v>
      </x:c>
      <x:c r="I47" s="1"/>
      <x:c r="J47" s="1">
        <x:v>223</x:v>
      </x:c>
      <x:c r="K47" s="1">
        <x:v>6</x:v>
      </x:c>
      <x:c r="L47" s="1">
        <x:v>1.39</x:v>
      </x:c>
      <x:c r="M47" s="1">
        <x:v>18</x:v>
      </x:c>
      <x:c r="N47" s="1">
        <x:v>0.96</x:v>
      </x:c>
      <x:c r="O47" s="1" t="s">
        <x:v>52</x:v>
      </x:c>
      <x:c r="P47" s="1" t="s">
        <x:v>57</x:v>
      </x:c>
      <x:c r="Q47" s="1">
        <x:v>10</x:v>
      </x:c>
      <x:c r="R47" s="1">
        <x:v>20</x:v>
      </x:c>
      <x:c r="S47" s="1">
        <x:v>1.85</x:v>
      </x:c>
      <x:c r="T47" s="1">
        <x:v>1.45</x:v>
      </x:c>
      <x:c r="U47" s="42" t="n">
        <x:f>ROUND(J47*S47,0)</x:f>
        <x:v>413</x:v>
      </x:c>
      <x:c r="V47" s="42" t="n">
        <x:f>ROUND(K47*1.45+5,0)</x:f>
        <x:v>14</x:v>
      </x:c>
      <x:c r="W47" s="42" t="n">
        <x:f>ROUND(L47*1.08,2)</x:f>
        <x:v>1.5</x:v>
      </x:c>
      <x:c r="X47" s="42" t="n">
        <x:f>ROUND(M47*T47,0)</x:f>
        <x:v>26</x:v>
      </x:c>
      <x:c r="Y47" s="42" t="n">
        <x:f>MAX(0.5,ROUND(N47*0.90,2))</x:f>
        <x:v>0.86</x:v>
      </x:c>
      <x:c r="Z47" s="42" t="str">
        <x:f>IF(I47="5웨이브 중간보스","중간보스 강화: 상태이상 저항 +25%, 기존 특수효과 강화","상태이상 저항 +15%, 기존 특수효과 강화")</x:f>
        <x:v>상태이상 저항 +15%, 기존 특수효과 강화</x:v>
      </x:c>
      <x:c r="AA47" s="42" t="n">
        <x:f>MAX(10,ROUND(Q47*2,0))</x:f>
        <x:v>20</x:v>
      </x:c>
      <x:c r="AB47" s="42" t="n">
        <x:f>ROUND(AA47*1.15,0)</x:f>
        <x:v>23</x:v>
      </x:c>
      <x:c r="AC47" s="42" t="str">
        <x:f>IF(I47="5웨이브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8">
      <x:c r="B48" s="6" t="s">
        <x:v>361</x:v>
      </x:c>
      <x:c r="C48" s="6" t="s">
        <x:v>239</x:v>
      </x:c>
      <x:c r="D48" s="6" t="s">
        <x:v>385</x:v>
      </x:c>
      <x:c r="E48" s="6" t="s">
        <x:v>386</x:v>
      </x:c>
      <x:c r="F48" s="6" t="s">
        <x:v>260</x:v>
      </x:c>
      <x:c r="G48" s="6" t="s">
        <x:v>387</x:v>
      </x:c>
      <x:c r="H48" s="6" t="s">
        <x:v>388</x:v>
      </x:c>
      <x:c r="I48" s="1"/>
      <x:c r="J48" s="1">
        <x:v>480</x:v>
      </x:c>
      <x:c r="K48" s="1">
        <x:v>11</x:v>
      </x:c>
      <x:c r="L48" s="1">
        <x:v>0.76</x:v>
      </x:c>
      <x:c r="M48" s="1">
        <x:v>28</x:v>
      </x:c>
      <x:c r="N48" s="1">
        <x:v>1.38</x:v>
      </x:c>
      <x:c r="O48" s="1" t="s">
        <x:v>52</x:v>
      </x:c>
      <x:c r="P48" s="1" t="s">
        <x:v>57</x:v>
      </x:c>
      <x:c r="Q48" s="1">
        <x:v>19</x:v>
      </x:c>
      <x:c r="R48" s="1">
        <x:v>20</x:v>
      </x:c>
      <x:c r="S48" s="1">
        <x:v>1.85</x:v>
      </x:c>
      <x:c r="T48" s="1">
        <x:v>1.45</x:v>
      </x:c>
      <x:c r="U48" s="42" t="n">
        <x:f>ROUND(J48*S48,0)</x:f>
        <x:v>888</x:v>
      </x:c>
      <x:c r="V48" s="42" t="n">
        <x:f>ROUND(K48*1.45+5,0)</x:f>
        <x:v>21</x:v>
      </x:c>
      <x:c r="W48" s="42" t="n">
        <x:f>ROUND(L48*1.08,2)</x:f>
        <x:v>0.82</x:v>
      </x:c>
      <x:c r="X48" s="42" t="n">
        <x:f>ROUND(M48*T48,0)</x:f>
        <x:v>41</x:v>
      </x:c>
      <x:c r="Y48" s="42" t="n">
        <x:f>MAX(0.5,ROUND(N48*0.90,2))</x:f>
        <x:v>1.24</x:v>
      </x:c>
      <x:c r="Z48" s="42" t="str">
        <x:f>IF(I48="5웨이브 중간보스","중간보스 강화: 상태이상 저항 +25%, 기존 특수효과 강화","상태이상 저항 +15%, 기존 특수효과 강화")</x:f>
        <x:v>상태이상 저항 +15%, 기존 특수효과 강화</x:v>
      </x:c>
      <x:c r="AA48" s="42" t="n">
        <x:f>MAX(10,ROUND(Q48*2,0))</x:f>
        <x:v>38</x:v>
      </x:c>
      <x:c r="AB48" s="42" t="n">
        <x:f>ROUND(AA48*1.15,0)</x:f>
        <x:v>44</x:v>
      </x:c>
      <x:c r="AC48" s="42" t="str">
        <x:f>IF(I48="5웨이브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49">
      <x:c r="B49" s="6" t="s">
        <x:v>361</x:v>
      </x:c>
      <x:c r="C49" s="6" t="s">
        <x:v>239</x:v>
      </x:c>
      <x:c r="D49" s="6" t="s">
        <x:v>389</x:v>
      </x:c>
      <x:c r="E49" s="6" t="s">
        <x:v>390</x:v>
      </x:c>
      <x:c r="F49" s="6" t="s">
        <x:v>225</x:v>
      </x:c>
      <x:c r="G49" s="6" t="s">
        <x:v>391</x:v>
      </x:c>
      <x:c r="H49" s="6" t="s">
        <x:v>252</x:v>
      </x:c>
      <x:c r="I49" s="1"/>
      <x:c r="J49" s="1">
        <x:v>418</x:v>
      </x:c>
      <x:c r="K49" s="1">
        <x:v>18</x:v>
      </x:c>
      <x:c r="L49" s="1">
        <x:v>0.8</x:v>
      </x:c>
      <x:c r="M49" s="1">
        <x:v>25</x:v>
      </x:c>
      <x:c r="N49" s="1">
        <x:v>1.32</x:v>
      </x:c>
      <x:c r="O49" s="1" t="s">
        <x:v>52</x:v>
      </x:c>
      <x:c r="P49" s="1" t="s">
        <x:v>57</x:v>
      </x:c>
      <x:c r="Q49" s="1">
        <x:v>16</x:v>
      </x:c>
      <x:c r="R49" s="1">
        <x:v>20</x:v>
      </x:c>
      <x:c r="S49" s="1">
        <x:v>1.85</x:v>
      </x:c>
      <x:c r="T49" s="1">
        <x:v>1.45</x:v>
      </x:c>
      <x:c r="U49" s="42" t="n">
        <x:f>ROUND(J49*S49,0)</x:f>
        <x:v>773</x:v>
      </x:c>
      <x:c r="V49" s="42" t="n">
        <x:f>ROUND(K49*1.45+5,0)</x:f>
        <x:v>31</x:v>
      </x:c>
      <x:c r="W49" s="42" t="n">
        <x:f>ROUND(L49*1.08,2)</x:f>
        <x:v>0.86</x:v>
      </x:c>
      <x:c r="X49" s="42" t="n">
        <x:f>ROUND(M49*T49,0)</x:f>
        <x:v>36</x:v>
      </x:c>
      <x:c r="Y49" s="42" t="n">
        <x:f>MAX(0.5,ROUND(N49*0.90,2))</x:f>
        <x:v>1.19</x:v>
      </x:c>
      <x:c r="Z49" s="42" t="str">
        <x:f>IF(I49="5웨이브 중간보스","중간보스 강화: 상태이상 저항 +25%, 기존 특수효과 강화","상태이상 저항 +15%, 기존 특수효과 강화")</x:f>
        <x:v>상태이상 저항 +15%, 기존 특수효과 강화</x:v>
      </x:c>
      <x:c r="AA49" s="42" t="n">
        <x:f>MAX(10,ROUND(Q49*2,0))</x:f>
        <x:v>32</x:v>
      </x:c>
      <x:c r="AB49" s="42" t="n">
        <x:f>ROUND(AA49*1.15,0)</x:f>
        <x:v>37</x:v>
      </x:c>
      <x:c r="AC49" s="42" t="str">
        <x:f>IF(I49="5웨이브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0">
      <x:c r="B50" s="6" t="s">
        <x:v>361</x:v>
      </x:c>
      <x:c r="C50" s="6" t="s">
        <x:v>239</x:v>
      </x:c>
      <x:c r="D50" s="6" t="s">
        <x:v>392</x:v>
      </x:c>
      <x:c r="E50" s="6" t="s">
        <x:v>393</x:v>
      </x:c>
      <x:c r="F50" s="6" t="s">
        <x:v>206</x:v>
      </x:c>
      <x:c r="G50" s="6" t="s">
        <x:v>394</x:v>
      </x:c>
      <x:c r="H50" s="6" t="s">
        <x:v>256</x:v>
      </x:c>
      <x:c r="I50" s="1"/>
      <x:c r="J50" s="1">
        <x:v>242</x:v>
      </x:c>
      <x:c r="K50" s="1">
        <x:v>6</x:v>
      </x:c>
      <x:c r="L50" s="1">
        <x:v>1.25</x:v>
      </x:c>
      <x:c r="M50" s="1">
        <x:v>16</x:v>
      </x:c>
      <x:c r="N50" s="1">
        <x:v>1.02</x:v>
      </x:c>
      <x:c r="O50" s="1" t="s">
        <x:v>56</x:v>
      </x:c>
      <x:c r="P50" s="1" t="s">
        <x:v>257</x:v>
      </x:c>
      <x:c r="Q50" s="1">
        <x:v>10</x:v>
      </x:c>
      <x:c r="R50" s="1">
        <x:v>20</x:v>
      </x:c>
      <x:c r="S50" s="1">
        <x:v>1.85</x:v>
      </x:c>
      <x:c r="T50" s="1">
        <x:v>1.45</x:v>
      </x:c>
      <x:c r="U50" s="42" t="n">
        <x:f>ROUND(J50*S50,0)</x:f>
        <x:v>448</x:v>
      </x:c>
      <x:c r="V50" s="42" t="n">
        <x:f>ROUND(K50*1.45+5,0)</x:f>
        <x:v>14</x:v>
      </x:c>
      <x:c r="W50" s="42" t="n">
        <x:f>ROUND(L50*1.08,2)</x:f>
        <x:v>1.35</x:v>
      </x:c>
      <x:c r="X50" s="42" t="n">
        <x:f>ROUND(M50*T50,0)</x:f>
        <x:v>23</x:v>
      </x:c>
      <x:c r="Y50" s="42" t="n">
        <x:f>MAX(0.5,ROUND(N50*0.90,2))</x:f>
        <x:v>0.92</x:v>
      </x:c>
      <x:c r="Z50" s="42" t="str">
        <x:f>IF(I50="5웨이브 중간보스","중간보스 강화: 상태이상 저항 +25%, 기존 특수효과 강화","상태이상 저항 +15%, 기존 특수효과 강화")</x:f>
        <x:v>상태이상 저항 +15%, 기존 특수효과 강화</x:v>
      </x:c>
      <x:c r="AA50" s="42" t="n">
        <x:f>MAX(10,ROUND(Q50*2,0))</x:f>
        <x:v>20</x:v>
      </x:c>
      <x:c r="AB50" s="42" t="n">
        <x:f>ROUND(AA50*1.15,0)</x:f>
        <x:v>23</x:v>
      </x:c>
      <x:c r="AC50" s="42" t="str">
        <x:f>IF(I50="5웨이브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1">
      <x:c r="B51" s="6" t="s">
        <x:v>361</x:v>
      </x:c>
      <x:c r="C51" s="6" t="s">
        <x:v>239</x:v>
      </x:c>
      <x:c r="D51" s="6" t="s">
        <x:v>395</x:v>
      </x:c>
      <x:c r="E51" s="6" t="s">
        <x:v>396</x:v>
      </x:c>
      <x:c r="F51" s="6" t="s">
        <x:v>397</x:v>
      </x:c>
      <x:c r="G51" s="6" t="s">
        <x:v>398</x:v>
      </x:c>
      <x:c r="H51" s="6" t="s">
        <x:v>237</x:v>
      </x:c>
      <x:c r="I51" s="1"/>
      <x:c r="J51" s="1">
        <x:v>388</x:v>
      </x:c>
      <x:c r="K51" s="1">
        <x:v>14</x:v>
      </x:c>
      <x:c r="L51" s="1">
        <x:v>0.84</x:v>
      </x:c>
      <x:c r="M51" s="1">
        <x:v>41</x:v>
      </x:c>
      <x:c r="N51" s="1">
        <x:v>1.1399999999999999</x:v>
      </x:c>
      <x:c r="O51" s="1" t="s">
        <x:v>52</x:v>
      </x:c>
      <x:c r="P51" s="1" t="s">
        <x:v>263</x:v>
      </x:c>
      <x:c r="Q51" s="1">
        <x:v>15</x:v>
      </x:c>
      <x:c r="R51" s="1">
        <x:v>20</x:v>
      </x:c>
      <x:c r="S51" s="1">
        <x:v>1.85</x:v>
      </x:c>
      <x:c r="T51" s="1">
        <x:v>1.45</x:v>
      </x:c>
      <x:c r="U51" s="42" t="n">
        <x:f>ROUND(J51*S51,0)</x:f>
        <x:v>718</x:v>
      </x:c>
      <x:c r="V51" s="42" t="n">
        <x:f>ROUND(K51*1.45+5,0)</x:f>
        <x:v>25</x:v>
      </x:c>
      <x:c r="W51" s="42" t="n">
        <x:f>ROUND(L51*1.08,2)</x:f>
        <x:v>0.91</x:v>
      </x:c>
      <x:c r="X51" s="42" t="n">
        <x:f>ROUND(M51*T51,0)</x:f>
        <x:v>59</x:v>
      </x:c>
      <x:c r="Y51" s="42" t="n">
        <x:f>MAX(0.5,ROUND(N51*0.90,2))</x:f>
        <x:v>1.03</x:v>
      </x:c>
      <x:c r="Z51" s="42" t="str">
        <x:f>IF(I51="5웨이브 중간보스","중간보스 강화: 상태이상 저항 +25%, 기존 특수효과 강화","상태이상 저항 +15%, 기존 특수효과 강화")</x:f>
        <x:v>상태이상 저항 +15%, 기존 특수효과 강화</x:v>
      </x:c>
      <x:c r="AA51" s="42" t="n">
        <x:f>MAX(10,ROUND(Q51*2,0))</x:f>
        <x:v>30</x:v>
      </x:c>
      <x:c r="AB51" s="42" t="n">
        <x:f>ROUND(AA51*1.15,0)</x:f>
        <x:v>35</x:v>
      </x:c>
      <x:c r="AC51" s="42" t="str">
        <x:f>IF(I51="5웨이브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2" ht="33">
      <x:c r="B52" s="6" t="s">
        <x:v>361</x:v>
      </x:c>
      <x:c r="C52" s="6" t="s">
        <x:v>239</x:v>
      </x:c>
      <x:c r="D52" s="6" t="s">
        <x:v>399</x:v>
      </x:c>
      <x:c r="E52" s="6" t="s">
        <x:v>400</x:v>
      </x:c>
      <x:c r="F52" s="6" t="s">
        <x:v>401</x:v>
      </x:c>
      <x:c r="G52" s="6" t="s">
        <x:v>402</x:v>
      </x:c>
      <x:c r="H52" s="6" t="s">
        <x:v>237</x:v>
      </x:c>
      <x:c r="I52" s="1" t="s">
        <x:v>268</x:v>
      </x:c>
      <x:c r="J52" s="1">
        <x:v>6975</x:v>
      </x:c>
      <x:c r="K52" s="1">
        <x:v>44</x:v>
      </x:c>
      <x:c r="L52" s="1">
        <x:v>0.76</x:v>
      </x:c>
      <x:c r="M52" s="1">
        <x:v>106</x:v>
      </x:c>
      <x:c r="N52" s="1">
        <x:v>1.08</x:v>
      </x:c>
      <x:c r="O52" s="1" t="s">
        <x:v>52</x:v>
      </x:c>
      <x:c r="P52" s="1" t="s">
        <x:v>238</x:v>
      </x:c>
      <x:c r="Q52" s="1">
        <x:v>30</x:v>
      </x:c>
      <x:c r="R52" s="1">
        <x:v>20</x:v>
      </x:c>
      <x:c r="S52" s="1">
        <x:v>2.0499999999999998</x:v>
      </x:c>
      <x:c r="T52" s="1">
        <x:v>1.65</x:v>
      </x:c>
      <x:c r="U52" s="42" t="n">
        <x:f>ROUND(J52*S52,0)</x:f>
        <x:v>14299</x:v>
      </x:c>
      <x:c r="V52" s="42" t="n">
        <x:f>ROUND(K52*1.45+5,0)</x:f>
        <x:v>69</x:v>
      </x:c>
      <x:c r="W52" s="42" t="n">
        <x:f>ROUND(L52*1.08,2)</x:f>
        <x:v>0.82</x:v>
      </x:c>
      <x:c r="X52" s="42" t="n">
        <x:f>ROUND(M52*T52,0)</x:f>
        <x:v>175</x:v>
      </x:c>
      <x:c r="Y52" s="42" t="n">
        <x:f>MAX(0.5,ROUND(N52*0.90,2))</x:f>
        <x:v>0.97</x:v>
      </x:c>
      <x:c r="Z52" s="42" t="str">
        <x:f>IF(I52="5웨이브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52" s="42" t="n">
        <x:f>MAX(10,ROUND(Q52*2,0))</x:f>
        <x:v>60</x:v>
      </x:c>
      <x:c r="AB52" s="42" t="n">
        <x:f>ROUND(AA52*1.15,0)</x:f>
        <x:v>69</x:v>
      </x:c>
      <x:c r="AC52" s="42" t="str">
        <x:f>IF(I52="5웨이브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  <x:row r="53">
      <x:c r="B53" s="6" t="s">
        <x:v>403</x:v>
      </x:c>
      <x:c r="C53" s="6" t="s">
        <x:v>213</x:v>
      </x:c>
      <x:c r="D53" s="6" t="s">
        <x:v>404</x:v>
      </x:c>
      <x:c r="E53" s="6" t="s">
        <x:v>405</x:v>
      </x:c>
      <x:c r="F53" s="6" t="s">
        <x:v>406</x:v>
      </x:c>
      <x:c r="G53" s="6" t="s">
        <x:v>407</x:v>
      </x:c>
      <x:c r="H53" s="6" t="s">
        <x:v>408</x:v>
      </x:c>
      <x:c r="I53" s="1"/>
      <x:c r="J53" s="1">
        <x:v>353</x:v>
      </x:c>
      <x:c r="K53" s="1">
        <x:v>8</x:v>
      </x:c>
      <x:c r="L53" s="1">
        <x:v>1.1200000000000001</x:v>
      </x:c>
      <x:c r="M53" s="1">
        <x:v>24</x:v>
      </x:c>
      <x:c r="N53" s="1">
        <x:v>1.02</x:v>
      </x:c>
      <x:c r="O53" s="1" t="s">
        <x:v>52</x:v>
      </x:c>
      <x:c r="P53" s="1" t="s">
        <x:v>57</x:v>
      </x:c>
      <x:c r="Q53" s="1">
        <x:v>12</x:v>
      </x:c>
      <x:c r="R53" s="1">
        <x:v>21</x:v>
      </x:c>
      <x:c r="S53" s="1">
        <x:v>1.85</x:v>
      </x:c>
      <x:c r="T53" s="1">
        <x:v>1.45</x:v>
      </x:c>
      <x:c r="U53" s="42" t="n">
        <x:f>ROUND(J53*S53,0)</x:f>
        <x:v>653</x:v>
      </x:c>
      <x:c r="V53" s="42" t="n">
        <x:f>ROUND(K53*1.45+5,0)</x:f>
        <x:v>17</x:v>
      </x:c>
      <x:c r="W53" s="42" t="n">
        <x:f>ROUND(L53*1.08,2)</x:f>
        <x:v>1.21</x:v>
      </x:c>
      <x:c r="X53" s="42" t="n">
        <x:f>ROUND(M53*T53,0)</x:f>
        <x:v>35</x:v>
      </x:c>
      <x:c r="Y53" s="42" t="n">
        <x:f>MAX(0.5,ROUND(N53*0.90,2))</x:f>
        <x:v>0.92</x:v>
      </x:c>
      <x:c r="Z53" s="42" t="str">
        <x:f>IF(I53="5웨이브 중간보스","중간보스 강화: 상태이상 저항 +25%, 기존 특수효과 강화","상태이상 저항 +15%, 기존 특수효과 강화")</x:f>
        <x:v>상태이상 저항 +15%, 기존 특수효과 강화</x:v>
      </x:c>
      <x:c r="AA53" s="42" t="n">
        <x:f>MAX(10,ROUND(Q53*2,0))</x:f>
        <x:v>24</x:v>
      </x:c>
      <x:c r="AB53" s="42" t="n">
        <x:f>ROUND(AA53*1.15,0)</x:f>
        <x:v>28</x:v>
      </x:c>
      <x:c r="AC53" s="42" t="str">
        <x:f>IF(I53="5웨이브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4">
      <x:c r="B54" s="6" t="s">
        <x:v>403</x:v>
      </x:c>
      <x:c r="C54" s="6" t="s">
        <x:v>213</x:v>
      </x:c>
      <x:c r="D54" s="6" t="s">
        <x:v>409</x:v>
      </x:c>
      <x:c r="E54" s="6" t="s">
        <x:v>410</x:v>
      </x:c>
      <x:c r="F54" s="6" t="s">
        <x:v>367</x:v>
      </x:c>
      <x:c r="G54" s="6" t="s">
        <x:v>411</x:v>
      </x:c>
      <x:c r="H54" s="6" t="s">
        <x:v>412</x:v>
      </x:c>
      <x:c r="I54" s="1"/>
      <x:c r="J54" s="1">
        <x:v>554</x:v>
      </x:c>
      <x:c r="K54" s="1">
        <x:v>22</x:v>
      </x:c>
      <x:c r="L54" s="1">
        <x:v>0.86</x:v>
      </x:c>
      <x:c r="M54" s="1">
        <x:v>32</x:v>
      </x:c>
      <x:c r="N54" s="1">
        <x:v>1.32</x:v>
      </x:c>
      <x:c r="O54" s="1" t="s">
        <x:v>52</x:v>
      </x:c>
      <x:c r="P54" s="1" t="s">
        <x:v>57</x:v>
      </x:c>
      <x:c r="Q54" s="1">
        <x:v>19</x:v>
      </x:c>
      <x:c r="R54" s="1">
        <x:v>22</x:v>
      </x:c>
      <x:c r="S54" s="1">
        <x:v>1.85</x:v>
      </x:c>
      <x:c r="T54" s="1">
        <x:v>1.45</x:v>
      </x:c>
      <x:c r="U54" s="42" t="n">
        <x:f>ROUND(J54*S54,0)</x:f>
        <x:v>1025</x:v>
      </x:c>
      <x:c r="V54" s="42" t="n">
        <x:f>ROUND(K54*1.45+5,0)</x:f>
        <x:v>37</x:v>
      </x:c>
      <x:c r="W54" s="42" t="n">
        <x:f>ROUND(L54*1.08,2)</x:f>
        <x:v>0.93</x:v>
      </x:c>
      <x:c r="X54" s="42" t="n">
        <x:f>ROUND(M54*T54,0)</x:f>
        <x:v>46</x:v>
      </x:c>
      <x:c r="Y54" s="42" t="n">
        <x:f>MAX(0.5,ROUND(N54*0.90,2))</x:f>
        <x:v>1.19</x:v>
      </x:c>
      <x:c r="Z54" s="42" t="str">
        <x:f>IF(I54="5웨이브 중간보스","중간보스 강화: 상태이상 저항 +25%, 기존 특수효과 강화","상태이상 저항 +15%, 기존 특수효과 강화")</x:f>
        <x:v>상태이상 저항 +15%, 기존 특수효과 강화</x:v>
      </x:c>
      <x:c r="AA54" s="42" t="n">
        <x:f>MAX(10,ROUND(Q54*2,0))</x:f>
        <x:v>38</x:v>
      </x:c>
      <x:c r="AB54" s="42" t="n">
        <x:f>ROUND(AA54*1.15,0)</x:f>
        <x:v>44</x:v>
      </x:c>
      <x:c r="AC54" s="42" t="str">
        <x:f>IF(I54="5웨이브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5">
      <x:c r="B55" s="6" t="s">
        <x:v>403</x:v>
      </x:c>
      <x:c r="C55" s="6" t="s">
        <x:v>213</x:v>
      </x:c>
      <x:c r="D55" s="6" t="s">
        <x:v>413</x:v>
      </x:c>
      <x:c r="E55" s="6" t="s">
        <x:v>414</x:v>
      </x:c>
      <x:c r="F55" s="6" t="s">
        <x:v>235</x:v>
      </x:c>
      <x:c r="G55" s="6" t="s">
        <x:v>415</x:v>
      </x:c>
      <x:c r="H55" s="6" t="s">
        <x:v>237</x:v>
      </x:c>
      <x:c r="I55" s="1"/>
      <x:c r="J55" s="1">
        <x:v>430</x:v>
      </x:c>
      <x:c r="K55" s="1">
        <x:v>12</x:v>
      </x:c>
      <x:c r="L55" s="1">
        <x:v>0.95</x:v>
      </x:c>
      <x:c r="M55" s="1">
        <x:v>47</x:v>
      </x:c>
      <x:c r="N55" s="1">
        <x:v>1.08</x:v>
      </x:c>
      <x:c r="O55" s="1" t="s">
        <x:v>52</x:v>
      </x:c>
      <x:c r="P55" s="1" t="s">
        <x:v>238</x:v>
      </x:c>
      <x:c r="Q55" s="1">
        <x:v>15</x:v>
      </x:c>
      <x:c r="R55" s="1">
        <x:v>23</x:v>
      </x:c>
      <x:c r="S55" s="1">
        <x:v>1.85</x:v>
      </x:c>
      <x:c r="T55" s="1">
        <x:v>1.45</x:v>
      </x:c>
      <x:c r="U55" s="42" t="n">
        <x:f>ROUND(J55*S55,0)</x:f>
        <x:v>796</x:v>
      </x:c>
      <x:c r="V55" s="42" t="n">
        <x:f>ROUND(K55*1.45+5,0)</x:f>
        <x:v>22</x:v>
      </x:c>
      <x:c r="W55" s="42" t="n">
        <x:f>ROUND(L55*1.08,2)</x:f>
        <x:v>1.03</x:v>
      </x:c>
      <x:c r="X55" s="42" t="n">
        <x:f>ROUND(M55*T55,0)</x:f>
        <x:v>68</x:v>
      </x:c>
      <x:c r="Y55" s="42" t="n">
        <x:f>MAX(0.5,ROUND(N55*0.90,2))</x:f>
        <x:v>0.97</x:v>
      </x:c>
      <x:c r="Z55" s="42" t="str">
        <x:f>IF(I55="5웨이브 중간보스","중간보스 강화: 상태이상 저항 +25%, 기존 특수효과 강화","상태이상 저항 +15%, 기존 특수효과 강화")</x:f>
        <x:v>상태이상 저항 +15%, 기존 특수효과 강화</x:v>
      </x:c>
      <x:c r="AA55" s="42" t="n">
        <x:f>MAX(10,ROUND(Q55*2,0))</x:f>
        <x:v>30</x:v>
      </x:c>
      <x:c r="AB55" s="42" t="n">
        <x:f>ROUND(AA55*1.15,0)</x:f>
        <x:v>35</x:v>
      </x:c>
      <x:c r="AC55" s="42" t="str">
        <x:f>IF(I55="5웨이브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6" ht="33">
      <x:c r="B56" s="6" t="s">
        <x:v>403</x:v>
      </x:c>
      <x:c r="C56" s="6" t="s">
        <x:v>213</x:v>
      </x:c>
      <x:c r="D56" s="6" t="s">
        <x:v>416</x:v>
      </x:c>
      <x:c r="E56" s="6" t="s">
        <x:v>417</x:v>
      </x:c>
      <x:c r="F56" s="6" t="s">
        <x:v>418</x:v>
      </x:c>
      <x:c r="G56" s="6" t="s">
        <x:v>419</x:v>
      </x:c>
      <x:c r="H56" s="6" t="s">
        <x:v>287</x:v>
      </x:c>
      <x:c r="I56" s="1"/>
      <x:c r="J56" s="1">
        <x:v>410</x:v>
      </x:c>
      <x:c r="K56" s="1">
        <x:v>10</x:v>
      </x:c>
      <x:c r="L56" s="1">
        <x:v>1</x:v>
      </x:c>
      <x:c r="M56" s="1">
        <x:v>27</x:v>
      </x:c>
      <x:c r="N56" s="1">
        <x:v>1.2</x:v>
      </x:c>
      <x:c r="O56" s="1" t="s">
        <x:v>52</x:v>
      </x:c>
      <x:c r="P56" s="1" t="s">
        <x:v>288</x:v>
      </x:c>
      <x:c r="Q56" s="1">
        <x:v>14</x:v>
      </x:c>
      <x:c r="R56" s="1">
        <x:v>24</x:v>
      </x:c>
      <x:c r="S56" s="1">
        <x:v>1.85</x:v>
      </x:c>
      <x:c r="T56" s="1">
        <x:v>1.45</x:v>
      </x:c>
      <x:c r="U56" s="42" t="n">
        <x:f>ROUND(J56*S56,0)</x:f>
        <x:v>759</x:v>
      </x:c>
      <x:c r="V56" s="42" t="n">
        <x:f>ROUND(K56*1.45+5,0)</x:f>
        <x:v>20</x:v>
      </x:c>
      <x:c r="W56" s="42" t="n">
        <x:f>ROUND(L56*1.08,2)</x:f>
        <x:v>1.08</x:v>
      </x:c>
      <x:c r="X56" s="42" t="n">
        <x:f>ROUND(M56*T56,0)</x:f>
        <x:v>39</x:v>
      </x:c>
      <x:c r="Y56" s="42" t="n">
        <x:f>MAX(0.5,ROUND(N56*0.90,2))</x:f>
        <x:v>1.08</x:v>
      </x:c>
      <x:c r="Z56" s="42" t="str">
        <x:f>IF(I56="5웨이브 중간보스","중간보스 강화: 상태이상 저항 +25%, 기존 특수효과 강화","상태이상 저항 +15%, 기존 특수효과 강화")</x:f>
        <x:v>상태이상 저항 +15%, 기존 특수효과 강화</x:v>
      </x:c>
      <x:c r="AA56" s="42" t="n">
        <x:f>MAX(10,ROUND(Q56*2,0))</x:f>
        <x:v>28</x:v>
      </x:c>
      <x:c r="AB56" s="42" t="n">
        <x:f>ROUND(AA56*1.15,0)</x:f>
        <x:v>32</x:v>
      </x:c>
      <x:c r="AC56" s="42" t="str">
        <x:f>IF(I56="5웨이브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7" ht="33">
      <x:c r="B57" s="6" t="s">
        <x:v>403</x:v>
      </x:c>
      <x:c r="C57" s="6" t="s">
        <x:v>213</x:v>
      </x:c>
      <x:c r="D57" s="6" t="s">
        <x:v>420</x:v>
      </x:c>
      <x:c r="E57" s="6" t="s">
        <x:v>421</x:v>
      </x:c>
      <x:c r="F57" s="6" t="s">
        <x:v>422</x:v>
      </x:c>
      <x:c r="G57" s="6" t="s">
        <x:v>423</x:v>
      </x:c>
      <x:c r="H57" s="6" t="s">
        <x:v>424</x:v>
      </x:c>
      <x:c r="I57" s="1"/>
      <x:c r="J57" s="1">
        <x:v>361</x:v>
      </x:c>
      <x:c r="K57" s="1">
        <x:v>10</x:v>
      </x:c>
      <x:c r="L57" s="1">
        <x:v>1.05</x:v>
      </x:c>
      <x:c r="M57" s="1">
        <x:v>27</x:v>
      </x:c>
      <x:c r="N57" s="1">
        <x:v>1.08</x:v>
      </x:c>
      <x:c r="O57" s="1" t="s">
        <x:v>52</x:v>
      </x:c>
      <x:c r="P57" s="1" t="s">
        <x:v>57</x:v>
      </x:c>
      <x:c r="Q57" s="1">
        <x:v>12</x:v>
      </x:c>
      <x:c r="R57" s="1">
        <x:v>25</x:v>
      </x:c>
      <x:c r="S57" s="1">
        <x:v>1.85</x:v>
      </x:c>
      <x:c r="T57" s="1">
        <x:v>1.45</x:v>
      </x:c>
      <x:c r="U57" s="42" t="n">
        <x:f>ROUND(J57*S57,0)</x:f>
        <x:v>668</x:v>
      </x:c>
      <x:c r="V57" s="42" t="n">
        <x:f>ROUND(K57*1.45+5,0)</x:f>
        <x:v>20</x:v>
      </x:c>
      <x:c r="W57" s="42" t="n">
        <x:f>ROUND(L57*1.08,2)</x:f>
        <x:v>1.13</x:v>
      </x:c>
      <x:c r="X57" s="42" t="n">
        <x:f>ROUND(M57*T57,0)</x:f>
        <x:v>39</x:v>
      </x:c>
      <x:c r="Y57" s="42" t="n">
        <x:f>MAX(0.5,ROUND(N57*0.90,2))</x:f>
        <x:v>0.97</x:v>
      </x:c>
      <x:c r="Z57" s="42" t="str">
        <x:f>IF(I57="5웨이브 중간보스","중간보스 강화: 상태이상 저항 +25%, 기존 특수효과 강화","상태이상 저항 +15%, 기존 특수효과 강화")</x:f>
        <x:v>상태이상 저항 +15%, 기존 특수효과 강화</x:v>
      </x:c>
      <x:c r="AA57" s="42" t="n">
        <x:f>MAX(10,ROUND(Q57*2,0))</x:f>
        <x:v>24</x:v>
      </x:c>
      <x:c r="AB57" s="42" t="n">
        <x:f>ROUND(AA57*1.15,0)</x:f>
        <x:v>28</x:v>
      </x:c>
      <x:c r="AC57" s="42" t="str">
        <x:f>IF(I57="5웨이브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8">
      <x:c r="B58" s="6" t="s">
        <x:v>403</x:v>
      </x:c>
      <x:c r="C58" s="6" t="s">
        <x:v>239</x:v>
      </x:c>
      <x:c r="D58" s="6" t="s">
        <x:v>425</x:v>
      </x:c>
      <x:c r="E58" s="6" t="s">
        <x:v>426</x:v>
      </x:c>
      <x:c r="F58" s="6" t="s">
        <x:v>206</x:v>
      </x:c>
      <x:c r="G58" s="6" t="s">
        <x:v>427</x:v>
      </x:c>
      <x:c r="H58" s="6" t="s">
        <x:v>256</x:v>
      </x:c>
      <x:c r="I58" s="1"/>
      <x:c r="J58" s="1">
        <x:v>320</x:v>
      </x:c>
      <x:c r="K58" s="1">
        <x:v>8</x:v>
      </x:c>
      <x:c r="L58" s="1">
        <x:v>1.28</x:v>
      </x:c>
      <x:c r="M58" s="1">
        <x:v>20</x:v>
      </x:c>
      <x:c r="N58" s="1">
        <x:v>1.02</x:v>
      </x:c>
      <x:c r="O58" s="1" t="s">
        <x:v>56</x:v>
      </x:c>
      <x:c r="P58" s="1" t="s">
        <x:v>257</x:v>
      </x:c>
      <x:c r="Q58" s="1">
        <x:v>11</x:v>
      </x:c>
      <x:c r="R58" s="1">
        <x:v>25</x:v>
      </x:c>
      <x:c r="S58" s="1">
        <x:v>1.85</x:v>
      </x:c>
      <x:c r="T58" s="1">
        <x:v>1.45</x:v>
      </x:c>
      <x:c r="U58" s="42" t="n">
        <x:f>ROUND(J58*S58,0)</x:f>
        <x:v>592</x:v>
      </x:c>
      <x:c r="V58" s="42" t="n">
        <x:f>ROUND(K58*1.45+5,0)</x:f>
        <x:v>17</x:v>
      </x:c>
      <x:c r="W58" s="42" t="n">
        <x:f>ROUND(L58*1.08,2)</x:f>
        <x:v>1.38</x:v>
      </x:c>
      <x:c r="X58" s="42" t="n">
        <x:f>ROUND(M58*T58,0)</x:f>
        <x:v>29</x:v>
      </x:c>
      <x:c r="Y58" s="42" t="n">
        <x:f>MAX(0.5,ROUND(N58*0.90,2))</x:f>
        <x:v>0.92</x:v>
      </x:c>
      <x:c r="Z58" s="42" t="str">
        <x:f>IF(I58="5웨이브 중간보스","중간보스 강화: 상태이상 저항 +25%, 기존 특수효과 강화","상태이상 저항 +15%, 기존 특수효과 강화")</x:f>
        <x:v>상태이상 저항 +15%, 기존 특수효과 강화</x:v>
      </x:c>
      <x:c r="AA58" s="42" t="n">
        <x:f>MAX(10,ROUND(Q58*2,0))</x:f>
        <x:v>22</x:v>
      </x:c>
      <x:c r="AB58" s="42" t="n">
        <x:f>ROUND(AA58*1.15,0)</x:f>
        <x:v>25</x:v>
      </x:c>
      <x:c r="AC58" s="42" t="str">
        <x:f>IF(I58="5웨이브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59">
      <x:c r="B59" s="6" t="s">
        <x:v>403</x:v>
      </x:c>
      <x:c r="C59" s="6" t="s">
        <x:v>239</x:v>
      </x:c>
      <x:c r="D59" s="6" t="s">
        <x:v>428</x:v>
      </x:c>
      <x:c r="E59" s="6" t="s">
        <x:v>429</x:v>
      </x:c>
      <x:c r="F59" s="6" t="s">
        <x:v>430</x:v>
      </x:c>
      <x:c r="G59" s="6" t="s">
        <x:v>431</x:v>
      </x:c>
      <x:c r="H59" s="6" t="s">
        <x:v>303</x:v>
      </x:c>
      <x:c r="I59" s="1"/>
      <x:c r="J59" s="1">
        <x:v>410</x:v>
      </x:c>
      <x:c r="K59" s="1">
        <x:v>18</x:v>
      </x:c>
      <x:c r="L59" s="1">
        <x:v>1.02</x:v>
      </x:c>
      <x:c r="M59" s="1">
        <x:v>26</x:v>
      </x:c>
      <x:c r="N59" s="1">
        <x:v>1.2</x:v>
      </x:c>
      <x:c r="O59" s="1" t="s">
        <x:v>52</x:v>
      </x:c>
      <x:c r="P59" s="1" t="s">
        <x:v>304</x:v>
      </x:c>
      <x:c r="Q59" s="1">
        <x:v>14</x:v>
      </x:c>
      <x:c r="R59" s="1">
        <x:v>25</x:v>
      </x:c>
      <x:c r="S59" s="1">
        <x:v>1.85</x:v>
      </x:c>
      <x:c r="T59" s="1">
        <x:v>1.45</x:v>
      </x:c>
      <x:c r="U59" s="42" t="n">
        <x:f>ROUND(J59*S59,0)</x:f>
        <x:v>759</x:v>
      </x:c>
      <x:c r="V59" s="42" t="n">
        <x:f>ROUND(K59*1.45+5,0)</x:f>
        <x:v>31</x:v>
      </x:c>
      <x:c r="W59" s="42" t="n">
        <x:f>ROUND(L59*1.08,2)</x:f>
        <x:v>1.1</x:v>
      </x:c>
      <x:c r="X59" s="42" t="n">
        <x:f>ROUND(M59*T59,0)</x:f>
        <x:v>38</x:v>
      </x:c>
      <x:c r="Y59" s="42" t="n">
        <x:f>MAX(0.5,ROUND(N59*0.90,2))</x:f>
        <x:v>1.08</x:v>
      </x:c>
      <x:c r="Z59" s="42" t="str">
        <x:f>IF(I59="5웨이브 중간보스","중간보스 강화: 상태이상 저항 +25%, 기존 특수효과 강화","상태이상 저항 +15%, 기존 특수효과 강화")</x:f>
        <x:v>상태이상 저항 +15%, 기존 특수효과 강화</x:v>
      </x:c>
      <x:c r="AA59" s="42" t="n">
        <x:f>MAX(10,ROUND(Q59*2,0))</x:f>
        <x:v>28</x:v>
      </x:c>
      <x:c r="AB59" s="42" t="n">
        <x:f>ROUND(AA59*1.15,0)</x:f>
        <x:v>32</x:v>
      </x:c>
      <x:c r="AC59" s="42" t="str">
        <x:f>IF(I59="5웨이브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0">
      <x:c r="B60" s="6" t="s">
        <x:v>403</x:v>
      </x:c>
      <x:c r="C60" s="6" t="s">
        <x:v>239</x:v>
      </x:c>
      <x:c r="D60" s="6" t="s">
        <x:v>432</x:v>
      </x:c>
      <x:c r="E60" s="6" t="s">
        <x:v>433</x:v>
      </x:c>
      <x:c r="F60" s="6" t="s">
        <x:v>225</x:v>
      </x:c>
      <x:c r="G60" s="6" t="s">
        <x:v>434</x:v>
      </x:c>
      <x:c r="H60" s="6" t="s">
        <x:v>252</x:v>
      </x:c>
      <x:c r="I60" s="1"/>
      <x:c r="J60" s="1">
        <x:v>554</x:v>
      </x:c>
      <x:c r="K60" s="1">
        <x:v>20</x:v>
      </x:c>
      <x:c r="L60" s="1">
        <x:v>0.82</x:v>
      </x:c>
      <x:c r="M60" s="1">
        <x:v>31</x:v>
      </x:c>
      <x:c r="N60" s="1">
        <x:v>1.32</x:v>
      </x:c>
      <x:c r="O60" s="1" t="s">
        <x:v>52</x:v>
      </x:c>
      <x:c r="P60" s="1" t="s">
        <x:v>263</x:v>
      </x:c>
      <x:c r="Q60" s="1">
        <x:v>19</x:v>
      </x:c>
      <x:c r="R60" s="1">
        <x:v>25</x:v>
      </x:c>
      <x:c r="S60" s="1">
        <x:v>1.85</x:v>
      </x:c>
      <x:c r="T60" s="1">
        <x:v>1.45</x:v>
      </x:c>
      <x:c r="U60" s="42" t="n">
        <x:f>ROUND(J60*S60,0)</x:f>
        <x:v>1025</x:v>
      </x:c>
      <x:c r="V60" s="42" t="n">
        <x:f>ROUND(K60*1.45+5,0)</x:f>
        <x:v>34</x:v>
      </x:c>
      <x:c r="W60" s="42" t="n">
        <x:f>ROUND(L60*1.08,2)</x:f>
        <x:v>0.89</x:v>
      </x:c>
      <x:c r="X60" s="42" t="n">
        <x:f>ROUND(M60*T60,0)</x:f>
        <x:v>45</x:v>
      </x:c>
      <x:c r="Y60" s="42" t="n">
        <x:f>MAX(0.5,ROUND(N60*0.90,2))</x:f>
        <x:v>1.19</x:v>
      </x:c>
      <x:c r="Z60" s="42" t="str">
        <x:f>IF(I60="5웨이브 중간보스","중간보스 강화: 상태이상 저항 +25%, 기존 특수효과 강화","상태이상 저항 +15%, 기존 특수효과 강화")</x:f>
        <x:v>상태이상 저항 +15%, 기존 특수효과 강화</x:v>
      </x:c>
      <x:c r="AA60" s="42" t="n">
        <x:f>MAX(10,ROUND(Q60*2,0))</x:f>
        <x:v>38</x:v>
      </x:c>
      <x:c r="AB60" s="42" t="n">
        <x:f>ROUND(AA60*1.15,0)</x:f>
        <x:v>44</x:v>
      </x:c>
      <x:c r="AC60" s="42" t="str">
        <x:f>IF(I60="5웨이브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1">
      <x:c r="B61" s="6" t="s">
        <x:v>403</x:v>
      </x:c>
      <x:c r="C61" s="6" t="s">
        <x:v>239</x:v>
      </x:c>
      <x:c r="D61" s="6" t="s">
        <x:v>435</x:v>
      </x:c>
      <x:c r="E61" s="6" t="s">
        <x:v>436</x:v>
      </x:c>
      <x:c r="F61" s="6" t="s">
        <x:v>437</x:v>
      </x:c>
      <x:c r="G61" s="6" t="s">
        <x:v>438</x:v>
      </x:c>
      <x:c r="H61" s="6" t="s">
        <x:v>256</x:v>
      </x:c>
      <x:c r="I61" s="1"/>
      <x:c r="J61" s="1">
        <x:v>287</x:v>
      </x:c>
      <x:c r="K61" s="1">
        <x:v>8</x:v>
      </x:c>
      <x:c r="L61" s="1">
        <x:v>1.48</x:v>
      </x:c>
      <x:c r="M61" s="1">
        <x:v>19</x:v>
      </x:c>
      <x:c r="N61" s="1">
        <x:v>0.96</x:v>
      </x:c>
      <x:c r="O61" s="1" t="s">
        <x:v>56</x:v>
      </x:c>
      <x:c r="P61" s="1" t="s">
        <x:v>257</x:v>
      </x:c>
      <x:c r="Q61" s="1">
        <x:v>11</x:v>
      </x:c>
      <x:c r="R61" s="1">
        <x:v>25</x:v>
      </x:c>
      <x:c r="S61" s="1">
        <x:v>1.85</x:v>
      </x:c>
      <x:c r="T61" s="1">
        <x:v>1.45</x:v>
      </x:c>
      <x:c r="U61" s="42" t="n">
        <x:f>ROUND(J61*S61,0)</x:f>
        <x:v>531</x:v>
      </x:c>
      <x:c r="V61" s="42" t="n">
        <x:f>ROUND(K61*1.45+5,0)</x:f>
        <x:v>17</x:v>
      </x:c>
      <x:c r="W61" s="42" t="n">
        <x:f>ROUND(L61*1.08,2)</x:f>
        <x:v>1.6</x:v>
      </x:c>
      <x:c r="X61" s="42" t="n">
        <x:f>ROUND(M61*T61,0)</x:f>
        <x:v>28</x:v>
      </x:c>
      <x:c r="Y61" s="42" t="n">
        <x:f>MAX(0.5,ROUND(N61*0.90,2))</x:f>
        <x:v>0.86</x:v>
      </x:c>
      <x:c r="Z61" s="42" t="str">
        <x:f>IF(I61="5웨이브 중간보스","중간보스 강화: 상태이상 저항 +25%, 기존 특수효과 강화","상태이상 저항 +15%, 기존 특수효과 강화")</x:f>
        <x:v>상태이상 저항 +15%, 기존 특수효과 강화</x:v>
      </x:c>
      <x:c r="AA61" s="42" t="n">
        <x:f>MAX(10,ROUND(Q61*2,0))</x:f>
        <x:v>22</x:v>
      </x:c>
      <x:c r="AB61" s="42" t="n">
        <x:f>ROUND(AA61*1.15,0)</x:f>
        <x:v>25</x:v>
      </x:c>
      <x:c r="AC61" s="42" t="str">
        <x:f>IF(I61="5웨이브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2">
      <x:c r="B62" s="6" t="s">
        <x:v>403</x:v>
      </x:c>
      <x:c r="C62" s="6" t="s">
        <x:v>239</x:v>
      </x:c>
      <x:c r="D62" s="6" t="s">
        <x:v>439</x:v>
      </x:c>
      <x:c r="E62" s="6" t="s">
        <x:v>440</x:v>
      </x:c>
      <x:c r="F62" s="6" t="s">
        <x:v>260</x:v>
      </x:c>
      <x:c r="G62" s="6" t="s">
        <x:v>441</x:v>
      </x:c>
      <x:c r="H62" s="6" t="s">
        <x:v>262</x:v>
      </x:c>
      <x:c r="I62" s="1"/>
      <x:c r="J62" s="1">
        <x:v>636</x:v>
      </x:c>
      <x:c r="K62" s="1">
        <x:v>13</x:v>
      </x:c>
      <x:c r="L62" s="1">
        <x:v>0.78</x:v>
      </x:c>
      <x:c r="M62" s="1">
        <x:v>34</x:v>
      </x:c>
      <x:c r="N62" s="1">
        <x:v>1.38</x:v>
      </x:c>
      <x:c r="O62" s="1" t="s">
        <x:v>52</x:v>
      </x:c>
      <x:c r="P62" s="1" t="s">
        <x:v>263</x:v>
      </x:c>
      <x:c r="Q62" s="1">
        <x:v>22</x:v>
      </x:c>
      <x:c r="R62" s="1">
        <x:v>25</x:v>
      </x:c>
      <x:c r="S62" s="1">
        <x:v>1.85</x:v>
      </x:c>
      <x:c r="T62" s="1">
        <x:v>1.45</x:v>
      </x:c>
      <x:c r="U62" s="42" t="n">
        <x:f>ROUND(J62*S62,0)</x:f>
        <x:v>1177</x:v>
      </x:c>
      <x:c r="V62" s="42" t="n">
        <x:f>ROUND(K62*1.45+5,0)</x:f>
        <x:v>24</x:v>
      </x:c>
      <x:c r="W62" s="42" t="n">
        <x:f>ROUND(L62*1.08,2)</x:f>
        <x:v>0.84</x:v>
      </x:c>
      <x:c r="X62" s="42" t="n">
        <x:f>ROUND(M62*T62,0)</x:f>
        <x:v>49</x:v>
      </x:c>
      <x:c r="Y62" s="42" t="n">
        <x:f>MAX(0.5,ROUND(N62*0.90,2))</x:f>
        <x:v>1.24</x:v>
      </x:c>
      <x:c r="Z62" s="42" t="str">
        <x:f>IF(I62="5웨이브 중간보스","중간보스 강화: 상태이상 저항 +25%, 기존 특수효과 강화","상태이상 저항 +15%, 기존 특수효과 강화")</x:f>
        <x:v>상태이상 저항 +15%, 기존 특수효과 강화</x:v>
      </x:c>
      <x:c r="AA62" s="42" t="n">
        <x:f>MAX(10,ROUND(Q62*2,0))</x:f>
        <x:v>44</x:v>
      </x:c>
      <x:c r="AB62" s="42" t="n">
        <x:f>ROUND(AA62*1.15,0)</x:f>
        <x:v>51</x:v>
      </x:c>
      <x:c r="AC62" s="42" t="str">
        <x:f>IF(I62="5웨이브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3" ht="33">
      <x:c r="B63" s="6" t="s">
        <x:v>403</x:v>
      </x:c>
      <x:c r="C63" s="6" t="s">
        <x:v>239</x:v>
      </x:c>
      <x:c r="D63" s="6" t="s">
        <x:v>442</x:v>
      </x:c>
      <x:c r="E63" s="6" t="s">
        <x:v>443</x:v>
      </x:c>
      <x:c r="F63" s="6" t="s">
        <x:v>444</x:v>
      </x:c>
      <x:c r="G63" s="6" t="s">
        <x:v>445</x:v>
      </x:c>
      <x:c r="H63" s="6" t="s">
        <x:v>262</x:v>
      </x:c>
      <x:c r="I63" s="1" t="s">
        <x:v>268</x:v>
      </x:c>
      <x:c r="J63" s="1">
        <x:v>9594</x:v>
      </x:c>
      <x:c r="K63" s="1">
        <x:v>54</x:v>
      </x:c>
      <x:c r="L63" s="1">
        <x:v>0.72</x:v>
      </x:c>
      <x:c r="M63" s="1">
        <x:v>132</x:v>
      </x:c>
      <x:c r="N63" s="1">
        <x:v>1.08</x:v>
      </x:c>
      <x:c r="O63" s="1" t="s">
        <x:v>52</x:v>
      </x:c>
      <x:c r="P63" s="1" t="s">
        <x:v>263</x:v>
      </x:c>
      <x:c r="Q63" s="1">
        <x:v>35</x:v>
      </x:c>
      <x:c r="R63" s="1">
        <x:v>25</x:v>
      </x:c>
      <x:c r="S63" s="1">
        <x:v>2.0499999999999998</x:v>
      </x:c>
      <x:c r="T63" s="1">
        <x:v>1.65</x:v>
      </x:c>
      <x:c r="U63" s="42" t="n">
        <x:f>ROUND(J63*S63,0)</x:f>
        <x:v>19668</x:v>
      </x:c>
      <x:c r="V63" s="42" t="n">
        <x:f>ROUND(K63*1.45+5,0)</x:f>
        <x:v>83</x:v>
      </x:c>
      <x:c r="W63" s="42" t="n">
        <x:f>ROUND(L63*1.08,2)</x:f>
        <x:v>0.78</x:v>
      </x:c>
      <x:c r="X63" s="42" t="n">
        <x:f>ROUND(M63*T63,0)</x:f>
        <x:v>218</x:v>
      </x:c>
      <x:c r="Y63" s="42" t="n">
        <x:f>MAX(0.5,ROUND(N63*0.90,2))</x:f>
        <x:v>0.97</x:v>
      </x:c>
      <x:c r="Z63" s="42" t="str">
        <x:f>IF(I63="5웨이브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63" s="42" t="n">
        <x:f>MAX(10,ROUND(Q63*2,0))</x:f>
        <x:v>70</x:v>
      </x:c>
      <x:c r="AB63" s="42" t="n">
        <x:f>ROUND(AA63*1.15,0)</x:f>
        <x:v>81</x:v>
      </x:c>
      <x:c r="AC63" s="42" t="str">
        <x:f>IF(I63="5웨이브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  <x:row r="64">
      <x:c r="B64" s="6" t="s">
        <x:v>446</x:v>
      </x:c>
      <x:c r="C64" s="6" t="s">
        <x:v>213</x:v>
      </x:c>
      <x:c r="D64" s="6" t="s">
        <x:v>447</x:v>
      </x:c>
      <x:c r="E64" s="6" t="s">
        <x:v>448</x:v>
      </x:c>
      <x:c r="F64" s="6" t="s">
        <x:v>449</x:v>
      </x:c>
      <x:c r="G64" s="6" t="s">
        <x:v>450</x:v>
      </x:c>
      <x:c r="H64" s="6" t="s">
        <x:v>412</x:v>
      </x:c>
      <x:c r="I64" s="1"/>
      <x:c r="J64" s="1">
        <x:v>567</x:v>
      </x:c>
      <x:c r="K64" s="1">
        <x:v>14</x:v>
      </x:c>
      <x:c r="L64" s="1">
        <x:v>1.02</x:v>
      </x:c>
      <x:c r="M64" s="1">
        <x:v>33</x:v>
      </x:c>
      <x:c r="N64" s="1">
        <x:v>1.2</x:v>
      </x:c>
      <x:c r="O64" s="1" t="s">
        <x:v>52</x:v>
      </x:c>
      <x:c r="P64" s="1" t="s">
        <x:v>57</x:v>
      </x:c>
      <x:c r="Q64" s="1">
        <x:v>18</x:v>
      </x:c>
      <x:c r="R64" s="1">
        <x:v>26</x:v>
      </x:c>
      <x:c r="S64" s="1">
        <x:v>1.85</x:v>
      </x:c>
      <x:c r="T64" s="1">
        <x:v>1.45</x:v>
      </x:c>
      <x:c r="U64" s="42" t="n">
        <x:f>ROUND(J64*S64,0)</x:f>
        <x:v>1049</x:v>
      </x:c>
      <x:c r="V64" s="42" t="n">
        <x:f>ROUND(K64*1.45+5,0)</x:f>
        <x:v>25</x:v>
      </x:c>
      <x:c r="W64" s="42" t="n">
        <x:f>ROUND(L64*1.08,2)</x:f>
        <x:v>1.1</x:v>
      </x:c>
      <x:c r="X64" s="42" t="n">
        <x:f>ROUND(M64*T64,0)</x:f>
        <x:v>48</x:v>
      </x:c>
      <x:c r="Y64" s="42" t="n">
        <x:f>MAX(0.5,ROUND(N64*0.90,2))</x:f>
        <x:v>1.08</x:v>
      </x:c>
      <x:c r="Z64" s="42" t="str">
        <x:f>IF(I64="5웨이브 중간보스","중간보스 강화: 상태이상 저항 +25%, 기존 특수효과 강화","상태이상 저항 +15%, 기존 특수효과 강화")</x:f>
        <x:v>상태이상 저항 +15%, 기존 특수효과 강화</x:v>
      </x:c>
      <x:c r="AA64" s="42" t="n">
        <x:f>MAX(10,ROUND(Q64*2,0))</x:f>
        <x:v>36</x:v>
      </x:c>
      <x:c r="AB64" s="42" t="n">
        <x:f>ROUND(AA64*1.15,0)</x:f>
        <x:v>41</x:v>
      </x:c>
      <x:c r="AC64" s="42" t="str">
        <x:f>IF(I64="5웨이브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5">
      <x:c r="B65" s="6" t="s">
        <x:v>446</x:v>
      </x:c>
      <x:c r="C65" s="6" t="s">
        <x:v>213</x:v>
      </x:c>
      <x:c r="D65" s="6" t="s">
        <x:v>451</x:v>
      </x:c>
      <x:c r="E65" s="6" t="s">
        <x:v>452</x:v>
      </x:c>
      <x:c r="F65" s="6" t="s">
        <x:v>453</x:v>
      </x:c>
      <x:c r="G65" s="6" t="s">
        <x:v>454</x:v>
      </x:c>
      <x:c r="H65" s="6" t="s">
        <x:v>455</x:v>
      </x:c>
      <x:c r="I65" s="1"/>
      <x:c r="J65" s="1">
        <x:v>454</x:v>
      </x:c>
      <x:c r="K65" s="1">
        <x:v>12</x:v>
      </x:c>
      <x:c r="L65" s="1">
        <x:v>1.02</x:v>
      </x:c>
      <x:c r="M65" s="1">
        <x:v>35</x:v>
      </x:c>
      <x:c r="N65" s="1">
        <x:v>1.44</x:v>
      </x:c>
      <x:c r="O65" s="1" t="s">
        <x:v>52</x:v>
      </x:c>
      <x:c r="P65" s="1" t="s">
        <x:v>57</x:v>
      </x:c>
      <x:c r="Q65" s="1">
        <x:v>14</x:v>
      </x:c>
      <x:c r="R65" s="1">
        <x:v>27</x:v>
      </x:c>
      <x:c r="S65" s="1">
        <x:v>1.85</x:v>
      </x:c>
      <x:c r="T65" s="1">
        <x:v>1.45</x:v>
      </x:c>
      <x:c r="U65" s="42" t="n">
        <x:f>ROUND(J65*S65,0)</x:f>
        <x:v>840</x:v>
      </x:c>
      <x:c r="V65" s="42" t="n">
        <x:f>ROUND(K65*1.45+5,0)</x:f>
        <x:v>22</x:v>
      </x:c>
      <x:c r="W65" s="42" t="n">
        <x:f>ROUND(L65*1.08,2)</x:f>
        <x:v>1.1</x:v>
      </x:c>
      <x:c r="X65" s="42" t="n">
        <x:f>ROUND(M65*T65,0)</x:f>
        <x:v>51</x:v>
      </x:c>
      <x:c r="Y65" s="42" t="n">
        <x:f>MAX(0.5,ROUND(N65*0.90,2))</x:f>
        <x:v>1.3</x:v>
      </x:c>
      <x:c r="Z65" s="42" t="str">
        <x:f>IF(I65="5웨이브 중간보스","중간보스 강화: 상태이상 저항 +25%, 기존 특수효과 강화","상태이상 저항 +15%, 기존 특수효과 강화")</x:f>
        <x:v>상태이상 저항 +15%, 기존 특수효과 강화</x:v>
      </x:c>
      <x:c r="AA65" s="42" t="n">
        <x:f>MAX(10,ROUND(Q65*2,0))</x:f>
        <x:v>28</x:v>
      </x:c>
      <x:c r="AB65" s="42" t="n">
        <x:f>ROUND(AA65*1.15,0)</x:f>
        <x:v>32</x:v>
      </x:c>
      <x:c r="AC65" s="42" t="str">
        <x:f>IF(I65="5웨이브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6">
      <x:c r="B66" s="6" t="s">
        <x:v>446</x:v>
      </x:c>
      <x:c r="C66" s="6" t="s">
        <x:v>213</x:v>
      </x:c>
      <x:c r="D66" s="6" t="s">
        <x:v>456</x:v>
      </x:c>
      <x:c r="E66" s="6" t="s">
        <x:v>457</x:v>
      </x:c>
      <x:c r="F66" s="6" t="s">
        <x:v>458</x:v>
      </x:c>
      <x:c r="G66" s="6" t="s">
        <x:v>459</x:v>
      </x:c>
      <x:c r="H66" s="6" t="s">
        <x:v>460</x:v>
      </x:c>
      <x:c r="I66" s="1"/>
      <x:c r="J66" s="1">
        <x:v>475</x:v>
      </x:c>
      <x:c r="K66" s="1">
        <x:v>13</x:v>
      </x:c>
      <x:c r="L66" s="1">
        <x:v>1.02</x:v>
      </x:c>
      <x:c r="M66" s="1">
        <x:v>36</x:v>
      </x:c>
      <x:c r="N66" s="1">
        <x:v>1.38</x:v>
      </x:c>
      <x:c r="O66" s="1" t="s">
        <x:v>52</x:v>
      </x:c>
      <x:c r="P66" s="1" t="s">
        <x:v>57</x:v>
      </x:c>
      <x:c r="Q66" s="1">
        <x:v>15</x:v>
      </x:c>
      <x:c r="R66" s="1">
        <x:v>28</x:v>
      </x:c>
      <x:c r="S66" s="1">
        <x:v>1.85</x:v>
      </x:c>
      <x:c r="T66" s="1">
        <x:v>1.45</x:v>
      </x:c>
      <x:c r="U66" s="42" t="n">
        <x:f>ROUND(J66*S66,0)</x:f>
        <x:v>879</x:v>
      </x:c>
      <x:c r="V66" s="42" t="n">
        <x:f>ROUND(K66*1.45+5,0)</x:f>
        <x:v>24</x:v>
      </x:c>
      <x:c r="W66" s="42" t="n">
        <x:f>ROUND(L66*1.08,2)</x:f>
        <x:v>1.1</x:v>
      </x:c>
      <x:c r="X66" s="42" t="n">
        <x:f>ROUND(M66*T66,0)</x:f>
        <x:v>52</x:v>
      </x:c>
      <x:c r="Y66" s="42" t="n">
        <x:f>MAX(0.5,ROUND(N66*0.90,2))</x:f>
        <x:v>1.24</x:v>
      </x:c>
      <x:c r="Z66" s="42" t="str">
        <x:f>IF(I66="5웨이브 중간보스","중간보스 강화: 상태이상 저항 +25%, 기존 특수효과 강화","상태이상 저항 +15%, 기존 특수효과 강화")</x:f>
        <x:v>상태이상 저항 +15%, 기존 특수효과 강화</x:v>
      </x:c>
      <x:c r="AA66" s="42" t="n">
        <x:f>MAX(10,ROUND(Q66*2,0))</x:f>
        <x:v>30</x:v>
      </x:c>
      <x:c r="AB66" s="42" t="n">
        <x:f>ROUND(AA66*1.15,0)</x:f>
        <x:v>35</x:v>
      </x:c>
      <x:c r="AC66" s="42" t="str">
        <x:f>IF(I66="5웨이브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7" ht="33">
      <x:c r="B67" s="6" t="s">
        <x:v>446</x:v>
      </x:c>
      <x:c r="C67" s="6" t="s">
        <x:v>213</x:v>
      </x:c>
      <x:c r="D67" s="6" t="s">
        <x:v>461</x:v>
      </x:c>
      <x:c r="E67" s="6" t="s">
        <x:v>462</x:v>
      </x:c>
      <x:c r="F67" s="6" t="s">
        <x:v>5</x:v>
      </x:c>
      <x:c r="G67" s="6" t="s">
        <x:v>463</x:v>
      </x:c>
      <x:c r="H67" s="6" t="s">
        <x:v>232</x:v>
      </x:c>
      <x:c r="I67" s="1"/>
      <x:c r="J67" s="1">
        <x:v>513</x:v>
      </x:c>
      <x:c r="K67" s="1">
        <x:v>13</x:v>
      </x:c>
      <x:c r="L67" s="1">
        <x:v>1</x:v>
      </x:c>
      <x:c r="M67" s="1">
        <x:v>38</x:v>
      </x:c>
      <x:c r="N67" s="1">
        <x:v>1.32</x:v>
      </x:c>
      <x:c r="O67" s="1" t="s">
        <x:v>52</x:v>
      </x:c>
      <x:c r="P67" s="1" t="s">
        <x:v>333</x:v>
      </x:c>
      <x:c r="Q67" s="1">
        <x:v>16</x:v>
      </x:c>
      <x:c r="R67" s="1">
        <x:v>29</x:v>
      </x:c>
      <x:c r="S67" s="1">
        <x:v>1.85</x:v>
      </x:c>
      <x:c r="T67" s="1">
        <x:v>1.45</x:v>
      </x:c>
      <x:c r="U67" s="42" t="n">
        <x:f>ROUND(J67*S67,0)</x:f>
        <x:v>949</x:v>
      </x:c>
      <x:c r="V67" s="42" t="n">
        <x:f>ROUND(K67*1.45+5,0)</x:f>
        <x:v>24</x:v>
      </x:c>
      <x:c r="W67" s="42" t="n">
        <x:f>ROUND(L67*1.08,2)</x:f>
        <x:v>1.08</x:v>
      </x:c>
      <x:c r="X67" s="42" t="n">
        <x:f>ROUND(M67*T67,0)</x:f>
        <x:v>55</x:v>
      </x:c>
      <x:c r="Y67" s="42" t="n">
        <x:f>MAX(0.5,ROUND(N67*0.90,2))</x:f>
        <x:v>1.19</x:v>
      </x:c>
      <x:c r="Z67" s="42" t="str">
        <x:f>IF(I67="5웨이브 중간보스","중간보스 강화: 상태이상 저항 +25%, 기존 특수효과 강화","상태이상 저항 +15%, 기존 특수효과 강화")</x:f>
        <x:v>상태이상 저항 +15%, 기존 특수효과 강화</x:v>
      </x:c>
      <x:c r="AA67" s="42" t="n">
        <x:f>MAX(10,ROUND(Q67*2,0))</x:f>
        <x:v>32</x:v>
      </x:c>
      <x:c r="AB67" s="42" t="n">
        <x:f>ROUND(AA67*1.15,0)</x:f>
        <x:v>37</x:v>
      </x:c>
      <x:c r="AC67" s="42" t="str">
        <x:f>IF(I67="5웨이브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8">
      <x:c r="B68" s="6" t="s">
        <x:v>446</x:v>
      </x:c>
      <x:c r="C68" s="6" t="s">
        <x:v>213</x:v>
      </x:c>
      <x:c r="D68" s="6" t="s">
        <x:v>464</x:v>
      </x:c>
      <x:c r="E68" s="6" t="s">
        <x:v>465</x:v>
      </x:c>
      <x:c r="F68" s="6" t="s">
        <x:v>225</x:v>
      </x:c>
      <x:c r="G68" s="6" t="s">
        <x:v>466</x:v>
      </x:c>
      <x:c r="H68" s="6" t="s">
        <x:v>467</x:v>
      </x:c>
      <x:c r="I68" s="1"/>
      <x:c r="J68" s="1">
        <x:v>729</x:v>
      </x:c>
      <x:c r="K68" s="1">
        <x:v>22</x:v>
      </x:c>
      <x:c r="L68" s="1">
        <x:v>0.84</x:v>
      </x:c>
      <x:c r="M68" s="1">
        <x:v>38</x:v>
      </x:c>
      <x:c r="N68" s="1">
        <x:v>1.32</x:v>
      </x:c>
      <x:c r="O68" s="1" t="s">
        <x:v>52</x:v>
      </x:c>
      <x:c r="P68" s="1" t="s">
        <x:v>57</x:v>
      </x:c>
      <x:c r="Q68" s="1">
        <x:v>23</x:v>
      </x:c>
      <x:c r="R68" s="1">
        <x:v>30</x:v>
      </x:c>
      <x:c r="S68" s="1">
        <x:v>1.85</x:v>
      </x:c>
      <x:c r="T68" s="1">
        <x:v>1.45</x:v>
      </x:c>
      <x:c r="U68" s="42" t="n">
        <x:f>ROUND(J68*S68,0)</x:f>
        <x:v>1349</x:v>
      </x:c>
      <x:c r="V68" s="42" t="n">
        <x:f>ROUND(K68*1.45+5,0)</x:f>
        <x:v>37</x:v>
      </x:c>
      <x:c r="W68" s="42" t="n">
        <x:f>ROUND(L68*1.08,2)</x:f>
        <x:v>0.91</x:v>
      </x:c>
      <x:c r="X68" s="42" t="n">
        <x:f>ROUND(M68*T68,0)</x:f>
        <x:v>55</x:v>
      </x:c>
      <x:c r="Y68" s="42" t="n">
        <x:f>MAX(0.5,ROUND(N68*0.90,2))</x:f>
        <x:v>1.19</x:v>
      </x:c>
      <x:c r="Z68" s="42" t="str">
        <x:f>IF(I68="5웨이브 중간보스","중간보스 강화: 상태이상 저항 +25%, 기존 특수효과 강화","상태이상 저항 +15%, 기존 특수효과 강화")</x:f>
        <x:v>상태이상 저항 +15%, 기존 특수효과 강화</x:v>
      </x:c>
      <x:c r="AA68" s="42" t="n">
        <x:f>MAX(10,ROUND(Q68*2,0))</x:f>
        <x:v>46</x:v>
      </x:c>
      <x:c r="AB68" s="42" t="n">
        <x:f>ROUND(AA68*1.15,0)</x:f>
        <x:v>53</x:v>
      </x:c>
      <x:c r="AC68" s="42" t="str">
        <x:f>IF(I68="5웨이브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69">
      <x:c r="B69" s="6" t="s">
        <x:v>446</x:v>
      </x:c>
      <x:c r="C69" s="6" t="s">
        <x:v>239</x:v>
      </x:c>
      <x:c r="D69" s="6" t="s">
        <x:v>468</x:v>
      </x:c>
      <x:c r="E69" s="6" t="s">
        <x:v>469</x:v>
      </x:c>
      <x:c r="F69" s="6" t="s">
        <x:v>470</x:v>
      </x:c>
      <x:c r="G69" s="6" t="s">
        <x:v>471</x:v>
      </x:c>
      <x:c r="H69" s="6" t="s">
        <x:v>472</x:v>
      </x:c>
      <x:c r="I69" s="1"/>
      <x:c r="J69" s="1">
        <x:v>400</x:v>
      </x:c>
      <x:c r="K69" s="1">
        <x:v>10</x:v>
      </x:c>
      <x:c r="L69" s="1">
        <x:v>1.43</x:v>
      </x:c>
      <x:c r="M69" s="1">
        <x:v>41</x:v>
      </x:c>
      <x:c r="N69" s="1">
        <x:v>0.9</x:v>
      </x:c>
      <x:c r="O69" s="1" t="s">
        <x:v>52</x:v>
      </x:c>
      <x:c r="P69" s="1" t="s">
        <x:v>333</x:v>
      </x:c>
      <x:c r="Q69" s="1">
        <x:v>14</x:v>
      </x:c>
      <x:c r="R69" s="1">
        <x:v>30</x:v>
      </x:c>
      <x:c r="S69" s="1">
        <x:v>1.85</x:v>
      </x:c>
      <x:c r="T69" s="1">
        <x:v>1.45</x:v>
      </x:c>
      <x:c r="U69" s="42" t="n">
        <x:f>ROUND(J69*S69,0)</x:f>
        <x:v>740</x:v>
      </x:c>
      <x:c r="V69" s="42" t="n">
        <x:f>ROUND(K69*1.45+5,0)</x:f>
        <x:v>20</x:v>
      </x:c>
      <x:c r="W69" s="42" t="n">
        <x:f>ROUND(L69*1.08,2)</x:f>
        <x:v>1.54</x:v>
      </x:c>
      <x:c r="X69" s="42" t="n">
        <x:f>ROUND(M69*T69,0)</x:f>
        <x:v>59</x:v>
      </x:c>
      <x:c r="Y69" s="42" t="n">
        <x:f>MAX(0.5,ROUND(N69*0.90,2))</x:f>
        <x:v>0.81</x:v>
      </x:c>
      <x:c r="Z69" s="42" t="str">
        <x:f>IF(I69="5웨이브 중간보스","중간보스 강화: 상태이상 저항 +25%, 기존 특수효과 강화","상태이상 저항 +15%, 기존 특수효과 강화")</x:f>
        <x:v>상태이상 저항 +15%, 기존 특수효과 강화</x:v>
      </x:c>
      <x:c r="AA69" s="42" t="n">
        <x:f>MAX(10,ROUND(Q69*2,0))</x:f>
        <x:v>28</x:v>
      </x:c>
      <x:c r="AB69" s="42" t="n">
        <x:f>ROUND(AA69*1.15,0)</x:f>
        <x:v>32</x:v>
      </x:c>
      <x:c r="AC69" s="42" t="str">
        <x:f>IF(I69="5웨이브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70">
      <x:c r="B70" s="6" t="s">
        <x:v>446</x:v>
      </x:c>
      <x:c r="C70" s="6" t="s">
        <x:v>239</x:v>
      </x:c>
      <x:c r="D70" s="6" t="s">
        <x:v>473</x:v>
      </x:c>
      <x:c r="E70" s="6" t="s">
        <x:v>474</x:v>
      </x:c>
      <x:c r="F70" s="6" t="s">
        <x:v>260</x:v>
      </x:c>
      <x:c r="G70" s="6" t="s">
        <x:v>475</x:v>
      </x:c>
      <x:c r="H70" s="6" t="s">
        <x:v>262</x:v>
      </x:c>
      <x:c r="I70" s="1"/>
      <x:c r="J70" s="1">
        <x:v>837</x:v>
      </x:c>
      <x:c r="K70" s="1">
        <x:v>15</x:v>
      </x:c>
      <x:c r="L70" s="1">
        <x:v>0.8</x:v>
      </x:c>
      <x:c r="M70" s="1">
        <x:v>41</x:v>
      </x:c>
      <x:c r="N70" s="1">
        <x:v>1.38</x:v>
      </x:c>
      <x:c r="O70" s="1" t="s">
        <x:v>52</x:v>
      </x:c>
      <x:c r="P70" s="1" t="s">
        <x:v>263</x:v>
      </x:c>
      <x:c r="Q70" s="1">
        <x:v>26</x:v>
      </x:c>
      <x:c r="R70" s="1">
        <x:v>30</x:v>
      </x:c>
      <x:c r="S70" s="1">
        <x:v>1.85</x:v>
      </x:c>
      <x:c r="T70" s="1">
        <x:v>1.45</x:v>
      </x:c>
      <x:c r="U70" s="42" t="n">
        <x:f>ROUND(J70*S70,0)</x:f>
        <x:v>1548</x:v>
      </x:c>
      <x:c r="V70" s="42" t="n">
        <x:f>ROUND(K70*1.45+5,0)</x:f>
        <x:v>27</x:v>
      </x:c>
      <x:c r="W70" s="42" t="n">
        <x:f>ROUND(L70*1.08,2)</x:f>
        <x:v>0.86</x:v>
      </x:c>
      <x:c r="X70" s="42" t="n">
        <x:f>ROUND(M70*T70,0)</x:f>
        <x:v>59</x:v>
      </x:c>
      <x:c r="Y70" s="42" t="n">
        <x:f>MAX(0.5,ROUND(N70*0.90,2))</x:f>
        <x:v>1.24</x:v>
      </x:c>
      <x:c r="Z70" s="42" t="str">
        <x:f>IF(I70="5웨이브 중간보스","중간보스 강화: 상태이상 저항 +25%, 기존 특수효과 강화","상태이상 저항 +15%, 기존 특수효과 강화")</x:f>
        <x:v>상태이상 저항 +15%, 기존 특수효과 강화</x:v>
      </x:c>
      <x:c r="AA70" s="42" t="n">
        <x:f>MAX(10,ROUND(Q70*2,0))</x:f>
        <x:v>52</x:v>
      </x:c>
      <x:c r="AB70" s="42" t="n">
        <x:f>ROUND(AA70*1.15,0)</x:f>
        <x:v>60</x:v>
      </x:c>
      <x:c r="AC70" s="42" t="str">
        <x:f>IF(I70="5웨이브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71">
      <x:c r="B71" s="6" t="s">
        <x:v>446</x:v>
      </x:c>
      <x:c r="C71" s="6" t="s">
        <x:v>239</x:v>
      </x:c>
      <x:c r="D71" s="6" t="s">
        <x:v>476</x:v>
      </x:c>
      <x:c r="E71" s="6" t="s">
        <x:v>477</x:v>
      </x:c>
      <x:c r="F71" s="6" t="s">
        <x:v>242</x:v>
      </x:c>
      <x:c r="G71" s="6" t="s">
        <x:v>478</x:v>
      </x:c>
      <x:c r="H71" s="6" t="s">
        <x:v>244</x:v>
      </x:c>
      <x:c r="I71" s="1"/>
      <x:c r="J71" s="1">
        <x:v>389</x:v>
      </x:c>
      <x:c r="K71" s="1">
        <x:v>10</x:v>
      </x:c>
      <x:c r="L71" s="1">
        <x:v>1.45</x:v>
      </x:c>
      <x:c r="M71" s="1">
        <x:v>26</x:v>
      </x:c>
      <x:c r="N71" s="1">
        <x:v>0.96</x:v>
      </x:c>
      <x:c r="O71" s="1" t="s">
        <x:v>52</x:v>
      </x:c>
      <x:c r="P71" s="1" t="s">
        <x:v>57</x:v>
      </x:c>
      <x:c r="Q71" s="1">
        <x:v>14</x:v>
      </x:c>
      <x:c r="R71" s="1">
        <x:v>30</x:v>
      </x:c>
      <x:c r="S71" s="1">
        <x:v>1.85</x:v>
      </x:c>
      <x:c r="T71" s="1">
        <x:v>1.45</x:v>
      </x:c>
      <x:c r="U71" s="42" t="n">
        <x:f>ROUND(J71*S71,0)</x:f>
        <x:v>720</x:v>
      </x:c>
      <x:c r="V71" s="42" t="n">
        <x:f>ROUND(K71*1.45+5,0)</x:f>
        <x:v>20</x:v>
      </x:c>
      <x:c r="W71" s="42" t="n">
        <x:f>ROUND(L71*1.08,2)</x:f>
        <x:v>1.57</x:v>
      </x:c>
      <x:c r="X71" s="42" t="n">
        <x:f>ROUND(M71*T71,0)</x:f>
        <x:v>38</x:v>
      </x:c>
      <x:c r="Y71" s="42" t="n">
        <x:f>MAX(0.5,ROUND(N71*0.90,2))</x:f>
        <x:v>0.86</x:v>
      </x:c>
      <x:c r="Z71" s="42" t="str">
        <x:f>IF(I71="5웨이브 중간보스","중간보스 강화: 상태이상 저항 +25%, 기존 특수효과 강화","상태이상 저항 +15%, 기존 특수효과 강화")</x:f>
        <x:v>상태이상 저항 +15%, 기존 특수효과 강화</x:v>
      </x:c>
      <x:c r="AA71" s="42" t="n">
        <x:f>MAX(10,ROUND(Q71*2,0))</x:f>
        <x:v>28</x:v>
      </x:c>
      <x:c r="AB71" s="42" t="n">
        <x:f>ROUND(AA71*1.15,0)</x:f>
        <x:v>32</x:v>
      </x:c>
      <x:c r="AC71" s="42" t="str">
        <x:f>IF(I71="5웨이브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72">
      <x:c r="B72" s="6" t="s">
        <x:v>446</x:v>
      </x:c>
      <x:c r="C72" s="6" t="s">
        <x:v>239</x:v>
      </x:c>
      <x:c r="D72" s="6" t="s">
        <x:v>479</x:v>
      </x:c>
      <x:c r="E72" s="6" t="s">
        <x:v>480</x:v>
      </x:c>
      <x:c r="F72" s="6" t="s">
        <x:v>206</x:v>
      </x:c>
      <x:c r="G72" s="6" t="s">
        <x:v>481</x:v>
      </x:c>
      <x:c r="H72" s="6" t="s">
        <x:v>256</x:v>
      </x:c>
      <x:c r="I72" s="1"/>
      <x:c r="J72" s="1">
        <x:v>421</x:v>
      </x:c>
      <x:c r="K72" s="1">
        <x:v>10</x:v>
      </x:c>
      <x:c r="L72" s="1">
        <x:v>1.31</x:v>
      </x:c>
      <x:c r="M72" s="1">
        <x:v>25</x:v>
      </x:c>
      <x:c r="N72" s="1">
        <x:v>1.02</x:v>
      </x:c>
      <x:c r="O72" s="1" t="s">
        <x:v>56</x:v>
      </x:c>
      <x:c r="P72" s="1" t="s">
        <x:v>257</x:v>
      </x:c>
      <x:c r="Q72" s="1">
        <x:v>14</x:v>
      </x:c>
      <x:c r="R72" s="1">
        <x:v>30</x:v>
      </x:c>
      <x:c r="S72" s="1">
        <x:v>1.85</x:v>
      </x:c>
      <x:c r="T72" s="1">
        <x:v>1.45</x:v>
      </x:c>
      <x:c r="U72" s="42" t="n">
        <x:f>ROUND(J72*S72,0)</x:f>
        <x:v>779</x:v>
      </x:c>
      <x:c r="V72" s="42" t="n">
        <x:f>ROUND(K72*1.45+5,0)</x:f>
        <x:v>20</x:v>
      </x:c>
      <x:c r="W72" s="42" t="n">
        <x:f>ROUND(L72*1.08,2)</x:f>
        <x:v>1.41</x:v>
      </x:c>
      <x:c r="X72" s="42" t="n">
        <x:f>ROUND(M72*T72,0)</x:f>
        <x:v>36</x:v>
      </x:c>
      <x:c r="Y72" s="42" t="n">
        <x:f>MAX(0.5,ROUND(N72*0.90,2))</x:f>
        <x:v>0.92</x:v>
      </x:c>
      <x:c r="Z72" s="42" t="str">
        <x:f>IF(I72="5웨이브 중간보스","중간보스 강화: 상태이상 저항 +25%, 기존 특수효과 강화","상태이상 저항 +15%, 기존 특수효과 강화")</x:f>
        <x:v>상태이상 저항 +15%, 기존 특수효과 강화</x:v>
      </x:c>
      <x:c r="AA72" s="42" t="n">
        <x:f>MAX(10,ROUND(Q72*2,0))</x:f>
        <x:v>28</x:v>
      </x:c>
      <x:c r="AB72" s="42" t="n">
        <x:f>ROUND(AA72*1.15,0)</x:f>
        <x:v>32</x:v>
      </x:c>
      <x:c r="AC72" s="42" t="str">
        <x:f>IF(I72="5웨이브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73">
      <x:c r="B73" s="6" t="s">
        <x:v>446</x:v>
      </x:c>
      <x:c r="C73" s="6" t="s">
        <x:v>239</x:v>
      </x:c>
      <x:c r="D73" s="6" t="s">
        <x:v>482</x:v>
      </x:c>
      <x:c r="E73" s="6" t="s">
        <x:v>483</x:v>
      </x:c>
      <x:c r="F73" s="6" t="s">
        <x:v>484</x:v>
      </x:c>
      <x:c r="G73" s="6" t="s">
        <x:v>485</x:v>
      </x:c>
      <x:c r="H73" s="6" t="s">
        <x:v>486</x:v>
      </x:c>
      <x:c r="I73" s="1"/>
      <x:c r="J73" s="1">
        <x:v>891</x:v>
      </x:c>
      <x:c r="K73" s="1">
        <x:v>26</x:v>
      </x:c>
      <x:c r="L73" s="1">
        <x:v>0.97</x:v>
      </x:c>
      <x:c r="M73" s="1">
        <x:v>48</x:v>
      </x:c>
      <x:c r="N73" s="1">
        <x:v>1.32</x:v>
      </x:c>
      <x:c r="O73" s="1" t="s">
        <x:v>52</x:v>
      </x:c>
      <x:c r="P73" s="1" t="s">
        <x:v>57</x:v>
      </x:c>
      <x:c r="Q73" s="1">
        <x:v>28</x:v>
      </x:c>
      <x:c r="R73" s="1">
        <x:v>30</x:v>
      </x:c>
      <x:c r="S73" s="1">
        <x:v>1.85</x:v>
      </x:c>
      <x:c r="T73" s="1">
        <x:v>1.45</x:v>
      </x:c>
      <x:c r="U73" s="42" t="n">
        <x:f>ROUND(J73*S73,0)</x:f>
        <x:v>1648</x:v>
      </x:c>
      <x:c r="V73" s="42" t="n">
        <x:f>ROUND(K73*1.45+5,0)</x:f>
        <x:v>43</x:v>
      </x:c>
      <x:c r="W73" s="42" t="n">
        <x:f>ROUND(L73*1.08,2)</x:f>
        <x:v>1.05</x:v>
      </x:c>
      <x:c r="X73" s="42" t="n">
        <x:f>ROUND(M73*T73,0)</x:f>
        <x:v>70</x:v>
      </x:c>
      <x:c r="Y73" s="42" t="n">
        <x:f>MAX(0.5,ROUND(N73*0.90,2))</x:f>
        <x:v>1.19</x:v>
      </x:c>
      <x:c r="Z73" s="42" t="str">
        <x:f>IF(I73="5웨이브 중간보스","중간보스 강화: 상태이상 저항 +25%, 기존 특수효과 강화","상태이상 저항 +15%, 기존 특수효과 강화")</x:f>
        <x:v>상태이상 저항 +15%, 기존 특수효과 강화</x:v>
      </x:c>
      <x:c r="AA73" s="42" t="n">
        <x:f>MAX(10,ROUND(Q73*2,0))</x:f>
        <x:v>56</x:v>
      </x:c>
      <x:c r="AB73" s="42" t="n">
        <x:f>ROUND(AA73*1.15,0)</x:f>
        <x:v>64</x:v>
      </x:c>
      <x:c r="AC73" s="42" t="str">
        <x:f>IF(I73="5웨이브 중간보스","중간보스는 일반몹보다 큰 현상금. 웨이브5 이후 빌드 전환 자금 역할","일반몹 처치 시 즉시 TD 골드 지급")</x:f>
        <x:v>일반몹 처치 시 즉시 TD 골드 지급</x:v>
      </x:c>
    </x:row>
    <x:row r="74" ht="33">
      <x:c r="B74" s="6" t="s">
        <x:v>446</x:v>
      </x:c>
      <x:c r="C74" s="6" t="s">
        <x:v>239</x:v>
      </x:c>
      <x:c r="D74" s="6" t="s">
        <x:v>487</x:v>
      </x:c>
      <x:c r="E74" s="6" t="s">
        <x:v>488</x:v>
      </x:c>
      <x:c r="F74" s="6" t="s">
        <x:v>484</x:v>
      </x:c>
      <x:c r="G74" s="6" t="s">
        <x:v>489</x:v>
      </x:c>
      <x:c r="H74" s="6" t="s">
        <x:v>486</x:v>
      </x:c>
      <x:c r="I74" s="1" t="s">
        <x:v>268</x:v>
      </x:c>
      <x:c r="J74" s="1">
        <x:v>4010</x:v>
      </x:c>
      <x:c r="K74" s="1">
        <x:v>38</x:v>
      </x:c>
      <x:c r="L74" s="1">
        <x:v>0.97</x:v>
      </x:c>
      <x:c r="M74" s="1">
        <x:v>96</x:v>
      </x:c>
      <x:c r="N74" s="1">
        <x:v>1.19</x:v>
      </x:c>
      <x:c r="O74" s="1" t="s">
        <x:v>52</x:v>
      </x:c>
      <x:c r="P74" s="1" t="s">
        <x:v>57</x:v>
      </x:c>
      <x:c r="Q74" s="1">
        <x:v>42</x:v>
      </x:c>
      <x:c r="R74" s="1">
        <x:v>30</x:v>
      </x:c>
      <x:c r="S74" s="1">
        <x:v>2.0499999999999998</x:v>
      </x:c>
      <x:c r="T74" s="1">
        <x:v>1.65</x:v>
      </x:c>
      <x:c r="U74" s="42" t="n">
        <x:f>ROUND(J74*S74,0)</x:f>
        <x:v>8221</x:v>
      </x:c>
      <x:c r="V74" s="42" t="n">
        <x:f>ROUND(K74*1.45+5,0)</x:f>
        <x:v>60</x:v>
      </x:c>
      <x:c r="W74" s="42" t="n">
        <x:f>ROUND(L74*1.08,2)</x:f>
        <x:v>1.05</x:v>
      </x:c>
      <x:c r="X74" s="42" t="n">
        <x:f>ROUND(M74*T74,0)</x:f>
        <x:v>158</x:v>
      </x:c>
      <x:c r="Y74" s="42" t="n">
        <x:f>MAX(0.5,ROUND(N74*0.90,2))</x:f>
        <x:v>1.07</x:v>
      </x:c>
      <x:c r="Z74" s="42" t="str">
        <x:f>IF(I74="5웨이브 중간보스","중간보스 강화: 상태이상 저항 +25%, 기존 특수효과 강화","상태이상 저항 +15%, 기존 특수효과 강화")</x:f>
        <x:v>중간보스 강화: 상태이상 저항 +25%, 기존 특수효과 강화</x:v>
      </x:c>
      <x:c r="AA74" s="42" t="n">
        <x:f>MAX(10,ROUND(Q74*2,0))</x:f>
        <x:v>84</x:v>
      </x:c>
      <x:c r="AB74" s="42" t="n">
        <x:f>ROUND(AA74*1.15,0)</x:f>
        <x:v>97</x:v>
      </x:c>
      <x:c r="AC74" s="42" t="str">
        <x:f>IF(I74="5웨이브 중간보스","중간보스는 일반몹보다 큰 현상금. 웨이브5 이후 빌드 전환 자금 역할","일반몹 처치 시 즉시 TD 골드 지급")</x:f>
        <x:v>중간보스는 일반몹보다 큰 현상금. 웨이브5 이후 빌드 전환 자금 역할</x:v>
      </x:c>
    </x:row>
  </x:sheetData>
  <x:conditionalFormatting sqref="C10:C74">
    <x:cfRule type="expression" dxfId="5" priority="1">
      <x:formula>C10="인간형"</x:formula>
    </x:cfRule>
    <x:cfRule type="expression" dxfId="4" priority="2">
      <x:formula>C10="비인간형"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44e47e3f74464f"/>
  </x:tableParts>
</x:worksheet>
</file>

<file path=xl/worksheets/sheet3.xml><?xml version="1.0" encoding="utf-8"?>
<x:worksheet xmlns:x="http://schemas.openxmlformats.org/spreadsheetml/2006/main">
  <x:sheetFormatPr defaultRowHeight="16.5"/>
  <x:cols>
    <x:col min="1" max="1" width="9" customWidth="1"/>
    <x:col min="2" max="2" width="10" customWidth="1"/>
    <x:col min="3" max="3" width="24" customWidth="1"/>
    <x:col min="4" max="4" width="25.375" customWidth="1"/>
    <x:col min="5" max="5" width="36" customWidth="1"/>
    <x:col min="6" max="6" width="22" customWidth="1"/>
    <x:col min="7" max="7" width="12" customWidth="1"/>
    <x:col min="8" max="9" width="8" customWidth="1"/>
    <x:col min="10" max="10" width="12" customWidth="1"/>
    <x:col min="11" max="13" width="28" customWidth="1"/>
    <x:col min="14" max="14" width="58" hidden="0" customWidth="1"/>
    <x:col min="15" max="15" width="14" customWidth="1"/>
    <x:col min="16" max="16" width="22" hidden="0" customWidth="1"/>
    <x:col min="17" max="17" width="25" hidden="0" customWidth="1"/>
    <x:col min="18" max="18" width="55" hidden="0" customWidth="1"/>
  </x:cols>
  <x:sheetData>
    <x:row r="1">
      <x:c r="A1" s="3" t="s">
        <x:v>490</x:v>
      </x:c>
      <x:c r="B1" s="3" t="s">
        <x:v>491</x:v>
      </x:c>
      <x:c r="C1" s="3" t="s">
        <x:v>198</x:v>
      </x:c>
      <x:c r="D1" s="3" t="s">
        <x:v>492</x:v>
      </x:c>
      <x:c r="E1" s="3" t="s">
        <x:v>493</x:v>
      </x:c>
      <x:c r="F1" s="3" t="s">
        <x:v>494</x:v>
      </x:c>
      <x:c r="G1" s="3" t="s">
        <x:v>23</x:v>
      </x:c>
      <x:c r="H1" s="3" t="s">
        <x:v>25</x:v>
      </x:c>
      <x:c r="I1" s="3" t="s">
        <x:v>27</x:v>
      </x:c>
      <x:c r="J1" s="3" t="s">
        <x:v>495</x:v>
      </x:c>
      <x:c r="K1" s="3" t="s">
        <x:v>496</x:v>
      </x:c>
      <x:c r="L1" s="3" t="s">
        <x:v>497</x:v>
      </x:c>
      <x:c r="M1" s="3" t="s">
        <x:v>498</x:v>
      </x:c>
      <x:c r="N1" s="59" t="s">
        <x:v>499</x:v>
      </x:c>
      <x:c r="O1" s="59" t="s">
        <x:v>500</x:v>
      </x:c>
      <x:c r="P1" s="54" t="str">
        <x:v>공용 이벤트 멘트</x:v>
      </x:c>
      <x:c r="Q1" s="54" t="str">
        <x:v>보스별 RPG 진입 멘트</x:v>
      </x:c>
      <x:c r="R1" s="54" t="str">
        <x:v>동일 세계관 연결 메모</x:v>
      </x:c>
    </x:row>
    <x:row r="2" ht="33">
      <x:c r="A2" s="1">
        <x:v>1</x:v>
      </x:c>
      <x:c r="B2" s="1" t="s">
        <x:v>501</x:v>
      </x:c>
      <x:c r="C2" s="1" t="s">
        <x:v>212</x:v>
      </x:c>
      <x:c r="D2" s="1" t="s">
        <x:v>502</x:v>
      </x:c>
      <x:c r="E2" s="1" t="s">
        <x:v>503</x:v>
      </x:c>
      <x:c r="F2" s="1" t="s">
        <x:v>504</x:v>
      </x:c>
      <x:c r="G2" s="1">
        <x:v>2200</x:v>
      </x:c>
      <x:c r="H2" s="1">
        <x:v>10</x:v>
      </x:c>
      <x:c r="I2" s="1">
        <x:v>0.68</x:v>
      </x:c>
      <x:c r="J2" s="1">
        <x:v>62</x:v>
      </x:c>
      <x:c r="K2" s="1" t="s">
        <x:v>505</x:v>
      </x:c>
      <x:c r="L2" s="1" t="s">
        <x:v>506</x:v>
      </x:c>
      <x:c r="M2" s="1" t="s">
        <x:v>507</x:v>
      </x:c>
      <x:c r="N2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" s="42">
        <x:v>100</x:v>
      </x:c>
      <x:c r="P2" s="42" t="str">
        <x:v>[마스터 작성]</x:v>
      </x:c>
      <x:c r="Q2" s="42" t="str">
        <x:v>[마스터 작성]</x:v>
      </x:c>
      <x:c r="R2" s="42"/>
    </x:row>
    <x:row r="3" ht="33">
      <x:c r="A3" s="1">
        <x:v>2</x:v>
      </x:c>
      <x:c r="B3" s="1" t="s">
        <x:v>501</x:v>
      </x:c>
      <x:c r="C3" s="1" t="s">
        <x:v>212</x:v>
      </x:c>
      <x:c r="D3" s="1" t="s">
        <x:v>508</x:v>
      </x:c>
      <x:c r="E3" s="1" t="s">
        <x:v>509</x:v>
      </x:c>
      <x:c r="F3" s="1" t="s">
        <x:v>397</x:v>
      </x:c>
      <x:c r="G3" s="1">
        <x:v>2431</x:v>
      </x:c>
      <x:c r="H3" s="1">
        <x:v>12</x:v>
      </x:c>
      <x:c r="I3" s="1">
        <x:v>0.69</x:v>
      </x:c>
      <x:c r="J3" s="1">
        <x:v>69</x:v>
      </x:c>
      <x:c r="K3" s="1" t="s">
        <x:v>510</x:v>
      </x:c>
      <x:c r="L3" s="1" t="s">
        <x:v>511</x:v>
      </x:c>
      <x:c r="M3" s="1" t="s">
        <x:v>512</x:v>
      </x:c>
      <x:c r="N3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" s="42">
        <x:v>113</x:v>
      </x:c>
      <x:c r="P3" s="42" t="str">
        <x:v>[마스터 작성]</x:v>
      </x:c>
      <x:c r="Q3" s="42" t="str">
        <x:v>[마스터 작성]</x:v>
      </x:c>
      <x:c r="R3" s="42"/>
    </x:row>
    <x:row r="4" ht="33">
      <x:c r="A4" s="1">
        <x:v>3</x:v>
      </x:c>
      <x:c r="B4" s="1" t="s">
        <x:v>501</x:v>
      </x:c>
      <x:c r="C4" s="1" t="s">
        <x:v>212</x:v>
      </x:c>
      <x:c r="D4" s="1" t="s">
        <x:v>513</x:v>
      </x:c>
      <x:c r="E4" s="1" t="s">
        <x:v>514</x:v>
      </x:c>
      <x:c r="F4" s="1" t="s">
        <x:v>515</x:v>
      </x:c>
      <x:c r="G4" s="1">
        <x:v>2686</x:v>
      </x:c>
      <x:c r="H4" s="1">
        <x:v>14</x:v>
      </x:c>
      <x:c r="I4" s="1">
        <x:v>0.69</x:v>
      </x:c>
      <x:c r="J4" s="1">
        <x:v>76</x:v>
      </x:c>
      <x:c r="K4" s="1" t="s">
        <x:v>516</x:v>
      </x:c>
      <x:c r="L4" s="1" t="s">
        <x:v>517</x:v>
      </x:c>
      <x:c r="M4" s="1" t="s">
        <x:v>518</x:v>
      </x:c>
      <x:c r="N4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" s="42">
        <x:v>128</x:v>
      </x:c>
      <x:c r="P4" s="42" t="str">
        <x:v>[마스터 작성]</x:v>
      </x:c>
      <x:c r="Q4" s="42" t="str">
        <x:v>[마스터 작성]</x:v>
      </x:c>
      <x:c r="R4" s="42"/>
    </x:row>
    <x:row r="5" ht="33">
      <x:c r="A5" s="1">
        <x:v>4</x:v>
      </x:c>
      <x:c r="B5" s="1" t="s">
        <x:v>501</x:v>
      </x:c>
      <x:c r="C5" s="1" t="s">
        <x:v>212</x:v>
      </x:c>
      <x:c r="D5" s="1" t="s">
        <x:v>519</x:v>
      </x:c>
      <x:c r="E5" s="1" t="s">
        <x:v>520</x:v>
      </x:c>
      <x:c r="F5" s="1" t="s">
        <x:v>521</x:v>
      </x:c>
      <x:c r="G5" s="1">
        <x:v>2968</x:v>
      </x:c>
      <x:c r="H5" s="1">
        <x:v>16</x:v>
      </x:c>
      <x:c r="I5" s="1">
        <x:v>0.69</x:v>
      </x:c>
      <x:c r="J5" s="1">
        <x:v>83</x:v>
      </x:c>
      <x:c r="K5" s="1" t="s">
        <x:v>522</x:v>
      </x:c>
      <x:c r="L5" s="1" t="s">
        <x:v>523</x:v>
      </x:c>
      <x:c r="M5" s="1" t="s">
        <x:v>524</x:v>
      </x:c>
      <x:c r="N5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5" s="42">
        <x:v>144</x:v>
      </x:c>
      <x:c r="P5" s="42" t="str">
        <x:v>[마스터 작성]</x:v>
      </x:c>
      <x:c r="Q5" s="42" t="str">
        <x:v>[마스터 작성]</x:v>
      </x:c>
      <x:c r="R5" s="42"/>
    </x:row>
    <x:row r="6" ht="33">
      <x:c r="A6" s="1">
        <x:v>5</x:v>
      </x:c>
      <x:c r="B6" s="1" t="s">
        <x:v>501</x:v>
      </x:c>
      <x:c r="C6" s="1" t="s">
        <x:v>212</x:v>
      </x:c>
      <x:c r="D6" s="1" t="s">
        <x:v>525</x:v>
      </x:c>
      <x:c r="E6" s="14" t="s">
        <x:v>526</x:v>
      </x:c>
      <x:c r="F6" s="1" t="s">
        <x:v>527</x:v>
      </x:c>
      <x:c r="G6" s="1">
        <x:v>3280</x:v>
      </x:c>
      <x:c r="H6" s="1">
        <x:v>18</x:v>
      </x:c>
      <x:c r="I6" s="1">
        <x:v>0.7</x:v>
      </x:c>
      <x:c r="J6" s="1">
        <x:v>90</x:v>
      </x:c>
      <x:c r="K6" s="1" t="s">
        <x:v>528</x:v>
      </x:c>
      <x:c r="L6" s="1" t="s">
        <x:v>529</x:v>
      </x:c>
      <x:c r="M6" s="1" t="s">
        <x:v>530</x:v>
      </x:c>
      <x:c r="N6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6" s="42">
        <x:v>163</x:v>
      </x:c>
      <x:c r="P6" s="42" t="str">
        <x:v>[마스터 작성]</x:v>
      </x:c>
      <x:c r="Q6" s="42" t="str">
        <x:v>[마스터 작성]</x:v>
      </x:c>
      <x:c r="R6" s="42"/>
    </x:row>
    <x:row r="7" ht="33">
      <x:c r="A7" s="1">
        <x:v>6</x:v>
      </x:c>
      <x:c r="B7" s="1" t="s">
        <x:v>501</x:v>
      </x:c>
      <x:c r="C7" s="1" t="s">
        <x:v>269</x:v>
      </x:c>
      <x:c r="D7" s="1" t="s">
        <x:v>531</x:v>
      </x:c>
      <x:c r="E7" s="1" t="s">
        <x:v>532</x:v>
      </x:c>
      <x:c r="F7" s="1" t="s">
        <x:v>533</x:v>
      </x:c>
      <x:c r="G7" s="1">
        <x:v>3624</x:v>
      </x:c>
      <x:c r="H7" s="1">
        <x:v>20</x:v>
      </x:c>
      <x:c r="I7" s="1">
        <x:v>0.7</x:v>
      </x:c>
      <x:c r="J7" s="1">
        <x:v>97</x:v>
      </x:c>
      <x:c r="K7" s="1" t="s">
        <x:v>534</x:v>
      </x:c>
      <x:c r="L7" s="1" t="s">
        <x:v>535</x:v>
      </x:c>
      <x:c r="M7" s="1" t="s">
        <x:v>536</x:v>
      </x:c>
      <x:c r="N7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7" s="42">
        <x:v>184</x:v>
      </x:c>
      <x:c r="P7" s="42" t="str">
        <x:v>[마스터 작성]</x:v>
      </x:c>
      <x:c r="Q7" s="42" t="str">
        <x:v>[마스터 작성]</x:v>
      </x:c>
      <x:c r="R7" s="42"/>
    </x:row>
    <x:row r="8" ht="33">
      <x:c r="A8" s="1">
        <x:v>7</x:v>
      </x:c>
      <x:c r="B8" s="1" t="s">
        <x:v>501</x:v>
      </x:c>
      <x:c r="C8" s="1" t="s">
        <x:v>269</x:v>
      </x:c>
      <x:c r="D8" s="1" t="s">
        <x:v>537</x:v>
      </x:c>
      <x:c r="E8" s="1" t="s">
        <x:v>538</x:v>
      </x:c>
      <x:c r="F8" s="1" t="s">
        <x:v>539</x:v>
      </x:c>
      <x:c r="G8" s="1">
        <x:v>4005</x:v>
      </x:c>
      <x:c r="H8" s="1">
        <x:v>22</x:v>
      </x:c>
      <x:c r="I8" s="1">
        <x:v>0.7</x:v>
      </x:c>
      <x:c r="J8" s="1">
        <x:v>104</x:v>
      </x:c>
      <x:c r="K8" s="1" t="s">
        <x:v>540</x:v>
      </x:c>
      <x:c r="L8" s="1" t="s">
        <x:v>541</x:v>
      </x:c>
      <x:c r="M8" s="1" t="s">
        <x:v>542</x:v>
      </x:c>
      <x:c r="N8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8" s="42">
        <x:v>208</x:v>
      </x:c>
      <x:c r="P8" s="42" t="str">
        <x:v>[마스터 작성]</x:v>
      </x:c>
      <x:c r="Q8" s="42" t="str">
        <x:v>[마스터 작성]</x:v>
      </x:c>
      <x:c r="R8" s="42"/>
    </x:row>
    <x:row r="9" ht="33">
      <x:c r="A9" s="1">
        <x:v>8</x:v>
      </x:c>
      <x:c r="B9" s="1" t="s">
        <x:v>501</x:v>
      </x:c>
      <x:c r="C9" s="1" t="s">
        <x:v>269</x:v>
      </x:c>
      <x:c r="D9" s="1" t="s">
        <x:v>543</x:v>
      </x:c>
      <x:c r="E9" s="1" t="s">
        <x:v>544</x:v>
      </x:c>
      <x:c r="F9" s="1" t="s">
        <x:v>545</x:v>
      </x:c>
      <x:c r="G9" s="1">
        <x:v>4425</x:v>
      </x:c>
      <x:c r="H9" s="1">
        <x:v>24</x:v>
      </x:c>
      <x:c r="I9" s="1">
        <x:v>0.7</x:v>
      </x:c>
      <x:c r="J9" s="1">
        <x:v>111</x:v>
      </x:c>
      <x:c r="K9" s="1" t="s">
        <x:v>546</x:v>
      </x:c>
      <x:c r="L9" s="1" t="s">
        <x:v>547</x:v>
      </x:c>
      <x:c r="M9" s="1" t="s">
        <x:v>548</x:v>
      </x:c>
      <x:c r="N9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9" s="42">
        <x:v>235</x:v>
      </x:c>
      <x:c r="P9" s="42" t="str">
        <x:v>[마스터 작성]</x:v>
      </x:c>
      <x:c r="Q9" s="42" t="str">
        <x:v>[마스터 작성]</x:v>
      </x:c>
      <x:c r="R9" s="42"/>
    </x:row>
    <x:row r="10" ht="49.5">
      <x:c r="A10" s="1">
        <x:v>9</x:v>
      </x:c>
      <x:c r="B10" s="1" t="s">
        <x:v>501</x:v>
      </x:c>
      <x:c r="C10" s="1" t="s">
        <x:v>269</x:v>
      </x:c>
      <x:c r="D10" s="1" t="s">
        <x:v>549</x:v>
      </x:c>
      <x:c r="E10" s="1" t="s">
        <x:v>550</x:v>
      </x:c>
      <x:c r="F10" s="1" t="s">
        <x:v>551</x:v>
      </x:c>
      <x:c r="G10" s="1">
        <x:v>4890</x:v>
      </x:c>
      <x:c r="H10" s="1">
        <x:v>26</x:v>
      </x:c>
      <x:c r="I10" s="1">
        <x:v>0.71</x:v>
      </x:c>
      <x:c r="J10" s="1">
        <x:v>118</x:v>
      </x:c>
      <x:c r="K10" s="1" t="s">
        <x:v>552</x:v>
      </x:c>
      <x:c r="L10" s="1" t="s">
        <x:v>553</x:v>
      </x:c>
      <x:c r="M10" s="1" t="s">
        <x:v>554</x:v>
      </x:c>
      <x:c r="N10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0" s="42">
        <x:v>266</x:v>
      </x:c>
      <x:c r="P10" s="42" t="str">
        <x:v>[마스터 작성]</x:v>
      </x:c>
      <x:c r="Q10" s="42" t="str">
        <x:v>[마스터 작성]</x:v>
      </x:c>
      <x:c r="R10" s="42"/>
    </x:row>
    <x:row r="11" ht="33">
      <x:c r="A11" s="1">
        <x:v>10</x:v>
      </x:c>
      <x:c r="B11" s="1" t="s">
        <x:v>501</x:v>
      </x:c>
      <x:c r="C11" s="1" t="s">
        <x:v>269</x:v>
      </x:c>
      <x:c r="D11" s="1" t="s">
        <x:v>555</x:v>
      </x:c>
      <x:c r="E11" s="14" t="s">
        <x:v>556</x:v>
      </x:c>
      <x:c r="F11" s="1" t="s">
        <x:v>557</x:v>
      </x:c>
      <x:c r="G11" s="1">
        <x:v>5404</x:v>
      </x:c>
      <x:c r="H11" s="1">
        <x:v>28</x:v>
      </x:c>
      <x:c r="I11" s="1">
        <x:v>0.71</x:v>
      </x:c>
      <x:c r="J11" s="1">
        <x:v>125</x:v>
      </x:c>
      <x:c r="K11" s="1" t="s">
        <x:v>558</x:v>
      </x:c>
      <x:c r="L11" s="1" t="s">
        <x:v>559</x:v>
      </x:c>
      <x:c r="M11" s="1" t="s">
        <x:v>560</x:v>
      </x:c>
      <x:c r="N11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1" s="42">
        <x:v>300</x:v>
      </x:c>
      <x:c r="P11" s="42" t="str">
        <x:v>[마스터 작성]</x:v>
      </x:c>
      <x:c r="Q11" s="42" t="str">
        <x:v>[마스터 작성]</x:v>
      </x:c>
      <x:c r="R11" s="42"/>
    </x:row>
    <x:row r="12" ht="33">
      <x:c r="A12" s="1">
        <x:v>11</x:v>
      </x:c>
      <x:c r="B12" s="1" t="s">
        <x:v>501</x:v>
      </x:c>
      <x:c r="C12" s="1" t="s">
        <x:v>314</x:v>
      </x:c>
      <x:c r="D12" s="1" t="s">
        <x:v>561</x:v>
      </x:c>
      <x:c r="E12" s="1" t="s">
        <x:v>562</x:v>
      </x:c>
      <x:c r="F12" s="1" t="s">
        <x:v>563</x:v>
      </x:c>
      <x:c r="G12" s="1">
        <x:v>5971</x:v>
      </x:c>
      <x:c r="H12" s="1">
        <x:v>30</x:v>
      </x:c>
      <x:c r="I12" s="1">
        <x:v>0.71</x:v>
      </x:c>
      <x:c r="J12" s="1">
        <x:v>132</x:v>
      </x:c>
      <x:c r="K12" s="1" t="s">
        <x:v>564</x:v>
      </x:c>
      <x:c r="L12" s="1" t="s">
        <x:v>565</x:v>
      </x:c>
      <x:c r="M12" s="1" t="s">
        <x:v>566</x:v>
      </x:c>
      <x:c r="N12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2" s="42">
        <x:v>339</x:v>
      </x:c>
      <x:c r="P12" s="42" t="str">
        <x:v>[마스터 작성]</x:v>
      </x:c>
      <x:c r="Q12" s="42" t="str">
        <x:v>[마스터 작성]</x:v>
      </x:c>
      <x:c r="R12" s="42"/>
    </x:row>
    <x:row r="13" ht="33">
      <x:c r="A13" s="1">
        <x:v>12</x:v>
      </x:c>
      <x:c r="B13" s="1" t="s">
        <x:v>501</x:v>
      </x:c>
      <x:c r="C13" s="1" t="s">
        <x:v>314</x:v>
      </x:c>
      <x:c r="D13" s="1" t="s">
        <x:v>567</x:v>
      </x:c>
      <x:c r="E13" s="1" t="s">
        <x:v>568</x:v>
      </x:c>
      <x:c r="F13" s="1" t="s">
        <x:v>569</x:v>
      </x:c>
      <x:c r="G13" s="1">
        <x:v>6598</x:v>
      </x:c>
      <x:c r="H13" s="1">
        <x:v>32</x:v>
      </x:c>
      <x:c r="I13" s="1">
        <x:v>0.72</x:v>
      </x:c>
      <x:c r="J13" s="1">
        <x:v>139</x:v>
      </x:c>
      <x:c r="K13" s="1" t="s">
        <x:v>570</x:v>
      </x:c>
      <x:c r="L13" s="1" t="s">
        <x:v>571</x:v>
      </x:c>
      <x:c r="M13" s="1" t="s">
        <x:v>572</x:v>
      </x:c>
      <x:c r="N13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3" s="42">
        <x:v>384</x:v>
      </x:c>
      <x:c r="P13" s="42" t="str">
        <x:v>[마스터 작성]</x:v>
      </x:c>
      <x:c r="Q13" s="42" t="str">
        <x:v>[마스터 작성]</x:v>
      </x:c>
      <x:c r="R13" s="42"/>
    </x:row>
    <x:row r="14" ht="33">
      <x:c r="A14" s="1">
        <x:v>13</x:v>
      </x:c>
      <x:c r="B14" s="1" t="s">
        <x:v>501</x:v>
      </x:c>
      <x:c r="C14" s="1" t="s">
        <x:v>314</x:v>
      </x:c>
      <x:c r="D14" s="1" t="s">
        <x:v>573</x:v>
      </x:c>
      <x:c r="E14" s="1" t="s">
        <x:v>574</x:v>
      </x:c>
      <x:c r="F14" s="1" t="s">
        <x:v>575</x:v>
      </x:c>
      <x:c r="G14" s="1">
        <x:v>7291</x:v>
      </x:c>
      <x:c r="H14" s="1">
        <x:v>34</x:v>
      </x:c>
      <x:c r="I14" s="1">
        <x:v>0.72</x:v>
      </x:c>
      <x:c r="J14" s="1">
        <x:v>146</x:v>
      </x:c>
      <x:c r="K14" s="1" t="s">
        <x:v>576</x:v>
      </x:c>
      <x:c r="L14" s="1" t="s">
        <x:v>577</x:v>
      </x:c>
      <x:c r="M14" s="1" t="s">
        <x:v>578</x:v>
      </x:c>
      <x:c r="N14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4" s="42">
        <x:v>433</x:v>
      </x:c>
      <x:c r="P14" s="42" t="str">
        <x:v>[마스터 작성]</x:v>
      </x:c>
      <x:c r="Q14" s="42" t="str">
        <x:v>[마스터 작성]</x:v>
      </x:c>
      <x:c r="R14" s="42"/>
    </x:row>
    <x:row r="15" ht="33">
      <x:c r="A15" s="1">
        <x:v>14</x:v>
      </x:c>
      <x:c r="B15" s="1" t="s">
        <x:v>501</x:v>
      </x:c>
      <x:c r="C15" s="1" t="s">
        <x:v>314</x:v>
      </x:c>
      <x:c r="D15" s="1" t="s">
        <x:v>579</x:v>
      </x:c>
      <x:c r="E15" s="1" t="s">
        <x:v>580</x:v>
      </x:c>
      <x:c r="F15" s="1" t="s">
        <x:v>581</x:v>
      </x:c>
      <x:c r="G15" s="1">
        <x:v>8056</x:v>
      </x:c>
      <x:c r="H15" s="1">
        <x:v>36</x:v>
      </x:c>
      <x:c r="I15" s="1">
        <x:v>0.72</x:v>
      </x:c>
      <x:c r="J15" s="1">
        <x:v>153</x:v>
      </x:c>
      <x:c r="K15" s="1" t="s">
        <x:v>582</x:v>
      </x:c>
      <x:c r="L15" s="1" t="s">
        <x:v>583</x:v>
      </x:c>
      <x:c r="M15" s="1" t="s">
        <x:v>584</x:v>
      </x:c>
      <x:c r="N15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5" s="42">
        <x:v>490</x:v>
      </x:c>
      <x:c r="P15" s="42" t="str">
        <x:v>[마스터 작성]</x:v>
      </x:c>
      <x:c r="Q15" s="42" t="str">
        <x:v>[마스터 작성]</x:v>
      </x:c>
      <x:c r="R15" s="42"/>
    </x:row>
    <x:row r="16" ht="33">
      <x:c r="A16" s="1">
        <x:v>15</x:v>
      </x:c>
      <x:c r="B16" s="1" t="s">
        <x:v>501</x:v>
      </x:c>
      <x:c r="C16" s="1" t="s">
        <x:v>314</x:v>
      </x:c>
      <x:c r="D16" s="1" t="s">
        <x:v>585</x:v>
      </x:c>
      <x:c r="E16" s="14" t="s">
        <x:v>586</x:v>
      </x:c>
      <x:c r="F16" s="1" t="s">
        <x:v>587</x:v>
      </x:c>
      <x:c r="G16" s="1">
        <x:v>8902</x:v>
      </x:c>
      <x:c r="H16" s="1">
        <x:v>38</x:v>
      </x:c>
      <x:c r="I16" s="1">
        <x:v>0.73</x:v>
      </x:c>
      <x:c r="J16" s="1">
        <x:v>160</x:v>
      </x:c>
      <x:c r="K16" s="1" t="s">
        <x:v>588</x:v>
      </x:c>
      <x:c r="L16" s="1" t="s">
        <x:v>589</x:v>
      </x:c>
      <x:c r="M16" s="1" t="s">
        <x:v>590</x:v>
      </x:c>
      <x:c r="N16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6" s="42">
        <x:v>553</x:v>
      </x:c>
      <x:c r="P16" s="42" t="str">
        <x:v>[마스터 작성]</x:v>
      </x:c>
      <x:c r="Q16" s="42" t="str">
        <x:v>[마스터 작성]</x:v>
      </x:c>
      <x:c r="R16" s="42"/>
    </x:row>
    <x:row r="17" ht="33">
      <x:c r="A17" s="1">
        <x:v>16</x:v>
      </x:c>
      <x:c r="B17" s="1" t="s">
        <x:v>501</x:v>
      </x:c>
      <x:c r="C17" s="1" t="s">
        <x:v>361</x:v>
      </x:c>
      <x:c r="D17" s="1" t="s">
        <x:v>591</x:v>
      </x:c>
      <x:c r="E17" s="1" t="s">
        <x:v>592</x:v>
      </x:c>
      <x:c r="F17" s="1" t="s">
        <x:v>593</x:v>
      </x:c>
      <x:c r="G17" s="1">
        <x:v>9837</x:v>
      </x:c>
      <x:c r="H17" s="1">
        <x:v>40</x:v>
      </x:c>
      <x:c r="I17" s="1">
        <x:v>0.73</x:v>
      </x:c>
      <x:c r="J17" s="1">
        <x:v>167</x:v>
      </x:c>
      <x:c r="K17" s="1" t="s">
        <x:v>594</x:v>
      </x:c>
      <x:c r="L17" s="1" t="s">
        <x:v>595</x:v>
      </x:c>
      <x:c r="M17" s="1" t="s">
        <x:v>596</x:v>
      </x:c>
      <x:c r="N17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7" s="42">
        <x:v>625</x:v>
      </x:c>
      <x:c r="P17" s="42" t="str">
        <x:v>[마스터 작성]</x:v>
      </x:c>
      <x:c r="Q17" s="42" t="str">
        <x:v>[마스터 작성]</x:v>
      </x:c>
      <x:c r="R17" s="42"/>
    </x:row>
    <x:row r="18" ht="33">
      <x:c r="A18" s="1">
        <x:v>17</x:v>
      </x:c>
      <x:c r="B18" s="1" t="s">
        <x:v>501</x:v>
      </x:c>
      <x:c r="C18" s="1" t="s">
        <x:v>361</x:v>
      </x:c>
      <x:c r="D18" s="1" t="s">
        <x:v>597</x:v>
      </x:c>
      <x:c r="E18" s="1" t="s">
        <x:v>598</x:v>
      </x:c>
      <x:c r="F18" s="1" t="s">
        <x:v>599</x:v>
      </x:c>
      <x:c r="G18" s="1">
        <x:v>10870</x:v>
      </x:c>
      <x:c r="H18" s="1">
        <x:v>42</x:v>
      </x:c>
      <x:c r="I18" s="1">
        <x:v>0.73</x:v>
      </x:c>
      <x:c r="J18" s="1">
        <x:v>174</x:v>
      </x:c>
      <x:c r="K18" s="1" t="s">
        <x:v>600</x:v>
      </x:c>
      <x:c r="L18" s="1" t="s">
        <x:v>601</x:v>
      </x:c>
      <x:c r="M18" s="1" t="s">
        <x:v>602</x:v>
      </x:c>
      <x:c r="N18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8" s="42">
        <x:v>707</x:v>
      </x:c>
      <x:c r="P18" s="42" t="str">
        <x:v>[마스터 작성]</x:v>
      </x:c>
      <x:c r="Q18" s="42" t="str">
        <x:v>[마스터 작성]</x:v>
      </x:c>
      <x:c r="R18" s="42"/>
    </x:row>
    <x:row r="19" ht="33">
      <x:c r="A19" s="1">
        <x:v>18</x:v>
      </x:c>
      <x:c r="B19" s="1" t="s">
        <x:v>501</x:v>
      </x:c>
      <x:c r="C19" s="1" t="s">
        <x:v>361</x:v>
      </x:c>
      <x:c r="D19" s="1" t="s">
        <x:v>603</x:v>
      </x:c>
      <x:c r="E19" s="1" t="s">
        <x:v>604</x:v>
      </x:c>
      <x:c r="F19" s="1" t="s">
        <x:v>605</x:v>
      </x:c>
      <x:c r="G19" s="1">
        <x:v>12011</x:v>
      </x:c>
      <x:c r="H19" s="1">
        <x:v>44</x:v>
      </x:c>
      <x:c r="I19" s="1">
        <x:v>0.73</x:v>
      </x:c>
      <x:c r="J19" s="1">
        <x:v>181</x:v>
      </x:c>
      <x:c r="K19" s="1" t="s">
        <x:v>606</x:v>
      </x:c>
      <x:c r="L19" s="1" t="s">
        <x:v>607</x:v>
      </x:c>
      <x:c r="M19" s="1" t="s">
        <x:v>608</x:v>
      </x:c>
      <x:c r="N19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19" s="42">
        <x:v>799</x:v>
      </x:c>
      <x:c r="P19" s="42" t="str">
        <x:v>[마스터 작성]</x:v>
      </x:c>
      <x:c r="Q19" s="42" t="str">
        <x:v>[마스터 작성]</x:v>
      </x:c>
      <x:c r="R19" s="42"/>
    </x:row>
    <x:row r="20" ht="33">
      <x:c r="A20" s="1">
        <x:v>19</x:v>
      </x:c>
      <x:c r="B20" s="1" t="s">
        <x:v>501</x:v>
      </x:c>
      <x:c r="C20" s="1" t="s">
        <x:v>361</x:v>
      </x:c>
      <x:c r="D20" s="1" t="s">
        <x:v>609</x:v>
      </x:c>
      <x:c r="E20" s="1" t="s">
        <x:v>610</x:v>
      </x:c>
      <x:c r="F20" s="1" t="s">
        <x:v>611</x:v>
      </x:c>
      <x:c r="G20" s="1">
        <x:v>13272</x:v>
      </x:c>
      <x:c r="H20" s="1">
        <x:v>46</x:v>
      </x:c>
      <x:c r="I20" s="1">
        <x:v>0.74</x:v>
      </x:c>
      <x:c r="J20" s="1">
        <x:v>188</x:v>
      </x:c>
      <x:c r="K20" s="1" t="s">
        <x:v>612</x:v>
      </x:c>
      <x:c r="L20" s="1" t="s">
        <x:v>613</x:v>
      </x:c>
      <x:c r="M20" s="1" t="s">
        <x:v>614</x:v>
      </x:c>
      <x:c r="N20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0" s="42">
        <x:v>902</x:v>
      </x:c>
      <x:c r="P20" s="42" t="str">
        <x:v>[마스터 작성]</x:v>
      </x:c>
      <x:c r="Q20" s="42" t="str">
        <x:v>[마스터 작성]</x:v>
      </x:c>
      <x:c r="R20" s="42"/>
    </x:row>
    <x:row r="21" ht="33">
      <x:c r="A21" s="1">
        <x:v>20</x:v>
      </x:c>
      <x:c r="B21" s="1" t="s">
        <x:v>501</x:v>
      </x:c>
      <x:c r="C21" s="1" t="s">
        <x:v>361</x:v>
      </x:c>
      <x:c r="D21" s="1" t="s">
        <x:v>615</x:v>
      </x:c>
      <x:c r="E21" s="14" t="s">
        <x:v>616</x:v>
      </x:c>
      <x:c r="F21" s="1" t="s">
        <x:v>617</x:v>
      </x:c>
      <x:c r="G21" s="1">
        <x:v>14666</x:v>
      </x:c>
      <x:c r="H21" s="1">
        <x:v>48</x:v>
      </x:c>
      <x:c r="I21" s="1">
        <x:v>0.74</x:v>
      </x:c>
      <x:c r="J21" s="1">
        <x:v>195</x:v>
      </x:c>
      <x:c r="K21" s="1" t="s">
        <x:v>618</x:v>
      </x:c>
      <x:c r="L21" s="1" t="s">
        <x:v>619</x:v>
      </x:c>
      <x:c r="M21" s="1" t="s">
        <x:v>620</x:v>
      </x:c>
      <x:c r="N21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1" s="42">
        <x:v>1020</x:v>
      </x:c>
      <x:c r="P21" s="42" t="str">
        <x:v>[마스터 작성]</x:v>
      </x:c>
      <x:c r="Q21" s="42" t="str">
        <x:v>[마스터 작성]</x:v>
      </x:c>
      <x:c r="R21" s="42"/>
    </x:row>
    <x:row r="22" ht="33">
      <x:c r="A22" s="1">
        <x:v>21</x:v>
      </x:c>
      <x:c r="B22" s="1" t="s">
        <x:v>501</x:v>
      </x:c>
      <x:c r="C22" s="1" t="s">
        <x:v>403</x:v>
      </x:c>
      <x:c r="D22" s="1" t="s">
        <x:v>621</x:v>
      </x:c>
      <x:c r="E22" s="1" t="s">
        <x:v>622</x:v>
      </x:c>
      <x:c r="F22" s="1" t="s">
        <x:v>623</x:v>
      </x:c>
      <x:c r="G22" s="1">
        <x:v>16206</x:v>
      </x:c>
      <x:c r="H22" s="1">
        <x:v>50</x:v>
      </x:c>
      <x:c r="I22" s="1">
        <x:v>0.74</x:v>
      </x:c>
      <x:c r="J22" s="1">
        <x:v>202</x:v>
      </x:c>
      <x:c r="K22" s="1" t="s">
        <x:v>624</x:v>
      </x:c>
      <x:c r="L22" s="1" t="s">
        <x:v>625</x:v>
      </x:c>
      <x:c r="M22" s="1" t="s">
        <x:v>626</x:v>
      </x:c>
      <x:c r="N22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2" s="42">
        <x:v>1152</x:v>
      </x:c>
      <x:c r="P22" s="42" t="str">
        <x:v>[마스터 작성]</x:v>
      </x:c>
      <x:c r="Q22" s="42" t="str">
        <x:v>[마스터 작성]</x:v>
      </x:c>
      <x:c r="R22" s="42"/>
    </x:row>
    <x:row r="23" ht="49.5">
      <x:c r="A23" s="1">
        <x:v>22</x:v>
      </x:c>
      <x:c r="B23" s="1" t="s">
        <x:v>501</x:v>
      </x:c>
      <x:c r="C23" s="1" t="s">
        <x:v>403</x:v>
      </x:c>
      <x:c r="D23" s="1" t="s">
        <x:v>627</x:v>
      </x:c>
      <x:c r="E23" s="1" t="s">
        <x:v>628</x:v>
      </x:c>
      <x:c r="F23" s="1" t="s">
        <x:v>629</x:v>
      </x:c>
      <x:c r="G23" s="1">
        <x:v>17907</x:v>
      </x:c>
      <x:c r="H23" s="1">
        <x:v>52</x:v>
      </x:c>
      <x:c r="I23" s="1">
        <x:v>0.75</x:v>
      </x:c>
      <x:c r="J23" s="1">
        <x:v>209</x:v>
      </x:c>
      <x:c r="K23" s="1" t="s">
        <x:v>630</x:v>
      </x:c>
      <x:c r="L23" s="1" t="s">
        <x:v>631</x:v>
      </x:c>
      <x:c r="M23" s="1" t="s">
        <x:v>632</x:v>
      </x:c>
      <x:c r="N23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3" s="42">
        <x:v>1302</x:v>
      </x:c>
      <x:c r="P23" s="42" t="str">
        <x:v>[마스터 작성]</x:v>
      </x:c>
      <x:c r="Q23" s="42" t="str">
        <x:v>[마스터 작성]</x:v>
      </x:c>
      <x:c r="R23" s="42"/>
    </x:row>
    <x:row r="24" ht="33">
      <x:c r="A24" s="1">
        <x:v>23</x:v>
      </x:c>
      <x:c r="B24" s="1" t="s">
        <x:v>501</x:v>
      </x:c>
      <x:c r="C24" s="1" t="s">
        <x:v>403</x:v>
      </x:c>
      <x:c r="D24" s="1" t="s">
        <x:v>633</x:v>
      </x:c>
      <x:c r="E24" s="1" t="s">
        <x:v>634</x:v>
      </x:c>
      <x:c r="F24" s="1" t="s">
        <x:v>635</x:v>
      </x:c>
      <x:c r="G24" s="1">
        <x:v>19788</x:v>
      </x:c>
      <x:c r="H24" s="1">
        <x:v>54</x:v>
      </x:c>
      <x:c r="I24" s="1">
        <x:v>0.75</x:v>
      </x:c>
      <x:c r="J24" s="1">
        <x:v>216</x:v>
      </x:c>
      <x:c r="K24" s="1" t="s">
        <x:v>636</x:v>
      </x:c>
      <x:c r="L24" s="1" t="s">
        <x:v>637</x:v>
      </x:c>
      <x:c r="M24" s="1" t="s">
        <x:v>638</x:v>
      </x:c>
      <x:c r="N24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4" s="42">
        <x:v>1471</x:v>
      </x:c>
      <x:c r="P24" s="42" t="str">
        <x:v>[마스터 작성]</x:v>
      </x:c>
      <x:c r="Q24" s="42" t="str">
        <x:v>[마스터 작성]</x:v>
      </x:c>
      <x:c r="R24" s="42"/>
    </x:row>
    <x:row r="25" ht="33">
      <x:c r="A25" s="1">
        <x:v>24</x:v>
      </x:c>
      <x:c r="B25" s="1" t="s">
        <x:v>501</x:v>
      </x:c>
      <x:c r="C25" s="1" t="s">
        <x:v>403</x:v>
      </x:c>
      <x:c r="D25" s="1" t="s">
        <x:v>639</x:v>
      </x:c>
      <x:c r="E25" s="1" t="s">
        <x:v>640</x:v>
      </x:c>
      <x:c r="F25" s="1" t="s">
        <x:v>641</x:v>
      </x:c>
      <x:c r="G25" s="1">
        <x:v>21865</x:v>
      </x:c>
      <x:c r="H25" s="1">
        <x:v>56</x:v>
      </x:c>
      <x:c r="I25" s="1">
        <x:v>0.75</x:v>
      </x:c>
      <x:c r="J25" s="1">
        <x:v>223</x:v>
      </x:c>
      <x:c r="K25" s="1" t="s">
        <x:v>642</x:v>
      </x:c>
      <x:c r="L25" s="1" t="s">
        <x:v>643</x:v>
      </x:c>
      <x:c r="M25" s="1" t="s">
        <x:v>644</x:v>
      </x:c>
      <x:c r="N25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5" s="42">
        <x:v>1663</x:v>
      </x:c>
      <x:c r="P25" s="42" t="str">
        <x:v>[마스터 작성]</x:v>
      </x:c>
      <x:c r="Q25" s="42" t="str">
        <x:v>[마스터 작성]</x:v>
      </x:c>
      <x:c r="R25" s="42"/>
    </x:row>
    <x:row r="26" ht="33">
      <x:c r="A26" s="1">
        <x:v>25</x:v>
      </x:c>
      <x:c r="B26" s="1" t="s">
        <x:v>501</x:v>
      </x:c>
      <x:c r="C26" s="1" t="s">
        <x:v>403</x:v>
      </x:c>
      <x:c r="D26" s="1" t="s">
        <x:v>645</x:v>
      </x:c>
      <x:c r="E26" s="14" t="s">
        <x:v>646</x:v>
      </x:c>
      <x:c r="F26" s="1" t="s">
        <x:v>647</x:v>
      </x:c>
      <x:c r="G26" s="1">
        <x:v>24161</x:v>
      </x:c>
      <x:c r="H26" s="1">
        <x:v>58</x:v>
      </x:c>
      <x:c r="I26" s="1">
        <x:v>0.76</x:v>
      </x:c>
      <x:c r="J26" s="1">
        <x:v>230</x:v>
      </x:c>
      <x:c r="K26" s="1" t="s">
        <x:v>648</x:v>
      </x:c>
      <x:c r="L26" s="1" t="s">
        <x:v>649</x:v>
      </x:c>
      <x:c r="M26" s="1" t="s">
        <x:v>650</x:v>
      </x:c>
      <x:c r="N26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6" s="42">
        <x:v>1879</x:v>
      </x:c>
      <x:c r="P26" s="42" t="str">
        <x:v>[마스터 작성]</x:v>
      </x:c>
      <x:c r="Q26" s="42" t="str">
        <x:v>[마스터 작성]</x:v>
      </x:c>
      <x:c r="R26" s="42"/>
    </x:row>
    <x:row r="27" ht="33">
      <x:c r="A27" s="1">
        <x:v>26</x:v>
      </x:c>
      <x:c r="B27" s="1" t="s">
        <x:v>501</x:v>
      </x:c>
      <x:c r="C27" s="1" t="s">
        <x:v>446</x:v>
      </x:c>
      <x:c r="D27" s="1" t="s">
        <x:v>651</x:v>
      </x:c>
      <x:c r="E27" s="1" t="s">
        <x:v>652</x:v>
      </x:c>
      <x:c r="F27" s="1" t="s">
        <x:v>653</x:v>
      </x:c>
      <x:c r="G27" s="1">
        <x:v>26698</x:v>
      </x:c>
      <x:c r="H27" s="1">
        <x:v>60</x:v>
      </x:c>
      <x:c r="I27" s="1">
        <x:v>0.76</x:v>
      </x:c>
      <x:c r="J27" s="1">
        <x:v>237</x:v>
      </x:c>
      <x:c r="K27" s="1" t="s">
        <x:v>654</x:v>
      </x:c>
      <x:c r="L27" s="1" t="s">
        <x:v>655</x:v>
      </x:c>
      <x:c r="M27" s="1" t="s">
        <x:v>656</x:v>
      </x:c>
      <x:c r="N27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7" s="42">
        <x:v>2123</x:v>
      </x:c>
      <x:c r="P27" s="42" t="str">
        <x:v>[마스터 작성]</x:v>
      </x:c>
      <x:c r="Q27" s="42" t="str">
        <x:v>[마스터 작성]</x:v>
      </x:c>
      <x:c r="R27" s="42"/>
    </x:row>
    <x:row r="28" ht="33">
      <x:c r="A28" s="1">
        <x:v>27</x:v>
      </x:c>
      <x:c r="B28" s="1" t="s">
        <x:v>501</x:v>
      </x:c>
      <x:c r="C28" s="1" t="s">
        <x:v>446</x:v>
      </x:c>
      <x:c r="D28" s="1" t="s">
        <x:v>657</x:v>
      </x:c>
      <x:c r="E28" s="1" t="s">
        <x:v>658</x:v>
      </x:c>
      <x:c r="F28" s="1" t="s">
        <x:v>659</x:v>
      </x:c>
      <x:c r="G28" s="1">
        <x:v>29501</x:v>
      </x:c>
      <x:c r="H28" s="1">
        <x:v>62</x:v>
      </x:c>
      <x:c r="I28" s="1">
        <x:v>0.76</x:v>
      </x:c>
      <x:c r="J28" s="1">
        <x:v>244</x:v>
      </x:c>
      <x:c r="K28" s="1" t="s">
        <x:v>660</x:v>
      </x:c>
      <x:c r="L28" s="1" t="s">
        <x:v>661</x:v>
      </x:c>
      <x:c r="M28" s="1" t="s">
        <x:v>662</x:v>
      </x:c>
      <x:c r="N28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8" s="42">
        <x:v>2399</x:v>
      </x:c>
      <x:c r="P28" s="42" t="str">
        <x:v>[마스터 작성]</x:v>
      </x:c>
      <x:c r="Q28" s="42" t="str">
        <x:v>[마스터 작성]</x:v>
      </x:c>
      <x:c r="R28" s="42"/>
    </x:row>
    <x:row r="29" ht="33">
      <x:c r="A29" s="1">
        <x:v>28</x:v>
      </x:c>
      <x:c r="B29" s="1" t="s">
        <x:v>501</x:v>
      </x:c>
      <x:c r="C29" s="1" t="s">
        <x:v>446</x:v>
      </x:c>
      <x:c r="D29" s="1" t="s">
        <x:v>663</x:v>
      </x:c>
      <x:c r="E29" s="1" t="s">
        <x:v>664</x:v>
      </x:c>
      <x:c r="F29" s="1" t="s">
        <x:v>665</x:v>
      </x:c>
      <x:c r="G29" s="1">
        <x:v>32599</x:v>
      </x:c>
      <x:c r="H29" s="1">
        <x:v>64</x:v>
      </x:c>
      <x:c r="I29" s="1">
        <x:v>0.76</x:v>
      </x:c>
      <x:c r="J29" s="1">
        <x:v>251</x:v>
      </x:c>
      <x:c r="K29" s="1" t="s">
        <x:v>666</x:v>
      </x:c>
      <x:c r="L29" s="1" t="s">
        <x:v>667</x:v>
      </x:c>
      <x:c r="M29" s="1" t="s">
        <x:v>668</x:v>
      </x:c>
      <x:c r="N29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29" s="42">
        <x:v>2711</x:v>
      </x:c>
      <x:c r="P29" s="42" t="str">
        <x:v>[마스터 작성]</x:v>
      </x:c>
      <x:c r="Q29" s="42" t="str">
        <x:v>[마스터 작성]</x:v>
      </x:c>
      <x:c r="R29" s="42"/>
    </x:row>
    <x:row r="30" ht="33">
      <x:c r="A30" s="1">
        <x:v>29</x:v>
      </x:c>
      <x:c r="B30" s="1" t="s">
        <x:v>501</x:v>
      </x:c>
      <x:c r="C30" s="1" t="s">
        <x:v>446</x:v>
      </x:c>
      <x:c r="D30" s="1" t="s">
        <x:v>669</x:v>
      </x:c>
      <x:c r="E30" s="1" t="s">
        <x:v>670</x:v>
      </x:c>
      <x:c r="F30" s="1" t="s">
        <x:v>671</x:v>
      </x:c>
      <x:c r="G30" s="1">
        <x:v>36022</x:v>
      </x:c>
      <x:c r="H30" s="1">
        <x:v>66</x:v>
      </x:c>
      <x:c r="I30" s="1">
        <x:v>0.77</x:v>
      </x:c>
      <x:c r="J30" s="1">
        <x:v>258</x:v>
      </x:c>
      <x:c r="K30" s="1" t="s">
        <x:v>672</x:v>
      </x:c>
      <x:c r="L30" s="1" t="s">
        <x:v>673</x:v>
      </x:c>
      <x:c r="M30" s="1" t="s">
        <x:v>674</x:v>
      </x:c>
      <x:c r="N30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0" s="42">
        <x:v>3063</x:v>
      </x:c>
      <x:c r="P30" s="42" t="str">
        <x:v>[마스터 작성]</x:v>
      </x:c>
      <x:c r="Q30" s="42" t="str">
        <x:v>[마스터 작성]</x:v>
      </x:c>
      <x:c r="R30" s="42"/>
    </x:row>
    <x:row r="31" ht="33">
      <x:c r="A31" s="1">
        <x:v>30</x:v>
      </x:c>
      <x:c r="B31" s="1" t="s">
        <x:v>501</x:v>
      </x:c>
      <x:c r="C31" s="1" t="s">
        <x:v>446</x:v>
      </x:c>
      <x:c r="D31" s="1" t="s">
        <x:v>675</x:v>
      </x:c>
      <x:c r="E31" s="14" t="s">
        <x:v>676</x:v>
      </x:c>
      <x:c r="F31" s="1" t="s">
        <x:v>677</x:v>
      </x:c>
      <x:c r="G31" s="1">
        <x:v>39804</x:v>
      </x:c>
      <x:c r="H31" s="1">
        <x:v>68</x:v>
      </x:c>
      <x:c r="I31" s="1">
        <x:v>0.77</x:v>
      </x:c>
      <x:c r="J31" s="1">
        <x:v>265</x:v>
      </x:c>
      <x:c r="K31" s="1" t="s">
        <x:v>678</x:v>
      </x:c>
      <x:c r="L31" s="1" t="s">
        <x:v>679</x:v>
      </x:c>
      <x:c r="M31" s="1" t="s">
        <x:v>680</x:v>
      </x:c>
      <x:c r="N31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1" s="42">
        <x:v>3462</x:v>
      </x:c>
      <x:c r="P31" s="42" t="str">
        <x:v>[마스터 작성]</x:v>
      </x:c>
      <x:c r="Q31" s="42" t="str">
        <x:v>[마스터 작성]</x:v>
      </x:c>
      <x:c r="R31" s="42"/>
    </x:row>
    <x:row r="32" ht="49.5">
      <x:c r="A32" s="1">
        <x:v>31</x:v>
      </x:c>
      <x:c r="B32" s="1" t="s">
        <x:v>681</x:v>
      </x:c>
      <x:c r="C32" s="1" t="s">
        <x:v>682</x:v>
      </x:c>
      <x:c r="D32" s="1" t="s">
        <x:v>683</x:v>
      </x:c>
      <x:c r="E32" s="1" t="s">
        <x:v>684</x:v>
      </x:c>
      <x:c r="F32" s="1" t="s">
        <x:v>685</x:v>
      </x:c>
      <x:c r="G32" s="1" t="n">
        <x:v>65000</x:v>
      </x:c>
      <x:c r="H32" s="1" t="n">
        <x:v>95</x:v>
      </x:c>
      <x:c r="I32" s="1">
        <x:v>0.78</x:v>
      </x:c>
      <x:c r="J32" s="1">
        <x:v>420</x:v>
      </x:c>
      <x:c r="K32" s="1" t="s">
        <x:v>686</x:v>
      </x:c>
      <x:c r="L32" s="1" t="s">
        <x:v>687</x:v>
      </x:c>
      <x:c r="M32" s="1" t="s">
        <x:v>688</x:v>
      </x:c>
      <x:c r="N32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2" s="42" t="n">
        <x:v>4100</x:v>
      </x:c>
      <x:c r="P32" s="42" t="str">
        <x:v>[마스터 작성]</x:v>
      </x:c>
      <x:c r="Q32" s="42" t="str">
        <x:v>[마스터 작성]</x:v>
      </x:c>
      <x:c r="R32" s="42"/>
    </x:row>
    <x:row r="33" ht="49.5">
      <x:c r="A33" s="1">
        <x:v>32</x:v>
      </x:c>
      <x:c r="B33" s="1" t="s">
        <x:v>681</x:v>
      </x:c>
      <x:c r="C33" s="1" t="s">
        <x:v>682</x:v>
      </x:c>
      <x:c r="D33" s="1" t="s">
        <x:v>689</x:v>
      </x:c>
      <x:c r="E33" s="1" t="s">
        <x:v>690</x:v>
      </x:c>
      <x:c r="F33" s="1" t="s">
        <x:v>691</x:v>
      </x:c>
      <x:c r="G33" s="1" t="n">
        <x:v>66000</x:v>
      </x:c>
      <x:c r="H33" s="1" t="n">
        <x:v>100</x:v>
      </x:c>
      <x:c r="I33" s="1">
        <x:v>0.79</x:v>
      </x:c>
      <x:c r="J33" s="1">
        <x:v>448</x:v>
      </x:c>
      <x:c r="K33" s="1" t="s">
        <x:v>692</x:v>
      </x:c>
      <x:c r="L33" s="1" t="s">
        <x:v>693</x:v>
      </x:c>
      <x:c r="M33" s="1" t="s">
        <x:v>694</x:v>
      </x:c>
      <x:c r="N33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3" s="42" t="n">
        <x:v>4550</x:v>
      </x:c>
      <x:c r="P33" s="42" t="str">
        <x:v>[마스터 작성]</x:v>
      </x:c>
      <x:c r="Q33" s="42" t="str">
        <x:v>[마스터 작성]</x:v>
      </x:c>
      <x:c r="R33" s="42"/>
    </x:row>
    <x:row r="34" s="17" customFormat="1" ht="49.5">
      <x:c r="A34" s="15">
        <x:v>33</x:v>
      </x:c>
      <x:c r="B34" s="15" t="s">
        <x:v>681</x:v>
      </x:c>
      <x:c r="C34" s="15" t="s">
        <x:v>682</x:v>
      </x:c>
      <x:c r="D34" s="16" t="s">
        <x:v>695</x:v>
      </x:c>
      <x:c r="E34" s="16" t="s">
        <x:v>696</x:v>
      </x:c>
      <x:c r="F34" s="15" t="s">
        <x:v>527</x:v>
      </x:c>
      <x:c r="G34" s="15" t="n">
        <x:v>66000</x:v>
      </x:c>
      <x:c r="H34" s="15" t="n">
        <x:v>105</x:v>
      </x:c>
      <x:c r="I34" s="15">
        <x:v>0.79</x:v>
      </x:c>
      <x:c r="J34" s="15">
        <x:v>476</x:v>
      </x:c>
      <x:c r="K34" s="15" t="s">
        <x:v>697</x:v>
      </x:c>
      <x:c r="L34" s="15" t="s">
        <x:v>698</x:v>
      </x:c>
      <x:c r="M34" s="15" t="s">
        <x:v>699</x:v>
      </x:c>
      <x:c r="N34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4" s="60" t="n">
        <x:v>5050</x:v>
      </x:c>
      <x:c r="P34" s="42" t="str">
        <x:v>[마스터 작성]</x:v>
      </x:c>
      <x:c r="Q34" s="42" t="str">
        <x:v>[마스터 작성]</x:v>
      </x:c>
      <x:c r="R34" s="42" t="str">
        <x:v>동일 세계관 연계 핵심: Let’s Cut 록산 르부로 실루엣/설화 모티프 참조. 노란색 지정 유지.</x:v>
      </x:c>
    </x:row>
    <x:row r="35" ht="49.5">
      <x:c r="A35" s="1">
        <x:v>34</x:v>
      </x:c>
      <x:c r="B35" s="1" t="s">
        <x:v>681</x:v>
      </x:c>
      <x:c r="C35" s="1" t="s">
        <x:v>700</x:v>
      </x:c>
      <x:c r="D35" s="1" t="s">
        <x:v>701</x:v>
      </x:c>
      <x:c r="E35" s="1" t="s">
        <x:v>702</x:v>
      </x:c>
      <x:c r="F35" s="1" t="s">
        <x:v>703</x:v>
      </x:c>
      <x:c r="G35" s="1">
        <x:v>83652</x:v>
      </x:c>
      <x:c r="H35" s="1">
        <x:v>110</x:v>
      </x:c>
      <x:c r="I35" s="1">
        <x:v>0.8</x:v>
      </x:c>
      <x:c r="J35" s="1">
        <x:v>504</x:v>
      </x:c>
      <x:c r="K35" s="1" t="s">
        <x:v>704</x:v>
      </x:c>
      <x:c r="L35" s="1" t="s">
        <x:v>705</x:v>
      </x:c>
      <x:c r="M35" s="1" t="s">
        <x:v>706</x:v>
      </x:c>
      <x:c r="N35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5" s="42">
        <x:v>6460</x:v>
      </x:c>
      <x:c r="P35" s="42" t="str">
        <x:v>[마스터 작성]</x:v>
      </x:c>
      <x:c r="Q35" s="42" t="str">
        <x:v>[마스터 작성]</x:v>
      </x:c>
      <x:c r="R35" s="42"/>
    </x:row>
    <x:row r="36" ht="49.5">
      <x:c r="A36" s="1">
        <x:v>35</x:v>
      </x:c>
      <x:c r="B36" s="1" t="s">
        <x:v>681</x:v>
      </x:c>
      <x:c r="C36" s="1" t="s">
        <x:v>700</x:v>
      </x:c>
      <x:c r="D36" s="1" t="s">
        <x:v>707</x:v>
      </x:c>
      <x:c r="E36" s="1" t="s">
        <x:v>708</x:v>
      </x:c>
      <x:c r="F36" s="1" t="s">
        <x:v>599</x:v>
      </x:c>
      <x:c r="G36" s="1">
        <x:v>92436</x:v>
      </x:c>
      <x:c r="H36" s="1">
        <x:v>115</x:v>
      </x:c>
      <x:c r="I36" s="1">
        <x:v>0.8</x:v>
      </x:c>
      <x:c r="J36" s="1">
        <x:v>532</x:v>
      </x:c>
      <x:c r="K36" s="1" t="s">
        <x:v>709</x:v>
      </x:c>
      <x:c r="L36" s="1" t="s">
        <x:v>710</x:v>
      </x:c>
      <x:c r="M36" s="1" t="s">
        <x:v>711</x:v>
      </x:c>
      <x:c r="N36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6" s="42">
        <x:v>6944</x:v>
      </x:c>
      <x:c r="P36" s="42" t="str">
        <x:v>[마스터 작성]</x:v>
      </x:c>
      <x:c r="Q36" s="42" t="str">
        <x:v>[마스터 작성]</x:v>
      </x:c>
      <x:c r="R36" s="42"/>
    </x:row>
    <x:row r="37" s="17" customFormat="1" ht="49.5">
      <x:c r="A37" s="15">
        <x:v>36</x:v>
      </x:c>
      <x:c r="B37" s="15" t="s">
        <x:v>681</x:v>
      </x:c>
      <x:c r="C37" s="15" t="s">
        <x:v>700</x:v>
      </x:c>
      <x:c r="D37" s="16" t="s">
        <x:v>712</x:v>
      </x:c>
      <x:c r="E37" s="16" t="s">
        <x:v>713</x:v>
      </x:c>
      <x:c r="F37" s="15" t="s">
        <x:v>714</x:v>
      </x:c>
      <x:c r="G37" s="15">
        <x:v>102142</x:v>
      </x:c>
      <x:c r="H37" s="15">
        <x:v>120</x:v>
      </x:c>
      <x:c r="I37" s="15">
        <x:v>0.81</x:v>
      </x:c>
      <x:c r="J37" s="15">
        <x:v>560</x:v>
      </x:c>
      <x:c r="K37" s="15" t="s">
        <x:v>715</x:v>
      </x:c>
      <x:c r="L37" s="15" t="s">
        <x:v>716</x:v>
      </x:c>
      <x:c r="M37" s="15" t="s">
        <x:v>717</x:v>
      </x:c>
      <x:c r="N37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7" s="60">
        <x:v>7465</x:v>
      </x:c>
      <x:c r="P37" s="42" t="str">
        <x:v>[마스터 작성]</x:v>
      </x:c>
      <x:c r="Q37" s="42" t="str">
        <x:v>[마스터 작성]</x:v>
      </x:c>
      <x:c r="R37" s="42" t="str">
        <x:v>동일 세계관 연계 핵심: Let’s Cut 비비엔 실루엣/설화 모티프 참조. 노란색 지정 유지.</x:v>
      </x:c>
    </x:row>
    <x:row r="38" ht="49.5">
      <x:c r="A38" s="1">
        <x:v>37</x:v>
      </x:c>
      <x:c r="B38" s="1" t="s">
        <x:v>681</x:v>
      </x:c>
      <x:c r="C38" s="1" t="s">
        <x:v>718</x:v>
      </x:c>
      <x:c r="D38" s="1" t="s">
        <x:v>719</x:v>
      </x:c>
      <x:c r="E38" s="1" t="s">
        <x:v>720</x:v>
      </x:c>
      <x:c r="F38" s="1" t="s">
        <x:v>721</x:v>
      </x:c>
      <x:c r="G38" s="1">
        <x:v>112867</x:v>
      </x:c>
      <x:c r="H38" s="1">
        <x:v>125</x:v>
      </x:c>
      <x:c r="I38" s="1">
        <x:v>0.82</x:v>
      </x:c>
      <x:c r="J38" s="1">
        <x:v>588</x:v>
      </x:c>
      <x:c r="K38" s="1" t="s">
        <x:v>722</x:v>
      </x:c>
      <x:c r="L38" s="1" t="s">
        <x:v>723</x:v>
      </x:c>
      <x:c r="M38" s="1" t="s">
        <x:v>724</x:v>
      </x:c>
      <x:c r="N38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8" s="42">
        <x:v>8025</x:v>
      </x:c>
      <x:c r="P38" s="42" t="str">
        <x:v>[마스터 작성]</x:v>
      </x:c>
      <x:c r="Q38" s="42" t="str">
        <x:v>[마스터 작성]</x:v>
      </x:c>
      <x:c r="R38" s="42"/>
    </x:row>
    <x:row r="39" ht="49.5">
      <x:c r="A39" s="1">
        <x:v>38</x:v>
      </x:c>
      <x:c r="B39" s="1" t="s">
        <x:v>681</x:v>
      </x:c>
      <x:c r="C39" s="1" t="s">
        <x:v>718</x:v>
      </x:c>
      <x:c r="D39" s="1" t="s">
        <x:v>725</x:v>
      </x:c>
      <x:c r="E39" s="1" t="s">
        <x:v>726</x:v>
      </x:c>
      <x:c r="F39" s="1" t="s">
        <x:v>727</x:v>
      </x:c>
      <x:c r="G39" s="1">
        <x:v>124718</x:v>
      </x:c>
      <x:c r="H39" s="1">
        <x:v>130</x:v>
      </x:c>
      <x:c r="I39" s="1">
        <x:v>0.82</x:v>
      </x:c>
      <x:c r="J39" s="1">
        <x:v>616</x:v>
      </x:c>
      <x:c r="K39" s="1" t="s">
        <x:v>728</x:v>
      </x:c>
      <x:c r="L39" s="1" t="s">
        <x:v>729</x:v>
      </x:c>
      <x:c r="M39" s="1" t="s">
        <x:v>730</x:v>
      </x:c>
      <x:c r="N39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39" s="42">
        <x:v>8627</x:v>
      </x:c>
      <x:c r="P39" s="42" t="str">
        <x:v>[마스터 작성]</x:v>
      </x:c>
      <x:c r="Q39" s="42" t="str">
        <x:v>[마스터 작성]</x:v>
      </x:c>
      <x:c r="R39" s="42"/>
    </x:row>
    <x:row r="40" s="17" customFormat="1" ht="49.5">
      <x:c r="A40" s="15">
        <x:v>39</x:v>
      </x:c>
      <x:c r="B40" s="15" t="s">
        <x:v>681</x:v>
      </x:c>
      <x:c r="C40" s="15" t="s">
        <x:v>718</x:v>
      </x:c>
      <x:c r="D40" s="16" t="s">
        <x:v>731</x:v>
      </x:c>
      <x:c r="E40" s="16" t="s">
        <x:v>732</x:v>
      </x:c>
      <x:c r="F40" s="15" t="s">
        <x:v>733</x:v>
      </x:c>
      <x:c r="G40" s="15">
        <x:v>137813</x:v>
      </x:c>
      <x:c r="H40" s="15">
        <x:v>135</x:v>
      </x:c>
      <x:c r="I40" s="15">
        <x:v>0.83</x:v>
      </x:c>
      <x:c r="J40" s="15">
        <x:v>644</x:v>
      </x:c>
      <x:c r="K40" s="15" t="s">
        <x:v>734</x:v>
      </x:c>
      <x:c r="L40" s="15" t="s">
        <x:v>735</x:v>
      </x:c>
      <x:c r="M40" s="15" t="s">
        <x:v>736</x:v>
      </x:c>
      <x:c r="N40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0" s="60">
        <x:v>9274</x:v>
      </x:c>
      <x:c r="P40" s="42" t="str">
        <x:v>[마스터 작성]</x:v>
      </x:c>
      <x:c r="Q40" s="42" t="str">
        <x:v>[마스터 작성]</x:v>
      </x:c>
      <x:c r="R40" s="42" t="str">
        <x:v>동일 세계관 연계 핵심: Let’s Cut 엘로디 실루엣/설화 모티프 참조. 노란색 지정 유지.</x:v>
      </x:c>
    </x:row>
    <x:row r="41" ht="49.5">
      <x:c r="A41" s="1">
        <x:v>40</x:v>
      </x:c>
      <x:c r="B41" s="1" t="s">
        <x:v>681</x:v>
      </x:c>
      <x:c r="C41" s="1" t="s">
        <x:v>737</x:v>
      </x:c>
      <x:c r="D41" s="1" t="s">
        <x:v>738</x:v>
      </x:c>
      <x:c r="E41" s="1" t="s">
        <x:v>739</x:v>
      </x:c>
      <x:c r="F41" s="1" t="s">
        <x:v>740</x:v>
      </x:c>
      <x:c r="G41" s="1">
        <x:v>152283</x:v>
      </x:c>
      <x:c r="H41" s="1">
        <x:v>140</x:v>
      </x:c>
      <x:c r="I41" s="1">
        <x:v>0.83</x:v>
      </x:c>
      <x:c r="J41" s="1">
        <x:v>672</x:v>
      </x:c>
      <x:c r="K41" s="1" t="s">
        <x:v>741</x:v>
      </x:c>
      <x:c r="L41" s="1" t="s">
        <x:v>742</x:v>
      </x:c>
      <x:c r="M41" s="1" t="s">
        <x:v>743</x:v>
      </x:c>
      <x:c r="N41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1" s="42">
        <x:v>9970</x:v>
      </x:c>
      <x:c r="P41" s="42" t="str">
        <x:v>[마스터 작성]</x:v>
      </x:c>
      <x:c r="Q41" s="42" t="str">
        <x:v>[마스터 작성]</x:v>
      </x:c>
      <x:c r="R41" s="42"/>
    </x:row>
    <x:row r="42" ht="49.5">
      <x:c r="A42" s="1">
        <x:v>41</x:v>
      </x:c>
      <x:c r="B42" s="1" t="s">
        <x:v>681</x:v>
      </x:c>
      <x:c r="C42" s="1" t="s">
        <x:v>737</x:v>
      </x:c>
      <x:c r="D42" s="1" t="s">
        <x:v>744</x:v>
      </x:c>
      <x:c r="E42" s="1" t="s">
        <x:v>745</x:v>
      </x:c>
      <x:c r="F42" s="1" t="s">
        <x:v>746</x:v>
      </x:c>
      <x:c r="G42" s="1">
        <x:v>168273</x:v>
      </x:c>
      <x:c r="H42" s="1">
        <x:v>145</x:v>
      </x:c>
      <x:c r="I42" s="1">
        <x:v>0.84</x:v>
      </x:c>
      <x:c r="J42" s="1">
        <x:v>700</x:v>
      </x:c>
      <x:c r="K42" s="1" t="s">
        <x:v>747</x:v>
      </x:c>
      <x:c r="L42" s="1" t="s">
        <x:v>748</x:v>
      </x:c>
      <x:c r="M42" s="1" t="s">
        <x:v>749</x:v>
      </x:c>
      <x:c r="N42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2" s="42">
        <x:v>10717</x:v>
      </x:c>
      <x:c r="P42" s="42" t="str">
        <x:v>[마스터 작성]</x:v>
      </x:c>
      <x:c r="Q42" s="42" t="str">
        <x:v>[마스터 작성]</x:v>
      </x:c>
      <x:c r="R42" s="42"/>
    </x:row>
    <x:row r="43" s="17" customFormat="1" ht="49.5">
      <x:c r="A43" s="15">
        <x:v>42</x:v>
      </x:c>
      <x:c r="B43" s="15" t="s">
        <x:v>681</x:v>
      </x:c>
      <x:c r="C43" s="15" t="s">
        <x:v>737</x:v>
      </x:c>
      <x:c r="D43" s="16" t="s">
        <x:v>750</x:v>
      </x:c>
      <x:c r="E43" s="16" t="s">
        <x:v>751</x:v>
      </x:c>
      <x:c r="F43" s="15" t="s">
        <x:v>752</x:v>
      </x:c>
      <x:c r="G43" s="15">
        <x:v>185942</x:v>
      </x:c>
      <x:c r="H43" s="15">
        <x:v>150</x:v>
      </x:c>
      <x:c r="I43" s="15">
        <x:v>0.85</x:v>
      </x:c>
      <x:c r="J43" s="15">
        <x:v>728</x:v>
      </x:c>
      <x:c r="K43" s="15" t="s">
        <x:v>753</x:v>
      </x:c>
      <x:c r="L43" s="15" t="s">
        <x:v>754</x:v>
      </x:c>
      <x:c r="M43" s="15" t="s">
        <x:v>755</x:v>
      </x:c>
      <x:c r="N43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3" s="60">
        <x:v>11521</x:v>
      </x:c>
      <x:c r="P43" s="42" t="str">
        <x:v>[마스터 작성]</x:v>
      </x:c>
      <x:c r="Q43" s="42" t="str">
        <x:v>[마스터 작성]</x:v>
      </x:c>
      <x:c r="R43" s="42" t="str">
        <x:v>동일 세계관 연계 핵심: Let’s Cut 이연화 실루엣/설화 모티프 참조. 노란색 지정 유지.</x:v>
      </x:c>
    </x:row>
    <x:row r="44" ht="49.5">
      <x:c r="A44" s="1">
        <x:v>43</x:v>
      </x:c>
      <x:c r="B44" s="1" t="s">
        <x:v>681</x:v>
      </x:c>
      <x:c r="C44" s="1" t="s">
        <x:v>756</x:v>
      </x:c>
      <x:c r="D44" s="1" t="s">
        <x:v>645</x:v>
      </x:c>
      <x:c r="E44" s="1" t="s">
        <x:v>757</x:v>
      </x:c>
      <x:c r="F44" s="1" t="s">
        <x:v>758</x:v>
      </x:c>
      <x:c r="G44" s="1">
        <x:v>205466</x:v>
      </x:c>
      <x:c r="H44" s="1">
        <x:v>155</x:v>
      </x:c>
      <x:c r="I44" s="1">
        <x:v>0.85</x:v>
      </x:c>
      <x:c r="J44" s="1">
        <x:v>756</x:v>
      </x:c>
      <x:c r="K44" s="1" t="s">
        <x:v>759</x:v>
      </x:c>
      <x:c r="L44" s="1" t="s">
        <x:v>760</x:v>
      </x:c>
      <x:c r="M44" s="1" t="s">
        <x:v>761</x:v>
      </x:c>
      <x:c r="N44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4" s="42">
        <x:v>12385</x:v>
      </x:c>
      <x:c r="P44" s="42" t="str">
        <x:v>[마스터 작성]</x:v>
      </x:c>
      <x:c r="Q44" s="42" t="str">
        <x:v>[마스터 작성]</x:v>
      </x:c>
      <x:c r="R44" s="42"/>
    </x:row>
    <x:row r="45" ht="49.5">
      <x:c r="A45" s="1">
        <x:v>44</x:v>
      </x:c>
      <x:c r="B45" s="1" t="s">
        <x:v>681</x:v>
      </x:c>
      <x:c r="C45" s="1" t="s">
        <x:v>756</x:v>
      </x:c>
      <x:c r="D45" s="1" t="s">
        <x:v>762</x:v>
      </x:c>
      <x:c r="E45" s="1" t="s">
        <x:v>763</x:v>
      </x:c>
      <x:c r="F45" s="1" t="s">
        <x:v>764</x:v>
      </x:c>
      <x:c r="G45" s="1">
        <x:v>227039</x:v>
      </x:c>
      <x:c r="H45" s="1">
        <x:v>160</x:v>
      </x:c>
      <x:c r="I45" s="1">
        <x:v>0.86</x:v>
      </x:c>
      <x:c r="J45" s="1">
        <x:v>784</x:v>
      </x:c>
      <x:c r="K45" s="1" t="s">
        <x:v>765</x:v>
      </x:c>
      <x:c r="L45" s="1" t="s">
        <x:v>766</x:v>
      </x:c>
      <x:c r="M45" s="1" t="s">
        <x:v>767</x:v>
      </x:c>
      <x:c r="N45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5" s="42">
        <x:v>13314</x:v>
      </x:c>
      <x:c r="P45" s="42" t="str">
        <x:v>[마스터 작성]</x:v>
      </x:c>
      <x:c r="Q45" s="42" t="str">
        <x:v>[마스터 작성]</x:v>
      </x:c>
      <x:c r="R45" s="42"/>
    </x:row>
    <x:row r="46" s="17" customFormat="1" ht="49.5">
      <x:c r="A46" s="15">
        <x:v>45</x:v>
      </x:c>
      <x:c r="B46" s="15" t="s">
        <x:v>681</x:v>
      </x:c>
      <x:c r="C46" s="15" t="s">
        <x:v>756</x:v>
      </x:c>
      <x:c r="D46" s="16" t="s">
        <x:v>768</x:v>
      </x:c>
      <x:c r="E46" s="16" t="s">
        <x:v>769</x:v>
      </x:c>
      <x:c r="F46" s="15" t="s">
        <x:v>770</x:v>
      </x:c>
      <x:c r="G46" s="15">
        <x:v>250879</x:v>
      </x:c>
      <x:c r="H46" s="15">
        <x:v>165</x:v>
      </x:c>
      <x:c r="I46" s="15">
        <x:v>0.86</x:v>
      </x:c>
      <x:c r="J46" s="15">
        <x:v>812</x:v>
      </x:c>
      <x:c r="K46" s="15" t="s">
        <x:v>771</x:v>
      </x:c>
      <x:c r="L46" s="15" t="s">
        <x:v>772</x:v>
      </x:c>
      <x:c r="M46" s="15" t="s">
        <x:v>773</x:v>
      </x:c>
      <x:c r="N46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6" s="60">
        <x:v>14313</x:v>
      </x:c>
      <x:c r="P46" s="42" t="str">
        <x:v>[마스터 작성]</x:v>
      </x:c>
      <x:c r="Q46" s="42" t="str">
        <x:v>[마스터 작성]</x:v>
      </x:c>
      <x:c r="R46" s="42" t="str">
        <x:v>동일 세계관 연계 핵심: Let’s Cut 프라이데이 실루엣/용살자 설화 모티프 참조. 노란색 지정 유지.</x:v>
      </x:c>
    </x:row>
    <x:row r="47" ht="49.5">
      <x:c r="A47" s="1">
        <x:v>46</x:v>
      </x:c>
      <x:c r="B47" s="1" t="s">
        <x:v>681</x:v>
      </x:c>
      <x:c r="C47" s="1" t="s">
        <x:v>774</x:v>
      </x:c>
      <x:c r="D47" s="1" t="s">
        <x:v>775</x:v>
      </x:c>
      <x:c r="E47" s="1" t="s">
        <x:v>776</x:v>
      </x:c>
      <x:c r="F47" s="1" t="s">
        <x:v>653</x:v>
      </x:c>
      <x:c r="G47" s="1">
        <x:v>277221</x:v>
      </x:c>
      <x:c r="H47" s="1">
        <x:v>170</x:v>
      </x:c>
      <x:c r="I47" s="1">
        <x:v>0.87</x:v>
      </x:c>
      <x:c r="J47" s="1">
        <x:v>840</x:v>
      </x:c>
      <x:c r="K47" s="1" t="s">
        <x:v>777</x:v>
      </x:c>
      <x:c r="L47" s="1" t="s">
        <x:v>778</x:v>
      </x:c>
      <x:c r="M47" s="1" t="s">
        <x:v>779</x:v>
      </x:c>
      <x:c r="N47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7" s="42">
        <x:v>15386</x:v>
      </x:c>
      <x:c r="P47" s="42" t="str">
        <x:v>[마스터 작성]</x:v>
      </x:c>
      <x:c r="Q47" s="42" t="str">
        <x:v>[마스터 작성]</x:v>
      </x:c>
      <x:c r="R47" s="42"/>
    </x:row>
    <x:row r="48" ht="49.5">
      <x:c r="A48" s="1">
        <x:v>47</x:v>
      </x:c>
      <x:c r="B48" s="1" t="s">
        <x:v>681</x:v>
      </x:c>
      <x:c r="C48" s="1" t="s">
        <x:v>774</x:v>
      </x:c>
      <x:c r="D48" s="1" t="s">
        <x:v>780</x:v>
      </x:c>
      <x:c r="E48" s="1" t="s">
        <x:v>781</x:v>
      </x:c>
      <x:c r="F48" s="1" t="s">
        <x:v>782</x:v>
      </x:c>
      <x:c r="G48" s="1">
        <x:v>306329</x:v>
      </x:c>
      <x:c r="H48" s="1">
        <x:v>175</x:v>
      </x:c>
      <x:c r="I48" s="1">
        <x:v>0.88</x:v>
      </x:c>
      <x:c r="J48" s="1">
        <x:v>868</x:v>
      </x:c>
      <x:c r="K48" s="1" t="s">
        <x:v>783</x:v>
      </x:c>
      <x:c r="L48" s="1" t="s">
        <x:v>784</x:v>
      </x:c>
      <x:c r="M48" s="1" t="s">
        <x:v>785</x:v>
      </x:c>
      <x:c r="N48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8" s="42">
        <x:v>16540</x:v>
      </x:c>
      <x:c r="P48" s="42" t="str">
        <x:v>[마스터 작성]</x:v>
      </x:c>
      <x:c r="Q48" s="42" t="str">
        <x:v>[마스터 작성]</x:v>
      </x:c>
      <x:c r="R48" s="42"/>
    </x:row>
    <x:row r="49" ht="49.5">
      <x:c r="A49" s="1">
        <x:v>48</x:v>
      </x:c>
      <x:c r="B49" s="1" t="s">
        <x:v>681</x:v>
      </x:c>
      <x:c r="C49" s="1" t="s">
        <x:v>774</x:v>
      </x:c>
      <x:c r="D49" s="1" t="s">
        <x:v>786</x:v>
      </x:c>
      <x:c r="E49" s="1" t="s">
        <x:v>787</x:v>
      </x:c>
      <x:c r="F49" s="1" t="s">
        <x:v>788</x:v>
      </x:c>
      <x:c r="G49" s="1">
        <x:v>338494</x:v>
      </x:c>
      <x:c r="H49" s="1">
        <x:v>180</x:v>
      </x:c>
      <x:c r="I49" s="1">
        <x:v>0.88</x:v>
      </x:c>
      <x:c r="J49" s="1">
        <x:v>896</x:v>
      </x:c>
      <x:c r="K49" s="1" t="s">
        <x:v>789</x:v>
      </x:c>
      <x:c r="L49" s="1" t="s">
        <x:v>790</x:v>
      </x:c>
      <x:c r="M49" s="1" t="s">
        <x:v>791</x:v>
      </x:c>
      <x:c r="N49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49" s="42">
        <x:v>17781</x:v>
      </x:c>
      <x:c r="P49" s="42" t="str">
        <x:v>[마스터 작성]</x:v>
      </x:c>
      <x:c r="Q49" s="42" t="str">
        <x:v>[마스터 작성]</x:v>
      </x:c>
      <x:c r="R49" s="42"/>
    </x:row>
    <x:row r="50" ht="49.5">
      <x:c r="A50" s="1">
        <x:v>49</x:v>
      </x:c>
      <x:c r="B50" s="1" t="s">
        <x:v>681</x:v>
      </x:c>
      <x:c r="C50" s="1" t="s">
        <x:v>774</x:v>
      </x:c>
      <x:c r="D50" s="1" t="s">
        <x:v>792</x:v>
      </x:c>
      <x:c r="E50" s="1" t="s">
        <x:v>793</x:v>
      </x:c>
      <x:c r="F50" s="1" t="s">
        <x:v>794</x:v>
      </x:c>
      <x:c r="G50" s="1">
        <x:v>374035</x:v>
      </x:c>
      <x:c r="H50" s="1">
        <x:v>185</x:v>
      </x:c>
      <x:c r="I50" s="1">
        <x:v>0.89</x:v>
      </x:c>
      <x:c r="J50" s="1">
        <x:v>924</x:v>
      </x:c>
      <x:c r="K50" s="1" t="s">
        <x:v>795</x:v>
      </x:c>
      <x:c r="L50" s="1" t="s">
        <x:v>796</x:v>
      </x:c>
      <x:c r="M50" s="1" t="s">
        <x:v>797</x:v>
      </x:c>
      <x:c r="N50" s="42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50" s="42">
        <x:v>19114</x:v>
      </x:c>
      <x:c r="P50" s="42" t="str">
        <x:v>[마스터 작성]</x:v>
      </x:c>
      <x:c r="Q50" s="42" t="str">
        <x:v>[마스터 작성]</x:v>
      </x:c>
      <x:c r="R50" s="42"/>
    </x:row>
    <x:row r="51" s="17" customFormat="1" ht="49.5">
      <x:c r="A51" s="15">
        <x:v>50</x:v>
      </x:c>
      <x:c r="B51" s="15" t="s">
        <x:v>681</x:v>
      </x:c>
      <x:c r="C51" s="15" t="s">
        <x:v>774</x:v>
      </x:c>
      <x:c r="D51" s="16" t="s">
        <x:v>798</x:v>
      </x:c>
      <x:c r="E51" s="15" t="s">
        <x:v>799</x:v>
      </x:c>
      <x:c r="F51" s="15" t="s">
        <x:v>800</x:v>
      </x:c>
      <x:c r="G51" s="15">
        <x:v>413309</x:v>
      </x:c>
      <x:c r="H51" s="15">
        <x:v>190</x:v>
      </x:c>
      <x:c r="I51" s="15">
        <x:v>0.89</x:v>
      </x:c>
      <x:c r="J51" s="15">
        <x:v>952</x:v>
      </x:c>
      <x:c r="K51" s="15" t="s">
        <x:v>801</x:v>
      </x:c>
      <x:c r="L51" s="15" t="s">
        <x:v>802</x:v>
      </x:c>
      <x:c r="M51" s="15" t="s">
        <x:v>803</x:v>
      </x:c>
      <x:c r="N51" s="60" t="str">
        <x:v>HP 0 → 잠시 주저앉음 → 눈에서 붉은 빛 → 포효 → 전장 내 모든 구조물 파괴 → 성벽 앞으로 돌진 → [공용 이벤트 멘트] → [보스별 RPG 진입 멘트] → 자동전투 RPG 시작</x:v>
      </x:c>
      <x:c r="O51" s="60">
        <x:v>20548</x:v>
      </x:c>
      <x:c r="P51" s="42" t="str">
        <x:v>[마스터 작성]</x:v>
      </x:c>
      <x:c r="Q51" s="42" t="str">
        <x:v>[마스터 작성]</x:v>
      </x:c>
      <x:c r="R51" s="42" t="str">
        <x:v>동일 세계관 직접 연결: 사룡 발테리옹. Let’s Cut 세계관 설정을 우선 참조.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8" style="2" customWidth="1"/>
    <x:col min="2" max="2" width="20" style="2" customWidth="1"/>
    <x:col min="3" max="3" width="10" style="2" customWidth="1"/>
    <x:col min="4" max="4" width="12" style="2" customWidth="1"/>
    <x:col min="5" max="6" width="20" style="2" customWidth="1"/>
    <x:col min="7" max="9" width="38" customWidth="1"/>
    <x:col min="10" max="12" width="20" style="2" customWidth="1"/>
    <x:col min="13" max="13" width="20" customWidth="1"/>
    <x:col min="14" max="14" width="12" customWidth="1"/>
    <x:col min="15" max="15" width="34" customWidth="1"/>
    <x:col min="16" max="16" width="36" customWidth="1"/>
    <x:col min="17" max="17" width="30" hidden="0" customWidth="1"/>
    <x:col min="18" max="18" width="18" hidden="0" customWidth="1"/>
    <x:col min="19" max="19" width="22" hidden="0" customWidth="1"/>
    <x:col min="20" max="20" width="30" hidden="0" customWidth="1"/>
    <x:col min="21" max="21" width="40" hidden="0" customWidth="1"/>
    <x:col min="22" max="22" width="12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4" hidden="0" customWidth="1"/>
    <x:col min="28" max="28" width="44" hidden="0" customWidth="1"/>
  </x:cols>
  <x:sheetData>
    <x:row r="1" ht="33">
      <x:c r="A1" s="4" t="s">
        <x:v>804</x:v>
      </x:c>
      <x:c r="B1" s="3" t="s">
        <x:v>805</x:v>
      </x:c>
      <x:c r="C1" s="3" t="s">
        <x:v>806</x:v>
      </x:c>
      <x:c r="D1" s="4" t="s">
        <x:v>22</x:v>
      </x:c>
      <x:c r="E1" s="3" t="s">
        <x:v>807</x:v>
      </x:c>
      <x:c r="F1" s="3" t="s">
        <x:v>808</x:v>
      </x:c>
      <x:c r="G1" s="3" t="s">
        <x:v>496</x:v>
      </x:c>
      <x:c r="H1" s="3" t="s">
        <x:v>497</x:v>
      </x:c>
      <x:c r="I1" s="3" t="s">
        <x:v>498</x:v>
      </x:c>
      <x:c r="J1" s="3" t="s">
        <x:v>809</x:v>
      </x:c>
      <x:c r="K1" s="3" t="s">
        <x:v>810</x:v>
      </x:c>
      <x:c r="L1" s="3" t="s">
        <x:v>811</x:v>
      </x:c>
      <x:c r="M1" s="3" t="s">
        <x:v>201</x:v>
      </x:c>
      <x:c r="N1" s="3" t="s">
        <x:v>812</x:v>
      </x:c>
      <x:c r="O1" s="3" t="s">
        <x:v>813</x:v>
      </x:c>
      <x:c r="P1" s="3" t="s">
        <x:v>814</x:v>
      </x:c>
      <x:c r="Q1" s="46" t="str">
        <x:v>로비 육성 적용</x:v>
      </x:c>
      <x:c r="R1" s="46" t="str">
        <x:v>스킬1 해금</x:v>
      </x:c>
      <x:c r="S1" s="46" t="str">
        <x:v>스킬2 해금</x:v>
      </x:c>
      <x:c r="T1" s="46" t="str">
        <x:v>스킬3(필살기) 해금</x:v>
      </x:c>
      <x:c r="U1" s="46" t="str">
        <x:v>TD 성급 업그레이드 비용</x:v>
      </x:c>
      <x:c r="V1" s="531" t="str">
        <x:v>TD 기본ATK</x:v>
      </x:c>
      <x:c r="W1" s="531" t="str">
        <x:v>TD 공속</x:v>
      </x:c>
      <x:c r="X1" s="531" t="str">
        <x:v>TD 사거리</x:v>
      </x:c>
      <x:c r="Y1" s="531" t="str">
        <x:v>TD 타겟수</x:v>
      </x:c>
      <x:c r="Z1" s="531" t="str">
        <x:v>스킬1 CD</x:v>
      </x:c>
      <x:c r="AA1" s="531" t="str">
        <x:v>스킬1 TD계수</x:v>
      </x:c>
      <x:c r="AB1" s="531" t="str">
        <x:v>TD 설계 메모</x:v>
      </x:c>
      <x:c r="AC1" s="744" t="str">
        <x:v>판매 가능</x:v>
      </x:c>
      <x:c r="AD1" s="744" t="str">
        <x:v>★1 판매G</x:v>
      </x:c>
      <x:c r="AE1" s="744" t="str">
        <x:v>★2 판매G</x:v>
      </x:c>
      <x:c r="AF1" s="744" t="str">
        <x:v>★3 판매G</x:v>
      </x:c>
      <x:c r="AG1" s="744" t="str">
        <x:v>★4 판매G</x:v>
      </x:c>
      <x:c r="AH1" s="744" t="str">
        <x:v>★5 판매G</x:v>
      </x:c>
      <x:c r="AI1" s="744" t="str">
        <x:v>판매 메모</x:v>
      </x:c>
    </x:row>
    <x:row r="2" ht="49.5">
      <x:c r="A2" s="7" t="s">
        <x:v>815</x:v>
      </x:c>
      <x:c r="B2" s="8" t="s">
        <x:v>816</x:v>
      </x:c>
      <x:c r="C2" s="7" t="s">
        <x:v>817</x:v>
      </x:c>
      <x:c r="D2" s="9" t="s">
        <x:v>818</x:v>
      </x:c>
      <x:c r="E2" s="10" t="s">
        <x:v>819</x:v>
      </x:c>
      <x:c r="F2" s="10" t="s">
        <x:v>820</x:v>
      </x:c>
      <x:c r="G2" s="10" t="s">
        <x:v>821</x:v>
      </x:c>
      <x:c r="H2" s="10" t="s">
        <x:v>822</x:v>
      </x:c>
      <x:c r="I2" s="10" t="s">
        <x:v>823</x:v>
      </x:c>
      <x:c r="J2" s="10" t="str">
        <x:v>기사단장</x:v>
      </x:c>
      <x:c r="K2" s="10" t="str">
        <x:v>기사단장</x:v>
      </x:c>
      <x:c r="L2" s="10" t="str">
        <x:v>전설은 조합재료3
필요하지 않음</x:v>
      </x:c>
      <x:c r="M2" s="1" t="s">
        <x:v>824</x:v>
      </x:c>
      <x:c r="N2" s="1" t="str">
        <x:v>유지(마스터 확정)</x:v>
      </x:c>
      <x:c r="O2" s="1" t="str">
        <x:v>기사단장 + 기사단장</x:v>
      </x:c>
      <x:c r="P2" s="1" t="str">
        <x:v>5스테이지 이전부터 구성 가능한 전설 영웅. 강철 방어벽 요구는 삭제.</x:v>
      </x:c>
      <x:c r="Q2" s="42" t="str">
        <x:v>로비 Lv/한계돌파로 HP·ATK·DEF 기본값 성장</x:v>
      </x:c>
      <x:c r="R2" s="42" t="str">
        <x:v>기본 해금</x:v>
      </x:c>
      <x:c r="S2" s="42" t="str">
        <x:v>1차 한계돌파(Lv20)</x:v>
      </x:c>
      <x:c r="T2" s="42" t="str">
        <x:v>3차 한계돌파(Lv60) / 필살기 컷신</x:v>
      </x:c>
      <x:c r="U2" s="42" t="str">
        <x:v>★1→2 70G / ★2→3 110G / ★3→4 160G / ★4→5 230G</x:v>
      </x:c>
      <x:c r="V2" s="42" t="n">
        <x:v>64</x:v>
      </x:c>
      <x:c r="W2" s="42" t="n">
        <x:v>12</x:v>
      </x:c>
      <x:c r="X2" s="42" t="n">
        <x:v>2</x:v>
      </x:c>
      <x:c r="Y2" s="42" t="n">
        <x:v>1</x:v>
      </x:c>
      <x:c r="Z2" s="42" t="n">
        <x:v>15</x:v>
      </x:c>
      <x:c r="AA2" s="42" t="str">
        <x:v>100%</x:v>
      </x:c>
      <x:c r="AB2" s="42" t="str">
        <x:v>초반 필수 전설 기준점. W5/W10 첫 성장벽 해제.</x:v>
      </x:c>
      <x:c r="AC2" s="42" t="str">
        <x:v>가능</x:v>
      </x:c>
      <x:c r="AD2" s="338" t="n">
        <x:v>180</x:v>
      </x:c>
      <x:c r="AE2" s="338" t="n">
        <x:v>205</x:v>
      </x:c>
      <x:c r="AF2" s="338" t="n">
        <x:v>240</x:v>
      </x:c>
      <x:c r="AG2" s="338" t="n">
        <x:v>300</x:v>
      </x:c>
      <x:c r="AH2" s="338" t="n">
        <x:v>380</x:v>
      </x:c>
      <x:c r="AI2" s="42" t="str">
        <x:v>W1~W9 판매 가능 / 재료 반환 없음 / 슬롯 1칸 비움</x:v>
      </x:c>
    </x:row>
    <x:row r="3" ht="49.5">
      <x:c r="A3" s="7" t="s">
        <x:v>825</x:v>
      </x:c>
      <x:c r="B3" s="7" t="s">
        <x:v>826</x:v>
      </x:c>
      <x:c r="C3" s="8" t="s">
        <x:v>817</x:v>
      </x:c>
      <x:c r="D3" s="9" t="s">
        <x:v>827</x:v>
      </x:c>
      <x:c r="E3" s="10" t="s">
        <x:v>828</x:v>
      </x:c>
      <x:c r="F3" s="10" t="s">
        <x:v>829</x:v>
      </x:c>
      <x:c r="G3" s="10" t="s">
        <x:v>830</x:v>
      </x:c>
      <x:c r="H3" s="10" t="s">
        <x:v>831</x:v>
      </x:c>
      <x:c r="I3" s="10" t="s">
        <x:v>832</x:v>
      </x:c>
      <x:c r="J3" s="10" t="s">
        <x:v>161</x:v>
      </x:c>
      <x:c r="K3" s="10" t="s">
        <x:v>833</x:v>
      </x:c>
      <x:c r="L3" s="10" t="s">
        <x:v>834</x:v>
      </x:c>
      <x:c r="M3" s="1" t="s">
        <x:v>835</x:v>
      </x:c>
      <x:c r="N3" s="1" t="s">
        <x:v>836</x:v>
      </x:c>
      <x:c r="O3" s="1" t="s">
        <x:v>837</x:v>
      </x:c>
      <x:c r="P3" s="1" t="s">
        <x:v>838</x:v>
      </x:c>
      <x:c r="Q3" s="42" t="str">
        <x:v>로비 Lv/한계돌파로 HP·ATK·DEF 기본값 성장</x:v>
      </x:c>
      <x:c r="R3" s="42" t="str">
        <x:v>기본 해금</x:v>
      </x:c>
      <x:c r="S3" s="42" t="str">
        <x:v>1차 한계돌파(Lv20)</x:v>
      </x:c>
      <x:c r="T3" s="42" t="str">
        <x:v>3차 한계돌파(Lv60) / 필살기 컷신</x:v>
      </x:c>
      <x:c r="U3" s="42" t="str">
        <x:v>★1→2 70G / ★2→3 110G / ★3→4 160G / ★4→5 230G</x:v>
      </x:c>
      <x:c r="V3" s="42" t="n">
        <x:v>42</x:v>
      </x:c>
      <x:c r="W3" s="42" t="n">
        <x:v>11</x:v>
      </x:c>
      <x:c r="X3" s="42" t="n">
        <x:v>4</x:v>
      </x:c>
      <x:c r="Y3" s="42" t="n">
        <x:v>1</x:v>
      </x:c>
      <x:c r="Z3" s="42" t="n">
        <x:v>12</x:v>
      </x:c>
      <x:c r="AA3" s="42" t="str">
        <x:v>제어</x:v>
      </x:c>
      <x:c r="AB3" s="42" t="str">
        <x:v>봉인/결계 중심. 순수 DPS보다 보스 정지·슬로우 가치.</x:v>
      </x:c>
      <x:c r="AC3" s="42" t="str">
        <x:v>가능</x:v>
      </x:c>
      <x:c r="AD3" s="338" t="n">
        <x:v>230</x:v>
      </x:c>
      <x:c r="AE3" s="338" t="n">
        <x:v>255</x:v>
      </x:c>
      <x:c r="AF3" s="338" t="n">
        <x:v>295</x:v>
      </x:c>
      <x:c r="AG3" s="338" t="n">
        <x:v>350</x:v>
      </x:c>
      <x:c r="AH3" s="338" t="n">
        <x:v>430</x:v>
      </x:c>
      <x:c r="AI3" s="42" t="str">
        <x:v>W1~W9 판매 가능 / 재료 반환 없음 / 슬롯 1칸 비움</x:v>
      </x:c>
    </x:row>
    <x:row r="4" ht="49.5">
      <x:c r="A4" s="7" t="s">
        <x:v>839</x:v>
      </x:c>
      <x:c r="B4" s="7" t="s">
        <x:v>446</x:v>
      </x:c>
      <x:c r="C4" s="8" t="s">
        <x:v>817</x:v>
      </x:c>
      <x:c r="D4" s="9" t="s">
        <x:v>840</x:v>
      </x:c>
      <x:c r="E4" s="10" t="s">
        <x:v>841</x:v>
      </x:c>
      <x:c r="F4" s="10" t="s">
        <x:v>842</x:v>
      </x:c>
      <x:c r="G4" s="10" t="s">
        <x:v>843</x:v>
      </x:c>
      <x:c r="H4" s="10" t="s">
        <x:v>844</x:v>
      </x:c>
      <x:c r="I4" s="10" t="s">
        <x:v>845</x:v>
      </x:c>
      <x:c r="J4" s="10" t="s">
        <x:v>846</x:v>
      </x:c>
      <x:c r="K4" s="10" t="s">
        <x:v>833</x:v>
      </x:c>
      <x:c r="L4" s="10" t="s">
        <x:v>834</x:v>
      </x:c>
      <x:c r="M4" s="1" t="s">
        <x:v>847</x:v>
      </x:c>
      <x:c r="N4" s="1" t="s">
        <x:v>836</x:v>
      </x:c>
      <x:c r="O4" s="1" t="s">
        <x:v>848</x:v>
      </x:c>
      <x:c r="P4" s="1" t="s">
        <x:v>838</x:v>
      </x:c>
      <x:c r="Q4" s="42" t="str">
        <x:v>로비 Lv/한계돌파로 HP·ATK·DEF 기본값 성장</x:v>
      </x:c>
      <x:c r="R4" s="42" t="str">
        <x:v>기본 해금</x:v>
      </x:c>
      <x:c r="S4" s="42" t="str">
        <x:v>1차 한계돌파(Lv20)</x:v>
      </x:c>
      <x:c r="T4" s="42" t="str">
        <x:v>3차 한계돌파(Lv60) / 필살기 컷신</x:v>
      </x:c>
      <x:c r="U4" s="42" t="str">
        <x:v>★1→2 70G / ★2→3 110G / ★3→4 160G / ★4→5 230G</x:v>
      </x:c>
      <x:c r="V4" s="42" t="n">
        <x:v>90</x:v>
      </x:c>
      <x:c r="W4" s="42" t="n">
        <x:v>12</x:v>
      </x:c>
      <x:c r="X4" s="42" t="n">
        <x:v>4</x:v>
      </x:c>
      <x:c r="Y4" s="42" t="n">
        <x:v>1</x:v>
      </x:c>
      <x:c r="Z4" s="42" t="n">
        <x:v>14</x:v>
      </x:c>
      <x:c r="AA4" s="42" t="str">
        <x:v>160%+화상</x:v>
      </x:c>
      <x:c r="AB4" s="42" t="str">
        <x:v>광역 지속딜 전설. Stage15 이후 화상 시너지.</x:v>
      </x:c>
      <x:c r="AC4" s="42" t="str">
        <x:v>가능</x:v>
      </x:c>
      <x:c r="AD4" s="338" t="n">
        <x:v>335</x:v>
      </x:c>
      <x:c r="AE4" s="338" t="n">
        <x:v>355</x:v>
      </x:c>
      <x:c r="AF4" s="338" t="n">
        <x:v>395</x:v>
      </x:c>
      <x:c r="AG4" s="338" t="n">
        <x:v>450</x:v>
      </x:c>
      <x:c r="AH4" s="338" t="n">
        <x:v>530</x:v>
      </x:c>
      <x:c r="AI4" s="42" t="str">
        <x:v>W1~W9 판매 가능 / 재료 반환 없음 / 슬롯 1칸 비움</x:v>
      </x:c>
    </x:row>
    <x:row r="5" ht="49.5">
      <x:c r="A5" s="7" t="s">
        <x:v>849</x:v>
      </x:c>
      <x:c r="B5" s="7" t="s">
        <x:v>269</x:v>
      </x:c>
      <x:c r="C5" s="8" t="s">
        <x:v>817</x:v>
      </x:c>
      <x:c r="D5" s="9" t="s">
        <x:v>850</x:v>
      </x:c>
      <x:c r="E5" s="10" t="s">
        <x:v>851</x:v>
      </x:c>
      <x:c r="F5" s="10" t="s">
        <x:v>852</x:v>
      </x:c>
      <x:c r="G5" s="10" t="s">
        <x:v>853</x:v>
      </x:c>
      <x:c r="H5" s="10" t="s">
        <x:v>854</x:v>
      </x:c>
      <x:c r="I5" s="10" t="s">
        <x:v>855</x:v>
      </x:c>
      <x:c r="J5" s="10" t="s">
        <x:v>856</x:v>
      </x:c>
      <x:c r="K5" s="10" t="s">
        <x:v>857</x:v>
      </x:c>
      <x:c r="L5" s="10" t="s">
        <x:v>834</x:v>
      </x:c>
      <x:c r="M5" s="1" t="s">
        <x:v>858</x:v>
      </x:c>
      <x:c r="N5" s="1" t="s">
        <x:v>836</x:v>
      </x:c>
      <x:c r="O5" s="1" t="s">
        <x:v>859</x:v>
      </x:c>
      <x:c r="P5" s="1" t="s">
        <x:v>838</x:v>
      </x:c>
      <x:c r="Q5" s="42" t="str">
        <x:v>로비 Lv/한계돌파로 HP·ATK·DEF 기본값 성장</x:v>
      </x:c>
      <x:c r="R5" s="42" t="str">
        <x:v>기본 해금</x:v>
      </x:c>
      <x:c r="S5" s="42" t="str">
        <x:v>1차 한계돌파(Lv20)</x:v>
      </x:c>
      <x:c r="T5" s="42" t="str">
        <x:v>3차 한계돌파(Lv60) / 필살기 컷신</x:v>
      </x:c>
      <x:c r="U5" s="42" t="str">
        <x:v>★1→2 70G / ★2→3 110G / ★3→4 160G / ★4→5 230G</x:v>
      </x:c>
      <x:c r="V5" s="42" t="n">
        <x:v>72</x:v>
      </x:c>
      <x:c r="W5" s="42" t="n">
        <x:v>14</x:v>
      </x:c>
      <x:c r="X5" s="42" t="n">
        <x:v>4</x:v>
      </x:c>
      <x:c r="Y5" s="42" t="n">
        <x:v>1</x:v>
      </x:c>
      <x:c r="Z5" s="42" t="n">
        <x:v>18</x:v>
      </x:c>
      <x:c r="AA5" s="42" t="str">
        <x:v>표식+15%</x:v>
      </x:c>
      <x:c r="AB5" s="42" t="str">
        <x:v>보스/다중 표준 화력.</x:v>
      </x:c>
      <x:c r="AC5" s="42" t="str">
        <x:v>가능</x:v>
      </x:c>
      <x:c r="AD5" s="338" t="n">
        <x:v>170</x:v>
      </x:c>
      <x:c r="AE5" s="338" t="n">
        <x:v>195</x:v>
      </x:c>
      <x:c r="AF5" s="338" t="n">
        <x:v>230</x:v>
      </x:c>
      <x:c r="AG5" s="338" t="n">
        <x:v>285</x:v>
      </x:c>
      <x:c r="AH5" s="338" t="n">
        <x:v>370</x:v>
      </x:c>
      <x:c r="AI5" s="42" t="str">
        <x:v>W1~W9 판매 가능 / 재료 반환 없음 / 슬롯 1칸 비움</x:v>
      </x:c>
    </x:row>
    <x:row r="6" ht="49.5">
      <x:c r="A6" s="7" t="s">
        <x:v>860</x:v>
      </x:c>
      <x:c r="B6" s="7" t="s">
        <x:v>446</x:v>
      </x:c>
      <x:c r="C6" s="8" t="s">
        <x:v>817</x:v>
      </x:c>
      <x:c r="D6" s="9" t="s">
        <x:v>861</x:v>
      </x:c>
      <x:c r="E6" s="10" t="s">
        <x:v>862</x:v>
      </x:c>
      <x:c r="F6" s="10" t="s">
        <x:v>863</x:v>
      </x:c>
      <x:c r="G6" s="10" t="s">
        <x:v>864</x:v>
      </x:c>
      <x:c r="H6" s="10" t="s">
        <x:v>865</x:v>
      </x:c>
      <x:c r="I6" s="10" t="s">
        <x:v>866</x:v>
      </x:c>
      <x:c r="J6" s="10" t="s">
        <x:v>131</x:v>
      </x:c>
      <x:c r="K6" s="10" t="s">
        <x:v>149</x:v>
      </x:c>
      <x:c r="L6" s="10" t="s">
        <x:v>834</x:v>
      </x:c>
      <x:c r="M6" s="1" t="s">
        <x:v>867</x:v>
      </x:c>
      <x:c r="N6" s="1" t="s">
        <x:v>836</x:v>
      </x:c>
      <x:c r="O6" s="1" t="s">
        <x:v>868</x:v>
      </x:c>
      <x:c r="P6" s="1" t="s">
        <x:v>838</x:v>
      </x:c>
      <x:c r="Q6" s="42" t="str">
        <x:v>로비 Lv/한계돌파로 HP·ATK·DEF 기본값 성장</x:v>
      </x:c>
      <x:c r="R6" s="42" t="str">
        <x:v>기본 해금</x:v>
      </x:c>
      <x:c r="S6" s="42" t="str">
        <x:v>1차 한계돌파(Lv20)</x:v>
      </x:c>
      <x:c r="T6" s="42" t="str">
        <x:v>3차 한계돌파(Lv60) / 필살기 컷신</x:v>
      </x:c>
      <x:c r="U6" s="42" t="str">
        <x:v>★1→2 70G / ★2→3 110G / ★3→4 160G / ★4→5 230G</x:v>
      </x:c>
      <x:c r="V6" s="42" t="n">
        <x:v>84</x:v>
      </x:c>
      <x:c r="W6" s="42" t="n">
        <x:v>13</x:v>
      </x:c>
      <x:c r="X6" s="42" t="n">
        <x:v>1</x:v>
      </x:c>
      <x:c r="Y6" s="42" t="n">
        <x:v>2</x:v>
      </x:c>
      <x:c r="Z6" s="42" t="n">
        <x:v>10</x:v>
      </x:c>
      <x:c r="AA6" s="42" t="str">
        <x:v>160%</x:v>
      </x:c>
      <x:c r="AB6" s="42" t="str">
        <x:v>근접 광역·중갑 대응.</x:v>
      </x:c>
      <x:c r="AC6" s="42" t="str">
        <x:v>가능</x:v>
      </x:c>
      <x:c r="AD6" s="338" t="n">
        <x:v>190</x:v>
      </x:c>
      <x:c r="AE6" s="338" t="n">
        <x:v>215</x:v>
      </x:c>
      <x:c r="AF6" s="338" t="n">
        <x:v>250</x:v>
      </x:c>
      <x:c r="AG6" s="338" t="n">
        <x:v>310</x:v>
      </x:c>
      <x:c r="AH6" s="338" t="n">
        <x:v>390</x:v>
      </x:c>
      <x:c r="AI6" s="42" t="str">
        <x:v>W1~W9 판매 가능 / 재료 반환 없음 / 슬롯 1칸 비움</x:v>
      </x:c>
    </x:row>
    <x:row r="7" ht="49.5">
      <x:c r="A7" s="7" t="s">
        <x:v>869</x:v>
      </x:c>
      <x:c r="B7" s="7" t="s">
        <x:v>403</x:v>
      </x:c>
      <x:c r="C7" s="8" t="s">
        <x:v>817</x:v>
      </x:c>
      <x:c r="D7" s="9" t="s">
        <x:v>870</x:v>
      </x:c>
      <x:c r="E7" s="10" t="s">
        <x:v>287</x:v>
      </x:c>
      <x:c r="F7" s="10" t="s">
        <x:v>871</x:v>
      </x:c>
      <x:c r="G7" s="10" t="s">
        <x:v>872</x:v>
      </x:c>
      <x:c r="H7" s="10" t="s">
        <x:v>873</x:v>
      </x:c>
      <x:c r="I7" s="10" t="s">
        <x:v>874</x:v>
      </x:c>
      <x:c r="J7" s="10" t="str">
        <x:v>아이돌</x:v>
      </x:c>
      <x:c r="K7" s="10" t="str">
        <x:v>주술사</x:v>
      </x:c>
      <x:c r="L7" s="10" t="str">
        <x:v>전설은 조합재료3
필요하지 않음</x:v>
      </x:c>
      <x:c r="M7" s="1" t="s">
        <x:v>875</x:v>
      </x:c>
      <x:c r="N7" s="1" t="str">
        <x:v>변경 반영</x:v>
      </x:c>
      <x:c r="O7" s="1" t="str">
        <x:v>아이돌 + 주술사</x:v>
      </x:c>
      <x:c r="P7" s="1" t="str">
        <x:v>버퍼 정체성과 일치하도록 흑마법사 대신 주술사 적용.</x:v>
      </x:c>
      <x:c r="Q7" s="42" t="str">
        <x:v>로비 Lv/한계돌파로 HP·ATK·DEF 기본값 성장</x:v>
      </x:c>
      <x:c r="R7" s="42" t="str">
        <x:v>기본 해금</x:v>
      </x:c>
      <x:c r="S7" s="42" t="str">
        <x:v>1차 한계돌파(Lv20)</x:v>
      </x:c>
      <x:c r="T7" s="42" t="str">
        <x:v>3차 한계돌파(Lv60) / 필살기 컷신</x:v>
      </x:c>
      <x:c r="U7" s="42" t="str">
        <x:v>★1→2 70G / ★2→3 110G / ★3→4 160G / ★4→5 230G</x:v>
      </x:c>
      <x:c r="V7" s="42" t="n">
        <x:v>30</x:v>
      </x:c>
      <x:c r="W7" s="42" t="n">
        <x:v>12</x:v>
      </x:c>
      <x:c r="X7" s="42" t="n">
        <x:v>3</x:v>
      </x:c>
      <x:c r="Y7" s="42" t="n">
        <x:v>1</x:v>
      </x:c>
      <x:c r="Z7" s="42" t="n">
        <x:v>12</x:v>
      </x:c>
      <x:c r="AA7" s="42" t="str">
        <x:v>버프</x:v>
      </x:c>
      <x:c r="AB7" s="42" t="str">
        <x:v>ATK·공속 버프/방벽 회복. 파티 증폭형.</x:v>
      </x:c>
      <x:c r="AC7" s="42" t="str">
        <x:v>가능</x:v>
      </x:c>
      <x:c r="AD7" s="338" t="n">
        <x:v>225</x:v>
      </x:c>
      <x:c r="AE7" s="338" t="n">
        <x:v>250</x:v>
      </x:c>
      <x:c r="AF7" s="338" t="n">
        <x:v>285</x:v>
      </x:c>
      <x:c r="AG7" s="338" t="n">
        <x:v>345</x:v>
      </x:c>
      <x:c r="AH7" s="338" t="n">
        <x:v>425</x:v>
      </x:c>
      <x:c r="AI7" s="42" t="str">
        <x:v>W1~W9 판매 가능 / 재료 반환 없음 / 슬롯 1칸 비움</x:v>
      </x:c>
    </x:row>
    <x:row r="8" ht="49.5">
      <x:c r="A8" s="7" t="s">
        <x:v>876</x:v>
      </x:c>
      <x:c r="B8" s="7" t="s">
        <x:v>361</x:v>
      </x:c>
      <x:c r="C8" s="8" t="s">
        <x:v>817</x:v>
      </x:c>
      <x:c r="D8" s="9" t="s">
        <x:v>877</x:v>
      </x:c>
      <x:c r="E8" s="10" t="s">
        <x:v>878</x:v>
      </x:c>
      <x:c r="F8" s="10" t="s">
        <x:v>879</x:v>
      </x:c>
      <x:c r="G8" s="10" t="s">
        <x:v>880</x:v>
      </x:c>
      <x:c r="H8" s="10" t="s">
        <x:v>881</x:v>
      </x:c>
      <x:c r="I8" s="10" t="s">
        <x:v>882</x:v>
      </x:c>
      <x:c r="J8" s="10" t="s">
        <x:v>120</x:v>
      </x:c>
      <x:c r="K8" s="10" t="s">
        <x:v>833</x:v>
      </x:c>
      <x:c r="L8" s="10" t="s">
        <x:v>834</x:v>
      </x:c>
      <x:c r="M8" s="1" t="s">
        <x:v>883</x:v>
      </x:c>
      <x:c r="N8" s="1" t="s">
        <x:v>836</x:v>
      </x:c>
      <x:c r="O8" s="1" t="s">
        <x:v>884</x:v>
      </x:c>
      <x:c r="P8" s="1" t="s">
        <x:v>838</x:v>
      </x:c>
      <x:c r="Q8" s="42" t="str">
        <x:v>로비 Lv/한계돌파로 HP·ATK·DEF 기본값 성장</x:v>
      </x:c>
      <x:c r="R8" s="42" t="str">
        <x:v>기본 해금</x:v>
      </x:c>
      <x:c r="S8" s="42" t="str">
        <x:v>1차 한계돌파(Lv20)</x:v>
      </x:c>
      <x:c r="T8" s="42" t="str">
        <x:v>3차 한계돌파(Lv60) / 필살기 컷신</x:v>
      </x:c>
      <x:c r="U8" s="42" t="str">
        <x:v>★1→2 70G / ★2→3 110G / ★3→4 160G / ★4→5 230G</x:v>
      </x:c>
      <x:c r="V8" s="42" t="n">
        <x:v>58</x:v>
      </x:c>
      <x:c r="W8" s="42" t="n">
        <x:v>11</x:v>
      </x:c>
      <x:c r="X8" s="42" t="n">
        <x:v>4</x:v>
      </x:c>
      <x:c r="Y8" s="42" t="n">
        <x:v>1</x:v>
      </x:c>
      <x:c r="Z8" s="42" t="n">
        <x:v>12</x:v>
      </x:c>
      <x:c r="AA8" s="42" t="str">
        <x:v>빙결</x:v>
      </x:c>
      <x:c r="AB8" s="42" t="str">
        <x:v>광역 제어 전설. 시간 확보형.</x:v>
      </x:c>
      <x:c r="AC8" s="42" t="str">
        <x:v>가능</x:v>
      </x:c>
      <x:c r="AD8" s="338" t="n">
        <x:v>335</x:v>
      </x:c>
      <x:c r="AE8" s="338" t="n">
        <x:v>355</x:v>
      </x:c>
      <x:c r="AF8" s="338" t="n">
        <x:v>395</x:v>
      </x:c>
      <x:c r="AG8" s="338" t="n">
        <x:v>450</x:v>
      </x:c>
      <x:c r="AH8" s="338" t="n">
        <x:v>530</x:v>
      </x:c>
      <x:c r="AI8" s="42" t="str">
        <x:v>W1~W9 판매 가능 / 재료 반환 없음 / 슬롯 1칸 비움</x:v>
      </x:c>
    </x:row>
    <x:row r="9" ht="49.5">
      <x:c r="A9" s="7" t="s">
        <x:v>885</x:v>
      </x:c>
      <x:c r="B9" s="7" t="s">
        <x:v>826</x:v>
      </x:c>
      <x:c r="C9" s="8" t="s">
        <x:v>817</x:v>
      </x:c>
      <x:c r="D9" s="9" t="s">
        <x:v>886</x:v>
      </x:c>
      <x:c r="E9" s="10" t="s">
        <x:v>887</x:v>
      </x:c>
      <x:c r="F9" s="10" t="s">
        <x:v>888</x:v>
      </x:c>
      <x:c r="G9" s="10" t="s">
        <x:v>889</x:v>
      </x:c>
      <x:c r="H9" s="10" t="s">
        <x:v>890</x:v>
      </x:c>
      <x:c r="I9" s="10" t="s">
        <x:v>891</x:v>
      </x:c>
      <x:c r="J9" s="10" t="str">
        <x:v>광전사</x:v>
      </x:c>
      <x:c r="K9" s="10" t="str">
        <x:v>연사궁병</x:v>
      </x:c>
      <x:c r="L9" s="10" t="str">
        <x:v>전설은 조합재료3
필요하지 않음</x:v>
      </x:c>
      <x:c r="M9" s="1" t="s">
        <x:v>892</x:v>
      </x:c>
      <x:c r="N9" s="1" t="str">
        <x:v>변경 반영</x:v>
      </x:c>
      <x:c r="O9" s="1" t="str">
        <x:v>광전사 + 연사궁병</x:v>
      </x:c>
      <x:c r="P9" s="1" t="str">
        <x:v>기사단장보다 폭발력·속도 테마에 맞는 광전사로 변경.</x:v>
      </x:c>
      <x:c r="Q9" s="42" t="str">
        <x:v>로비 Lv/한계돌파로 HP·ATK·DEF 기본값 성장</x:v>
      </x:c>
      <x:c r="R9" s="42" t="str">
        <x:v>기본 해금</x:v>
      </x:c>
      <x:c r="S9" s="42" t="str">
        <x:v>1차 한계돌파(Lv20)</x:v>
      </x:c>
      <x:c r="T9" s="42" t="str">
        <x:v>3차 한계돌파(Lv60) / 필살기 컷신</x:v>
      </x:c>
      <x:c r="U9" s="42" t="str">
        <x:v>★1→2 70G / ★2→3 110G / ★3→4 160G / ★4→5 230G</x:v>
      </x:c>
      <x:c r="V9" s="42" t="n">
        <x:v>82</x:v>
      </x:c>
      <x:c r="W9" s="42" t="n">
        <x:v>17</x:v>
      </x:c>
      <x:c r="X9" s="42" t="n">
        <x:v>2</x:v>
      </x:c>
      <x:c r="Y9" s="42" t="n">
        <x:v>1</x:v>
      </x:c>
      <x:c r="Z9" s="42" t="n">
        <x:v>8</x:v>
      </x:c>
      <x:c r="AA9" s="42" t="str">
        <x:v>120%</x:v>
      </x:c>
      <x:c r="AB9" s="42" t="str">
        <x:v>보스 단일 폭딜/방어무시.</x:v>
      </x:c>
      <x:c r="AC9" s="42" t="str">
        <x:v>가능</x:v>
      </x:c>
      <x:c r="AD9" s="338" t="n">
        <x:v>180</x:v>
      </x:c>
      <x:c r="AE9" s="338" t="n">
        <x:v>205</x:v>
      </x:c>
      <x:c r="AF9" s="338" t="n">
        <x:v>240</x:v>
      </x:c>
      <x:c r="AG9" s="338" t="n">
        <x:v>300</x:v>
      </x:c>
      <x:c r="AH9" s="338" t="n">
        <x:v>380</x:v>
      </x:c>
      <x:c r="AI9" s="42" t="str">
        <x:v>W1~W9 판매 가능 / 재료 반환 없음 / 슬롯 1칸 비움</x:v>
      </x:c>
    </x:row>
    <x:row r="10" ht="49.5">
      <x:c r="A10" s="7" t="s">
        <x:v>893</x:v>
      </x:c>
      <x:c r="B10" s="7" t="s">
        <x:v>269</x:v>
      </x:c>
      <x:c r="C10" s="8" t="s">
        <x:v>894</x:v>
      </x:c>
      <x:c r="D10" s="9" t="s">
        <x:v>895</x:v>
      </x:c>
      <x:c r="E10" s="10" t="s">
        <x:v>896</x:v>
      </x:c>
      <x:c r="F10" s="10" t="s">
        <x:v>897</x:v>
      </x:c>
      <x:c r="G10" s="10" t="s">
        <x:v>898</x:v>
      </x:c>
      <x:c r="H10" s="10" t="s">
        <x:v>899</x:v>
      </x:c>
      <x:c r="I10" s="10" t="s">
        <x:v>900</x:v>
      </x:c>
      <x:c r="J10" s="10" t="s">
        <x:v>161</x:v>
      </x:c>
      <x:c r="K10" s="10" t="s">
        <x:v>104</x:v>
      </x:c>
      <x:c r="L10" s="10" t="s">
        <x:v>827</x:v>
      </x:c>
      <x:c r="M10" s="1" t="s">
        <x:v>901</x:v>
      </x:c>
      <x:c r="N10" s="1" t="s">
        <x:v>836</x:v>
      </x:c>
      <x:c r="O10" s="1" t="s">
        <x:v>902</x:v>
      </x:c>
      <x:c r="P10" s="1" t="s">
        <x:v>903</x:v>
      </x:c>
      <x:c r="Q10" s="42" t="str">
        <x:v>로비 Lv/한계돌파로 HP·ATK·DEF 기본값 성장</x:v>
      </x:c>
      <x:c r="R10" s="42" t="str">
        <x:v>기본 해금</x:v>
      </x:c>
      <x:c r="S10" s="42" t="str">
        <x:v>1차 한계돌파(Lv20)</x:v>
      </x:c>
      <x:c r="T10" s="42" t="str">
        <x:v>3차 한계돌파(Lv60) / 필살기 컷신</x:v>
      </x:c>
      <x:c r="U10" s="42" t="str">
        <x:v>★1→2 100G / ★2→3 160G / ★3→4 230G / ★4→5 330G</x:v>
      </x:c>
      <x:c r="V10" s="42" t="n">
        <x:v>70</x:v>
      </x:c>
      <x:c r="W10" s="42" t="n">
        <x:v>12</x:v>
      </x:c>
      <x:c r="X10" s="42" t="n">
        <x:v>4</x:v>
      </x:c>
      <x:c r="Y10" s="42" t="n">
        <x:v>1</x:v>
      </x:c>
      <x:c r="Z10" s="42" t="n">
        <x:v>12</x:v>
      </x:c>
      <x:c r="AA10" s="42" t="str">
        <x:v>연결/제어</x:v>
      </x:c>
      <x:c r="AB10" s="42" t="str">
        <x:v>저주인형 피해이전+마리오네트. 제어/추가타 신화.</x:v>
      </x:c>
      <x:c r="AC10" s="42" t="str">
        <x:v>불가</x:v>
      </x:c>
      <x:c r="AD10" s="338" t="n">
        <x:v>0</x:v>
      </x:c>
      <x:c r="AE10" s="338" t="n">
        <x:v>0</x:v>
      </x:c>
      <x:c r="AF10" s="338" t="n">
        <x:v>0</x:v>
      </x:c>
      <x:c r="AG10" s="338" t="n">
        <x:v>0</x:v>
      </x:c>
      <x:c r="AH10" s="338" t="n">
        <x:v>0</x:v>
      </x:c>
      <x:c r="AI10" s="42" t="str">
        <x:v>신화 판매 불가 / 슬롯 유지</x:v>
      </x:c>
    </x:row>
    <x:row r="11" ht="49.5">
      <x:c r="A11" s="7" t="s">
        <x:v>904</x:v>
      </x:c>
      <x:c r="B11" s="7" t="s">
        <x:v>269</x:v>
      </x:c>
      <x:c r="C11" s="8" t="s">
        <x:v>894</x:v>
      </x:c>
      <x:c r="D11" s="9" t="s">
        <x:v>905</x:v>
      </x:c>
      <x:c r="E11" s="10" t="s">
        <x:v>906</x:v>
      </x:c>
      <x:c r="F11" s="10" t="s">
        <x:v>907</x:v>
      </x:c>
      <x:c r="G11" s="10" t="s">
        <x:v>908</x:v>
      </x:c>
      <x:c r="H11" s="10" t="s">
        <x:v>909</x:v>
      </x:c>
      <x:c r="I11" s="10" t="s">
        <x:v>910</x:v>
      </x:c>
      <x:c r="J11" s="10" t="str">
        <x:v>대형 발리스타</x:v>
      </x:c>
      <x:c r="K11" s="10" t="str">
        <x:v>연사 감시탑</x:v>
      </x:c>
      <x:c r="L11" s="10" t="str">
        <x:v>루비</x:v>
      </x:c>
      <x:c r="M11" s="1" t="s">
        <x:v>911</x:v>
      </x:c>
      <x:c r="N11" s="1" t="str">
        <x:v>변경 반영</x:v>
      </x:c>
      <x:c r="O11" s="1" t="str">
        <x:v>대형 발리스타 + 연사 감시탑 + 루비</x:v>
      </x:c>
      <x:c r="P11" s="1" t="str">
        <x:v>신화 재료를 전설 1 + 상급 일반/구조물 2로 정리.</x:v>
      </x:c>
      <x:c r="Q11" s="42" t="str">
        <x:v>로비 Lv/한계돌파로 HP·ATK·DEF 기본값 성장</x:v>
      </x:c>
      <x:c r="R11" s="42" t="str">
        <x:v>기본 해금</x:v>
      </x:c>
      <x:c r="S11" s="42" t="str">
        <x:v>1차 한계돌파(Lv20)</x:v>
      </x:c>
      <x:c r="T11" s="42" t="str">
        <x:v>3차 한계돌파(Lv60) / 필살기 컷신</x:v>
      </x:c>
      <x:c r="U11" s="42" t="str">
        <x:v>★1→2 100G / ★2→3 160G / ★3→4 230G / ★4→5 330G</x:v>
      </x:c>
      <x:c r="V11" s="42" t="n">
        <x:v>88</x:v>
      </x:c>
      <x:c r="W11" s="42" t="n">
        <x:v>15</x:v>
      </x:c>
      <x:c r="X11" s="42" t="n">
        <x:v>4</x:v>
      </x:c>
      <x:c r="Y11" s="42" t="n">
        <x:v>3</x:v>
      </x:c>
      <x:c r="Z11" s="42" t="n">
        <x:v>10</x:v>
      </x:c>
      <x:c r="AA11" s="42" t="str">
        <x:v>3관통</x:v>
      </x:c>
      <x:c r="AB11" s="42" t="str">
        <x:v>경제+공성. 보물탄/보물고로 구조물 시너지.</x:v>
      </x:c>
      <x:c r="AC11" s="42" t="str">
        <x:v>불가</x:v>
      </x:c>
      <x:c r="AD11" s="338" t="n">
        <x:v>0</x:v>
      </x:c>
      <x:c r="AE11" s="338" t="n">
        <x:v>0</x:v>
      </x:c>
      <x:c r="AF11" s="338" t="n">
        <x:v>0</x:v>
      </x:c>
      <x:c r="AG11" s="338" t="n">
        <x:v>0</x:v>
      </x:c>
      <x:c r="AH11" s="338" t="n">
        <x:v>0</x:v>
      </x:c>
      <x:c r="AI11" s="42" t="str">
        <x:v>신화 판매 불가 / 슬롯 유지</x:v>
      </x:c>
    </x:row>
    <x:row r="12" ht="49.5">
      <x:c r="A12" s="7" t="s">
        <x:v>912</x:v>
      </x:c>
      <x:c r="B12" s="7" t="s">
        <x:v>446</x:v>
      </x:c>
      <x:c r="C12" s="8" t="s">
        <x:v>894</x:v>
      </x:c>
      <x:c r="D12" s="9" t="s">
        <x:v>913</x:v>
      </x:c>
      <x:c r="E12" s="10" t="s">
        <x:v>914</x:v>
      </x:c>
      <x:c r="F12" s="10" t="s">
        <x:v>915</x:v>
      </x:c>
      <x:c r="G12" s="10" t="s">
        <x:v>916</x:v>
      </x:c>
      <x:c r="H12" s="10" t="s">
        <x:v>917</x:v>
      </x:c>
      <x:c r="I12" s="10" t="s">
        <x:v>918</x:v>
      </x:c>
      <x:c r="J12" s="10" t="s">
        <x:v>919</x:v>
      </x:c>
      <x:c r="K12" s="10" t="s">
        <x:v>100</x:v>
      </x:c>
      <x:c r="L12" s="10" t="s">
        <x:v>818</x:v>
      </x:c>
      <x:c r="M12" s="1" t="s">
        <x:v>920</x:v>
      </x:c>
      <x:c r="N12" s="1" t="s">
        <x:v>836</x:v>
      </x:c>
      <x:c r="O12" s="1" t="s">
        <x:v>921</x:v>
      </x:c>
      <x:c r="P12" s="1" t="s">
        <x:v>903</x:v>
      </x:c>
      <x:c r="Q12" s="42" t="str">
        <x:v>로비 Lv/한계돌파로 HP·ATK·DEF 기본값 성장</x:v>
      </x:c>
      <x:c r="R12" s="42" t="str">
        <x:v>기본 해금</x:v>
      </x:c>
      <x:c r="S12" s="42" t="str">
        <x:v>1차 한계돌파(Lv20)</x:v>
      </x:c>
      <x:c r="T12" s="42" t="str">
        <x:v>3차 한계돌파(Lv60) / 필살기 컷신</x:v>
      </x:c>
      <x:c r="U12" s="42" t="str">
        <x:v>★1→2 100G / ★2→3 160G / ★3→4 230G / ★4→5 330G</x:v>
      </x:c>
      <x:c r="V12" s="42" t="n">
        <x:v>96</x:v>
      </x:c>
      <x:c r="W12" s="42" t="n">
        <x:v>13</x:v>
      </x:c>
      <x:c r="X12" s="42" t="n">
        <x:v>2</x:v>
      </x:c>
      <x:c r="Y12" s="42" t="n">
        <x:v>2</x:v>
      </x:c>
      <x:c r="Z12" s="42" t="n">
        <x:v>10</x:v>
      </x:c>
      <x:c r="AA12" s="42" t="str">
        <x:v>광역</x:v>
      </x:c>
      <x:c r="AB12" s="42" t="str">
        <x:v>전방 정리+공속 지원. 범용 신화.</x:v>
      </x:c>
      <x:c r="AC12" s="42" t="str">
        <x:v>불가</x:v>
      </x:c>
      <x:c r="AD12" s="338" t="n">
        <x:v>0</x:v>
      </x:c>
      <x:c r="AE12" s="338" t="n">
        <x:v>0</x:v>
      </x:c>
      <x:c r="AF12" s="338" t="n">
        <x:v>0</x:v>
      </x:c>
      <x:c r="AG12" s="338" t="n">
        <x:v>0</x:v>
      </x:c>
      <x:c r="AH12" s="338" t="n">
        <x:v>0</x:v>
      </x:c>
      <x:c r="AI12" s="42" t="str">
        <x:v>신화 판매 불가 / 슬롯 유지</x:v>
      </x:c>
    </x:row>
    <x:row r="13" ht="49.5">
      <x:c r="A13" s="7" t="s">
        <x:v>922</x:v>
      </x:c>
      <x:c r="B13" s="7" t="s">
        <x:v>361</x:v>
      </x:c>
      <x:c r="C13" s="7" t="s">
        <x:v>894</x:v>
      </x:c>
      <x:c r="D13" s="9" t="s">
        <x:v>923</x:v>
      </x:c>
      <x:c r="E13" s="10" t="s">
        <x:v>924</x:v>
      </x:c>
      <x:c r="F13" s="10" t="s">
        <x:v>925</x:v>
      </x:c>
      <x:c r="G13" s="10" t="s">
        <x:v>926</x:v>
      </x:c>
      <x:c r="H13" s="10" t="s">
        <x:v>927</x:v>
      </x:c>
      <x:c r="I13" s="10" t="s">
        <x:v>928</x:v>
      </x:c>
      <x:c r="J13" s="10" t="s">
        <x:v>181</x:v>
      </x:c>
      <x:c r="K13" s="10" t="s">
        <x:v>833</x:v>
      </x:c>
      <x:c r="L13" s="10" t="s">
        <x:v>827</x:v>
      </x:c>
      <x:c r="M13" s="1" t="s">
        <x:v>929</x:v>
      </x:c>
      <x:c r="N13" s="1" t="s">
        <x:v>836</x:v>
      </x:c>
      <x:c r="O13" s="1" t="s">
        <x:v>930</x:v>
      </x:c>
      <x:c r="P13" s="1" t="s">
        <x:v>903</x:v>
      </x:c>
      <x:c r="Q13" s="42" t="str">
        <x:v>로비 Lv/한계돌파로 HP·ATK·DEF 기본값 성장</x:v>
      </x:c>
      <x:c r="R13" s="42" t="str">
        <x:v>기본 해금</x:v>
      </x:c>
      <x:c r="S13" s="42" t="str">
        <x:v>1차 한계돌파(Lv20)</x:v>
      </x:c>
      <x:c r="T13" s="42" t="str">
        <x:v>3차 한계돌파(Lv60) / 필살기 컷신</x:v>
      </x:c>
      <x:c r="U13" s="42" t="str">
        <x:v>★1→2 100G / ★2→3 160G / ★3→4 230G / ★4→5 330G</x:v>
      </x:c>
      <x:c r="V13" s="42" t="n">
        <x:v>82</x:v>
      </x:c>
      <x:c r="W13" s="42" t="n">
        <x:v>14</x:v>
      </x:c>
      <x:c r="X13" s="42" t="n">
        <x:v>4</x:v>
      </x:c>
      <x:c r="Y13" s="42" t="n">
        <x:v>2</x:v>
      </x:c>
      <x:c r="Z13" s="42" t="n">
        <x:v>10</x:v>
      </x:c>
      <x:c r="AA13" s="42" t="str">
        <x:v>속성복제</x:v>
      </x:c>
      <x:c r="AB13" s="42" t="str">
        <x:v>프리즘+환영으로 다속성 대응.</x:v>
      </x:c>
      <x:c r="AC13" s="42" t="str">
        <x:v>불가</x:v>
      </x:c>
      <x:c r="AD13" s="338" t="n">
        <x:v>0</x:v>
      </x:c>
      <x:c r="AE13" s="338" t="n">
        <x:v>0</x:v>
      </x:c>
      <x:c r="AF13" s="338" t="n">
        <x:v>0</x:v>
      </x:c>
      <x:c r="AG13" s="338" t="n">
        <x:v>0</x:v>
      </x:c>
      <x:c r="AH13" s="338" t="n">
        <x:v>0</x:v>
      </x:c>
      <x:c r="AI13" s="42" t="str">
        <x:v>신화 판매 불가 / 슬롯 유지</x:v>
      </x:c>
    </x:row>
    <x:row r="14" ht="49.5">
      <x:c r="A14" s="7" t="s">
        <x:v>931</x:v>
      </x:c>
      <x:c r="B14" s="7" t="s">
        <x:v>932</x:v>
      </x:c>
      <x:c r="C14" s="7" t="s">
        <x:v>894</x:v>
      </x:c>
      <x:c r="D14" s="9" t="s">
        <x:v>933</x:v>
      </x:c>
      <x:c r="E14" s="10" t="s">
        <x:v>934</x:v>
      </x:c>
      <x:c r="F14" s="10" t="s">
        <x:v>935</x:v>
      </x:c>
      <x:c r="G14" s="10" t="s">
        <x:v>936</x:v>
      </x:c>
      <x:c r="H14" s="10" t="s">
        <x:v>937</x:v>
      </x:c>
      <x:c r="I14" s="10" t="s">
        <x:v>938</x:v>
      </x:c>
      <x:c r="J14" s="10" t="s">
        <x:v>95</x:v>
      </x:c>
      <x:c r="K14" s="10" t="s">
        <x:v>136</x:v>
      </x:c>
      <x:c r="L14" s="10" t="s">
        <x:v>850</x:v>
      </x:c>
      <x:c r="M14" s="1" t="s">
        <x:v>939</x:v>
      </x:c>
      <x:c r="N14" s="1" t="s">
        <x:v>836</x:v>
      </x:c>
      <x:c r="O14" s="1" t="s">
        <x:v>940</x:v>
      </x:c>
      <x:c r="P14" s="1" t="s">
        <x:v>903</x:v>
      </x:c>
      <x:c r="Q14" s="42" t="str">
        <x:v>로비 Lv/한계돌파로 HP·ATK·DEF 기본값 성장</x:v>
      </x:c>
      <x:c r="R14" s="42" t="str">
        <x:v>기본 해금</x:v>
      </x:c>
      <x:c r="S14" s="42" t="str">
        <x:v>1차 한계돌파(Lv20)</x:v>
      </x:c>
      <x:c r="T14" s="42" t="str">
        <x:v>3차 한계돌파(Lv60) / 필살기 컷신</x:v>
      </x:c>
      <x:c r="U14" s="42" t="str">
        <x:v>★1→2 100G / ★2→3 160G / ★3→4 230G / ★4→5 330G</x:v>
      </x:c>
      <x:c r="V14" s="42" t="n">
        <x:v>100</x:v>
      </x:c>
      <x:c r="W14" s="42" t="n">
        <x:v>11</x:v>
      </x:c>
      <x:c r="X14" s="42" t="n">
        <x:v>5</x:v>
      </x:c>
      <x:c r="Y14" s="42" t="n">
        <x:v>4</x:v>
      </x:c>
      <x:c r="Z14" s="42" t="n">
        <x:v>11</x:v>
      </x:c>
      <x:c r="AA14" s="42" t="str">
        <x:v>지뢰/폭발</x:v>
      </x:c>
      <x:c r="AB14" s="42" t="str">
        <x:v>광역 폭파/지형 특화. 밀집 웨이브 최고.</x:v>
      </x:c>
      <x:c r="AC14" s="42" t="str">
        <x:v>불가</x:v>
      </x:c>
      <x:c r="AD14" s="338" t="n">
        <x:v>0</x:v>
      </x:c>
      <x:c r="AE14" s="338" t="n">
        <x:v>0</x:v>
      </x:c>
      <x:c r="AF14" s="338" t="n">
        <x:v>0</x:v>
      </x:c>
      <x:c r="AG14" s="338" t="n">
        <x:v>0</x:v>
      </x:c>
      <x:c r="AH14" s="338" t="n">
        <x:v>0</x:v>
      </x:c>
      <x:c r="AI14" s="42" t="str">
        <x:v>신화 판매 불가 / 슬롯 유지</x:v>
      </x:c>
    </x:row>
    <x:row r="15" ht="49.5">
      <x:c r="A15" s="7" t="s">
        <x:v>941</x:v>
      </x:c>
      <x:c r="B15" s="7" t="s">
        <x:v>932</x:v>
      </x:c>
      <x:c r="C15" s="7" t="s">
        <x:v>894</x:v>
      </x:c>
      <x:c r="D15" s="9" t="s">
        <x:v>942</x:v>
      </x:c>
      <x:c r="E15" s="10" t="s">
        <x:v>943</x:v>
      </x:c>
      <x:c r="F15" s="10" t="s">
        <x:v>944</x:v>
      </x:c>
      <x:c r="G15" s="10" t="s">
        <x:v>945</x:v>
      </x:c>
      <x:c r="H15" s="10" t="s">
        <x:v>946</x:v>
      </x:c>
      <x:c r="I15" s="10" t="s">
        <x:v>947</x:v>
      </x:c>
      <x:c r="J15" s="10" t="str">
        <x:v>대현자</x:v>
      </x:c>
      <x:c r="K15" s="10" t="str">
        <x:v>충만한 마력수정</x:v>
      </x:c>
      <x:c r="L15" s="10" t="str">
        <x:v>레이나</x:v>
      </x:c>
      <x:c r="M15" s="1" t="s">
        <x:v>948</x:v>
      </x:c>
      <x:c r="N15" s="1" t="str">
        <x:v>변경 반영</x:v>
      </x:c>
      <x:c r="O15" s="1" t="str">
        <x:v>대현자 + 충만한 마력수정 + 레이나</x:v>
      </x:c>
      <x:c r="P15" s="1" t="str">
        <x:v>전설 2명 요구를 전설 1명 + 상급 재료 2개로 완화.</x:v>
      </x:c>
      <x:c r="Q15" s="42" t="str">
        <x:v>로비 Lv/한계돌파로 HP·ATK·DEF 기본값 성장</x:v>
      </x:c>
      <x:c r="R15" s="42" t="str">
        <x:v>기본 해금</x:v>
      </x:c>
      <x:c r="S15" s="42" t="str">
        <x:v>1차 한계돌파(Lv20)</x:v>
      </x:c>
      <x:c r="T15" s="42" t="str">
        <x:v>3차 한계돌파(Lv60) / 필살기 컷신</x:v>
      </x:c>
      <x:c r="U15" s="42" t="str">
        <x:v>★1→2 100G / ★2→3 160G / ★3→4 230G / ★4→5 330G</x:v>
      </x:c>
      <x:c r="V15" s="42" t="n">
        <x:v>60</x:v>
      </x:c>
      <x:c r="W15" s="42" t="n">
        <x:v>12</x:v>
      </x:c>
      <x:c r="X15" s="42" t="n">
        <x:v>5</x:v>
      </x:c>
      <x:c r="Y15" s="42" t="n">
        <x:v>1</x:v>
      </x:c>
      <x:c r="Z15" s="42" t="n">
        <x:v>12</x:v>
      </x:c>
      <x:c r="AA15" s="42" t="str">
        <x:v>표식/되감기</x:v>
      </x:c>
      <x:c r="AB15" s="42" t="str">
        <x:v>표식+역행. 보스·경로 제어.</x:v>
      </x:c>
      <x:c r="AC15" s="42" t="str">
        <x:v>불가</x:v>
      </x:c>
      <x:c r="AD15" s="338" t="n">
        <x:v>0</x:v>
      </x:c>
      <x:c r="AE15" s="338" t="n">
        <x:v>0</x:v>
      </x:c>
      <x:c r="AF15" s="338" t="n">
        <x:v>0</x:v>
      </x:c>
      <x:c r="AG15" s="338" t="n">
        <x:v>0</x:v>
      </x:c>
      <x:c r="AH15" s="338" t="n">
        <x:v>0</x:v>
      </x:c>
      <x:c r="AI15" s="42" t="str">
        <x:v>신화 판매 불가 / 슬롯 유지</x:v>
      </x:c>
    </x:row>
    <x:row r="16" ht="49.5">
      <x:c r="A16" s="7" t="s">
        <x:v>949</x:v>
      </x:c>
      <x:c r="B16" s="7" t="s">
        <x:v>932</x:v>
      </x:c>
      <x:c r="C16" s="8" t="s">
        <x:v>894</x:v>
      </x:c>
      <x:c r="D16" s="9" t="s">
        <x:v>950</x:v>
      </x:c>
      <x:c r="E16" s="10" t="s">
        <x:v>951</x:v>
      </x:c>
      <x:c r="F16" s="10" t="s">
        <x:v>952</x:v>
      </x:c>
      <x:c r="G16" s="10" t="s">
        <x:v>953</x:v>
      </x:c>
      <x:c r="H16" s="10" t="s">
        <x:v>954</x:v>
      </x:c>
      <x:c r="I16" s="10" t="s">
        <x:v>955</x:v>
      </x:c>
      <x:c r="J16" s="10" t="str">
        <x:v>흑마법사</x:v>
      </x:c>
      <x:c r="K16" s="10" t="str">
        <x:v>죽음의 화신</x:v>
      </x:c>
      <x:c r="L16" s="10" t="str">
        <x:v>유나</x:v>
      </x:c>
      <x:c r="M16" s="1" t="s">
        <x:v>956</x:v>
      </x:c>
      <x:c r="N16" s="1" t="str">
        <x:v>변경 반영</x:v>
      </x:c>
      <x:c r="O16" s="1" t="str">
        <x:v>흑마법사 + 죽음의 화신 + 유나</x:v>
      </x:c>
      <x:c r="P16" s="1" t="str">
        <x:v>독/저주 테마와 비용곡선을 맞추도록 변경.</x:v>
      </x:c>
      <x:c r="Q16" s="42" t="str">
        <x:v>로비 Lv/한계돌파로 HP·ATK·DEF 기본값 성장</x:v>
      </x:c>
      <x:c r="R16" s="42" t="str">
        <x:v>기본 해금</x:v>
      </x:c>
      <x:c r="S16" s="42" t="str">
        <x:v>1차 한계돌파(Lv20)</x:v>
      </x:c>
      <x:c r="T16" s="42" t="str">
        <x:v>3차 한계돌파(Lv60) / 필살기 컷신</x:v>
      </x:c>
      <x:c r="U16" s="42" t="str">
        <x:v>★1→2 100G / ★2→3 160G / ★3→4 230G / ★4→5 330G</x:v>
      </x:c>
      <x:c r="V16" s="42" t="n">
        <x:v>78</x:v>
      </x:c>
      <x:c r="W16" s="42" t="n">
        <x:v>13</x:v>
      </x:c>
      <x:c r="X16" s="42" t="n">
        <x:v>4</x:v>
      </x:c>
      <x:c r="Y16" s="42" t="n">
        <x:v>3</x:v>
      </x:c>
      <x:c r="Z16" s="42" t="n">
        <x:v>10</x:v>
      </x:c>
      <x:c r="AA16" s="42" t="str">
        <x:v>독/전염</x:v>
      </x:c>
      <x:c r="AB16" s="42" t="str">
        <x:v>장기전 독딜/방깎.</x:v>
      </x:c>
      <x:c r="AC16" s="42" t="str">
        <x:v>불가</x:v>
      </x:c>
      <x:c r="AD16" s="338" t="n">
        <x:v>0</x:v>
      </x:c>
      <x:c r="AE16" s="338" t="n">
        <x:v>0</x:v>
      </x:c>
      <x:c r="AF16" s="338" t="n">
        <x:v>0</x:v>
      </x:c>
      <x:c r="AG16" s="338" t="n">
        <x:v>0</x:v>
      </x:c>
      <x:c r="AH16" s="338" t="n">
        <x:v>0</x:v>
      </x:c>
      <x:c r="AI16" s="42" t="str">
        <x:v>신화 판매 불가 / 슬롯 유지</x:v>
      </x:c>
    </x:row>
    <x:row r="17" ht="49.5">
      <x:c r="A17" s="7" t="s">
        <x:v>957</x:v>
      </x:c>
      <x:c r="B17" s="7" t="s">
        <x:v>826</x:v>
      </x:c>
      <x:c r="C17" s="8" t="s">
        <x:v>894</x:v>
      </x:c>
      <x:c r="D17" s="9" t="s">
        <x:v>958</x:v>
      </x:c>
      <x:c r="E17" s="10" t="s">
        <x:v>959</x:v>
      </x:c>
      <x:c r="F17" s="10" t="s">
        <x:v>960</x:v>
      </x:c>
      <x:c r="G17" s="10" t="s">
        <x:v>961</x:v>
      </x:c>
      <x:c r="H17" s="10" t="s">
        <x:v>962</x:v>
      </x:c>
      <x:c r="I17" s="10" t="s">
        <x:v>963</x:v>
      </x:c>
      <x:c r="J17" s="10" t="s">
        <x:v>165</x:v>
      </x:c>
      <x:c r="K17" s="10" t="s">
        <x:v>161</x:v>
      </x:c>
      <x:c r="L17" s="10" t="s">
        <x:v>870</x:v>
      </x:c>
      <x:c r="M17" s="1" t="s">
        <x:v>964</x:v>
      </x:c>
      <x:c r="N17" s="1" t="s">
        <x:v>836</x:v>
      </x:c>
      <x:c r="O17" s="1" t="s">
        <x:v>965</x:v>
      </x:c>
      <x:c r="P17" s="1" t="s">
        <x:v>903</x:v>
      </x:c>
      <x:c r="Q17" s="42" t="str">
        <x:v>로비 Lv/한계돌파로 HP·ATK·DEF 기본값 성장</x:v>
      </x:c>
      <x:c r="R17" s="42" t="str">
        <x:v>기본 해금</x:v>
      </x:c>
      <x:c r="S17" s="42" t="str">
        <x:v>1차 한계돌파(Lv20)</x:v>
      </x:c>
      <x:c r="T17" s="42" t="str">
        <x:v>3차 한계돌파(Lv60) / 필살기 컷신</x:v>
      </x:c>
      <x:c r="U17" s="42" t="str">
        <x:v>★1→2 100G / ★2→3 160G / ★3→4 230G / ★4→5 330G</x:v>
      </x:c>
      <x:c r="V17" s="42" t="n">
        <x:v>45</x:v>
      </x:c>
      <x:c r="W17" s="42" t="n">
        <x:v>14</x:v>
      </x:c>
      <x:c r="X17" s="42" t="n">
        <x:v>4</x:v>
      </x:c>
      <x:c r="Y17" s="42" t="n">
        <x:v>1</x:v>
      </x:c>
      <x:c r="Z17" s="42" t="n">
        <x:v>10</x:v>
      </x:c>
      <x:c r="AA17" s="42" t="str">
        <x:v>버프/기절</x:v>
      </x:c>
      <x:c r="AB17" s="42" t="str">
        <x:v>글로벌 템포 버퍼.</x:v>
      </x:c>
      <x:c r="AC17" s="42" t="str">
        <x:v>불가</x:v>
      </x:c>
      <x:c r="AD17" s="338" t="n">
        <x:v>0</x:v>
      </x:c>
      <x:c r="AE17" s="338" t="n">
        <x:v>0</x:v>
      </x:c>
      <x:c r="AF17" s="338" t="n">
        <x:v>0</x:v>
      </x:c>
      <x:c r="AG17" s="338" t="n">
        <x:v>0</x:v>
      </x:c>
      <x:c r="AH17" s="338" t="n">
        <x:v>0</x:v>
      </x:c>
      <x:c r="AI17" s="42" t="str">
        <x:v>신화 판매 불가 / 슬롯 유지</x:v>
      </x:c>
    </x:row>
    <x:row r="18" ht="49.5">
      <x:c r="A18" s="7" t="s">
        <x:v>966</x:v>
      </x:c>
      <x:c r="B18" s="7" t="s">
        <x:v>932</x:v>
      </x:c>
      <x:c r="C18" s="7" t="s">
        <x:v>894</x:v>
      </x:c>
      <x:c r="D18" s="9" t="s">
        <x:v>967</x:v>
      </x:c>
      <x:c r="E18" s="10" t="s">
        <x:v>968</x:v>
      </x:c>
      <x:c r="F18" s="10" t="s">
        <x:v>969</x:v>
      </x:c>
      <x:c r="G18" s="10" t="s">
        <x:v>970</x:v>
      </x:c>
      <x:c r="H18" s="10" t="s">
        <x:v>971</x:v>
      </x:c>
      <x:c r="I18" s="10" t="s">
        <x:v>972</x:v>
      </x:c>
      <x:c r="J18" s="10" t="s">
        <x:v>919</x:v>
      </x:c>
      <x:c r="K18" s="10" t="s">
        <x:v>48</x:v>
      </x:c>
      <x:c r="L18" s="10" t="s">
        <x:v>818</x:v>
      </x:c>
      <x:c r="M18" s="1" t="s">
        <x:v>973</x:v>
      </x:c>
      <x:c r="N18" s="1" t="s">
        <x:v>836</x:v>
      </x:c>
      <x:c r="O18" s="1" t="s">
        <x:v>974</x:v>
      </x:c>
      <x:c r="P18" s="1" t="s">
        <x:v>903</x:v>
      </x:c>
      <x:c r="Q18" s="42" t="str">
        <x:v>로비 Lv/한계돌파로 HP·ATK·DEF 기본값 성장</x:v>
      </x:c>
      <x:c r="R18" s="42" t="str">
        <x:v>기본 해금</x:v>
      </x:c>
      <x:c r="S18" s="42" t="str">
        <x:v>1차 한계돌파(Lv20)</x:v>
      </x:c>
      <x:c r="T18" s="42" t="str">
        <x:v>3차 한계돌파(Lv60) / 필살기 컷신</x:v>
      </x:c>
      <x:c r="U18" s="42" t="str">
        <x:v>★1→2 100G / ★2→3 160G / ★3→4 230G / ★4→5 330G</x:v>
      </x:c>
      <x:c r="V18" s="42" t="n">
        <x:v>76</x:v>
      </x:c>
      <x:c r="W18" s="42" t="n">
        <x:v>11</x:v>
      </x:c>
      <x:c r="X18" s="42" t="n">
        <x:v>1</x:v>
      </x:c>
      <x:c r="Y18" s="42" t="n">
        <x:v>2</x:v>
      </x:c>
      <x:c r="Z18" s="42" t="n">
        <x:v>12</x:v>
      </x:c>
      <x:c r="AA18" s="42" t="str">
        <x:v>방벽보호</x:v>
      </x:c>
      <x:c r="AB18" s="42" t="str">
        <x:v>방어벽 특화. 생존 등가가치가 큰 신화.</x:v>
      </x:c>
      <x:c r="AC18" s="42" t="str">
        <x:v>불가</x:v>
      </x:c>
      <x:c r="AD18" s="338" t="n">
        <x:v>0</x:v>
      </x:c>
      <x:c r="AE18" s="338" t="n">
        <x:v>0</x:v>
      </x:c>
      <x:c r="AF18" s="338" t="n">
        <x:v>0</x:v>
      </x:c>
      <x:c r="AG18" s="338" t="n">
        <x:v>0</x:v>
      </x:c>
      <x:c r="AH18" s="338" t="n">
        <x:v>0</x:v>
      </x:c>
      <x:c r="AI18" s="42" t="str">
        <x:v>신화 판매 불가 / 슬롯 유지</x:v>
      </x:c>
    </x:row>
    <x:row r="19" ht="49.5">
      <x:c r="A19" s="7" t="s">
        <x:v>975</x:v>
      </x:c>
      <x:c r="B19" s="7" t="s">
        <x:v>976</x:v>
      </x:c>
      <x:c r="C19" s="7" t="s">
        <x:v>894</x:v>
      </x:c>
      <x:c r="D19" s="9" t="s">
        <x:v>977</x:v>
      </x:c>
      <x:c r="E19" s="10" t="s">
        <x:v>978</x:v>
      </x:c>
      <x:c r="F19" s="10" t="s">
        <x:v>979</x:v>
      </x:c>
      <x:c r="G19" s="10" t="s">
        <x:v>980</x:v>
      </x:c>
      <x:c r="H19" s="10" t="s">
        <x:v>981</x:v>
      </x:c>
      <x:c r="I19" s="10" t="s">
        <x:v>982</x:v>
      </x:c>
      <x:c r="J19" s="10" t="s">
        <x:v>181</x:v>
      </x:c>
      <x:c r="K19" s="10" t="s">
        <x:v>184</x:v>
      </x:c>
      <x:c r="L19" s="10" t="s">
        <x:v>840</x:v>
      </x:c>
      <x:c r="M19" s="1" t="s">
        <x:v>983</x:v>
      </x:c>
      <x:c r="N19" s="1" t="s">
        <x:v>836</x:v>
      </x:c>
      <x:c r="O19" s="1" t="s">
        <x:v>984</x:v>
      </x:c>
      <x:c r="P19" s="1" t="s">
        <x:v>903</x:v>
      </x:c>
      <x:c r="Q19" s="42" t="str">
        <x:v>로비 Lv/한계돌파로 HP·ATK·DEF 기본값 성장</x:v>
      </x:c>
      <x:c r="R19" s="42" t="str">
        <x:v>기본 해금</x:v>
      </x:c>
      <x:c r="S19" s="42" t="str">
        <x:v>1차 한계돌파(Lv20)</x:v>
      </x:c>
      <x:c r="T19" s="42" t="str">
        <x:v>3차 한계돌파(Lv60) / 필살기 컷신</x:v>
      </x:c>
      <x:c r="U19" s="42" t="str">
        <x:v>★1→2 100G / ★2→3 160G / ★3→4 230G / ★4→5 330G</x:v>
      </x:c>
      <x:c r="V19" s="42" t="n">
        <x:v>98</x:v>
      </x:c>
      <x:c r="W19" s="42" t="n">
        <x:v>13</x:v>
      </x:c>
      <x:c r="X19" s="42" t="n">
        <x:v>4</x:v>
      </x:c>
      <x:c r="Y19" s="42" t="n">
        <x:v>3</x:v>
      </x:c>
      <x:c r="Z19" s="42" t="n">
        <x:v>9</x:v>
      </x:c>
      <x:c r="AA19" s="42" t="str">
        <x:v>HP비례/저주</x:v>
      </x:c>
      <x:c r="AB19" s="42" t="str">
        <x:v>보스 디버프+지속딜.</x:v>
      </x:c>
      <x:c r="AC19" s="42" t="str">
        <x:v>불가</x:v>
      </x:c>
      <x:c r="AD19" s="338" t="n">
        <x:v>0</x:v>
      </x:c>
      <x:c r="AE19" s="338" t="n">
        <x:v>0</x:v>
      </x:c>
      <x:c r="AF19" s="338" t="n">
        <x:v>0</x:v>
      </x:c>
      <x:c r="AG19" s="338" t="n">
        <x:v>0</x:v>
      </x:c>
      <x:c r="AH19" s="338" t="n">
        <x:v>0</x:v>
      </x:c>
      <x:c r="AI19" s="42" t="str">
        <x:v>신화 판매 불가 / 슬롯 유지</x:v>
      </x:c>
    </x:row>
    <x:row r="20" ht="49.5">
      <x:c r="A20" s="7" t="s">
        <x:v>985</x:v>
      </x:c>
      <x:c r="B20" s="7" t="s">
        <x:v>976</x:v>
      </x:c>
      <x:c r="C20" s="7" t="s">
        <x:v>894</x:v>
      </x:c>
      <x:c r="D20" s="9" t="s">
        <x:v>986</x:v>
      </x:c>
      <x:c r="E20" s="10" t="s">
        <x:v>987</x:v>
      </x:c>
      <x:c r="F20" s="10" t="s">
        <x:v>988</x:v>
      </x:c>
      <x:c r="G20" s="10" t="s">
        <x:v>989</x:v>
      </x:c>
      <x:c r="H20" s="10" t="s">
        <x:v>990</x:v>
      </x:c>
      <x:c r="I20" s="10" t="s">
        <x:v>991</x:v>
      </x:c>
      <x:c r="J20" s="10" t="str">
        <x:v>주술사</x:v>
      </x:c>
      <x:c r="K20" s="10" t="str">
        <x:v>충만한 마력수정</x:v>
      </x:c>
      <x:c r="L20" s="10" t="str">
        <x:v>세라</x:v>
      </x:c>
      <x:c r="M20" s="1" t="s">
        <x:v>992</x:v>
      </x:c>
      <x:c r="N20" s="1" t="str">
        <x:v>변경 반영</x:v>
      </x:c>
      <x:c r="O20" s="1" t="str">
        <x:v>주술사 + 충만한 마력수정 + 세라</x:v>
      </x:c>
      <x:c r="P20" s="1" t="str">
        <x:v>전설 2명 요구를 제거하고 천체/버프 시너지를 유지.</x:v>
      </x:c>
      <x:c r="Q20" s="42" t="str">
        <x:v>로비 Lv/한계돌파로 HP·ATK·DEF 기본값 성장</x:v>
      </x:c>
      <x:c r="R20" s="42" t="str">
        <x:v>기본 해금</x:v>
      </x:c>
      <x:c r="S20" s="42" t="str">
        <x:v>1차 한계돌파(Lv20)</x:v>
      </x:c>
      <x:c r="T20" s="42" t="str">
        <x:v>3차 한계돌파(Lv60) / 필살기 컷신</x:v>
      </x:c>
      <x:c r="U20" s="42" t="str">
        <x:v>★1→2 100G / ★2→3 160G / ★3→4 230G / ★4→5 330G</x:v>
      </x:c>
      <x:c r="V20" s="42" t="n">
        <x:v>94</x:v>
      </x:c>
      <x:c r="W20" s="42" t="n">
        <x:v>12</x:v>
      </x:c>
      <x:c r="X20" s="42" t="n">
        <x:v>5</x:v>
      </x:c>
      <x:c r="Y20" s="42" t="n">
        <x:v>3</x:v>
      </x:c>
      <x:c r="Z20" s="42" t="n">
        <x:v>11</x:v>
      </x:c>
      <x:c r="AA20" s="42" t="str">
        <x:v>유성/결속</x:v>
      </x:c>
      <x:c r="AB20" s="42" t="str">
        <x:v>광역/조합 시너지.</x:v>
      </x:c>
      <x:c r="AC20" s="42" t="str">
        <x:v>불가</x:v>
      </x:c>
      <x:c r="AD20" s="338" t="n">
        <x:v>0</x:v>
      </x:c>
      <x:c r="AE20" s="338" t="n">
        <x:v>0</x:v>
      </x:c>
      <x:c r="AF20" s="338" t="n">
        <x:v>0</x:v>
      </x:c>
      <x:c r="AG20" s="338" t="n">
        <x:v>0</x:v>
      </x:c>
      <x:c r="AH20" s="338" t="n">
        <x:v>0</x:v>
      </x:c>
      <x:c r="AI20" s="42" t="str">
        <x:v>신화 판매 불가 / 슬롯 유지</x:v>
      </x:c>
    </x:row>
    <x:row r="21" ht="49.5">
      <x:c r="A21" s="7" t="s">
        <x:v>993</x:v>
      </x:c>
      <x:c r="B21" s="7" t="s">
        <x:v>976</x:v>
      </x:c>
      <x:c r="C21" s="8" t="s">
        <x:v>894</x:v>
      </x:c>
      <x:c r="D21" s="9" t="s">
        <x:v>994</x:v>
      </x:c>
      <x:c r="E21" s="10" t="s">
        <x:v>995</x:v>
      </x:c>
      <x:c r="F21" s="10" t="s">
        <x:v>996</x:v>
      </x:c>
      <x:c r="G21" s="10" t="s">
        <x:v>997</x:v>
      </x:c>
      <x:c r="H21" s="10" t="s">
        <x:v>998</x:v>
      </x:c>
      <x:c r="I21" s="10" t="s">
        <x:v>999</x:v>
      </x:c>
      <x:c r="J21" s="10" t="str">
        <x:v>아이돌</x:v>
      </x:c>
      <x:c r="K21" s="10" t="str">
        <x:v>1급 얼음수정</x:v>
      </x:c>
      <x:c r="L21" s="10" t="str">
        <x:v>카린</x:v>
      </x:c>
      <x:c r="M21" s="1" t="s">
        <x:v>1000</x:v>
      </x:c>
      <x:c r="N21" s="1" t="str">
        <x:v>변경 반영</x:v>
      </x:c>
      <x:c r="O21" s="1" t="str">
        <x:v>아이돌 + 1급 얼음수정 + 카린</x:v>
      </x:c>
      <x:c r="P21" s="1" t="str">
        <x:v>전설 2명 요구를 제거하고 시간제어 테마와 전투 템포를 맞춤.</x:v>
      </x:c>
      <x:c r="Q21" s="42" t="str">
        <x:v>로비 Lv/한계돌파로 HP·ATK·DEF 기본값 성장</x:v>
      </x:c>
      <x:c r="R21" s="42" t="str">
        <x:v>기본 해금</x:v>
      </x:c>
      <x:c r="S21" s="42" t="str">
        <x:v>1차 한계돌파(Lv20)</x:v>
      </x:c>
      <x:c r="T21" s="42" t="str">
        <x:v>3차 한계돌파(Lv60) / 필살기 컷신</x:v>
      </x:c>
      <x:c r="U21" s="42" t="str">
        <x:v>★1→2 100G / ★2→3 160G / ★3→4 230G / ★4→5 330G</x:v>
      </x:c>
      <x:c r="V21" s="42" t="n">
        <x:v>62</x:v>
      </x:c>
      <x:c r="W21" s="42" t="n">
        <x:v>13</x:v>
      </x:c>
      <x:c r="X21" s="42" t="n">
        <x:v>5</x:v>
      </x:c>
      <x:c r="Y21" s="42" t="n">
        <x:v>1</x:v>
      </x:c>
      <x:c r="Z21" s="42" t="n">
        <x:v>9</x:v>
      </x:c>
      <x:c r="AA21" s="42" t="str">
        <x:v>시간제어</x:v>
      </x:c>
      <x:c r="AB21" s="42" t="str">
        <x:v>정지/되감기. 최상급 제어.</x:v>
      </x:c>
      <x:c r="AC21" s="42" t="str">
        <x:v>불가</x:v>
      </x:c>
      <x:c r="AD21" s="338" t="n">
        <x:v>0</x:v>
      </x:c>
      <x:c r="AE21" s="338" t="n">
        <x:v>0</x:v>
      </x:c>
      <x:c r="AF21" s="338" t="n">
        <x:v>0</x:v>
      </x:c>
      <x:c r="AG21" s="338" t="n">
        <x:v>0</x:v>
      </x:c>
      <x:c r="AH21" s="338" t="n">
        <x:v>0</x:v>
      </x:c>
      <x:c r="AI21" s="42" t="str">
        <x:v>신화 판매 불가 / 슬롯 유지</x:v>
      </x:c>
    </x:row>
  </x:sheetData>
  <x:conditionalFormatting sqref="C2:C21">
    <x:cfRule type="expression" dxfId="3" priority="1">
      <x:formula>C2="신화"</x:formula>
    </x:cfRule>
    <x:cfRule type="expression" dxfId="2" priority="2">
      <x:formula>C2="전설"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f476a747b148c8"/>
  </x:tableParts>
</x:worksheet>
</file>

<file path=xl/worksheets/sheet5.xml><?xml version="1.0" encoding="utf-8"?>
<x:worksheet xmlns:x="http://schemas.openxmlformats.org/spreadsheetml/2006/main">
  <x:sheetFormatPr defaultRowHeight="16.5"/>
  <x:cols>
    <x:col min="1" max="1" width="24" customWidth="1"/>
    <x:col min="2" max="2" width="32" customWidth="1"/>
    <x:col min="3" max="3" width="48" customWidth="1"/>
    <x:col min="4" max="4" width="38" customWidth="1"/>
    <x:col min="6" max="7" width="20" customWidth="1"/>
  </x:cols>
  <x:sheetData>
    <x:row r="1" ht="40.5">
      <x:c r="A1" s="11" t="s">
        <x:v>1001</x:v>
      </x:c>
      <x:c r="B1" s="11"/>
      <x:c r="C1" s="11"/>
      <x:c r="D1" s="11"/>
      <x:c r="F1" s="13" t="s">
        <x:v>1002</x:v>
      </x:c>
      <x:c r="G1" s="13"/>
      <x:c r="H1" s="13"/>
    </x:row>
    <x:row r="2">
      <x:c r="A2" s="5" t="s">
        <x:v>1003</x:v>
      </x:c>
      <x:c r="B2" s="5" t="s">
        <x:v>1004</x:v>
      </x:c>
      <x:c r="C2" s="5" t="s">
        <x:v>1005</x:v>
      </x:c>
      <x:c r="D2" s="5" t="s">
        <x:v>1006</x:v>
      </x:c>
      <x:c r="F2" s="3" t="s">
        <x:v>1007</x:v>
      </x:c>
      <x:c r="G2" s="3" t="s">
        <x:v>1008</x:v>
      </x:c>
    </x:row>
    <x:row r="3">
      <x:c r="A3" s="1" t="s">
        <x:v>1009</x:v>
      </x:c>
      <x:c r="B3" s="1" t="s">
        <x:v>1010</x:v>
      </x:c>
      <x:c r="C3" s="1" t="s">
        <x:v>1011</x:v>
      </x:c>
      <x:c r="D3" s="1" t="s">
        <x:v>1012</x:v>
      </x:c>
      <x:c r="F3" s="455" t="str">
        <x:v>TD 실제전투 V1</x:v>
      </x:c>
      <x:c r="G3" s="455" t="str">
        <x:v>후보값</x:v>
      </x:c>
      <x:c r="H3" s="455" t="str">
        <x:v>판정</x:v>
      </x:c>
      <x:c r="I3" s="455" t="str">
        <x:v>설명</x:v>
      </x:c>
    </x:row>
    <x:row r="4">
      <x:c r="A4" s="1" t="s">
        <x:v>1013</x:v>
      </x:c>
      <x:c r="B4" s="1" t="s">
        <x:v>1014</x:v>
      </x:c>
      <x:c r="C4" s="1" t="s">
        <x:v>1015</x:v>
      </x:c>
      <x:c r="D4" s="1" t="s">
        <x:v>1016</x:v>
      </x:c>
      <x:c r="F4" s="42" t="str">
        <x:v>공속 환산</x:v>
      </x:c>
      <x:c r="G4" s="42" t="str">
        <x:v>공속10=1회/초</x:v>
      </x:c>
      <x:c r="H4" s="42" t="str">
        <x:v>후보</x:v>
      </x:c>
      <x:c r="I4" s="42" t="str">
        <x:v>엔진 체감 후 조정</x:v>
      </x:c>
    </x:row>
    <x:row r="5">
      <x:c r="A5" s="1" t="str">
        <x:v>Normal 21~30</x:v>
      </x:c>
      <x:c r="B5" s="1" t="str">
        <x:v>4방향·정예·보스 대응</x:v>
      </x:c>
      <x:c r="C5" s="1" t="str">
        <x:v>주요 성장벽에서 무료 성장재화 3~5일 누적 후 전진</x:v>
      </x:c>
      <x:c r="D5" s="1" t="str">
        <x:v>성장 시간 단축/영웅 선택폭 확대</x:v>
      </x:c>
      <x:c r="F5" s="42" t="str">
        <x:v>방어 공식</x:v>
      </x:c>
      <x:c r="G5" s="42" t="str">
        <x:v>100/(100+DEF)</x:v>
      </x:c>
      <x:c r="H5" s="42" t="str">
        <x:v>후보</x:v>
      </x:c>
      <x:c r="I5" s="42" t="str">
        <x:v>완만한 방어 효율</x:v>
      </x:c>
    </x:row>
    <x:row r="6">
      <x:c r="A6" s="1" t="str">
        <x:v>Hard 31~36</x:v>
      </x:c>
      <x:c r="B6" s="1" t="str">
        <x:v>Normal30 강한 클리어 → 31~33 타이트 진행 / 34 첫 장기벽</x:v>
      </x:c>
      <x:c r="C6" s="1" t="str">
        <x:v>Stage31~33 장기 대기 없음, Stage34 약 1주 무료 성장 후 전진</x:v>
      </x:c>
      <x:c r="D6" s="1" t="str">
        <x:v>즉시 전투력 보강/성장시간 단축</x:v>
      </x:c>
      <x:c r="F6" s="42" t="str">
        <x:v>Stage1 경로길이</x:v>
      </x:c>
      <x:c r="G6" s="42" t="str">
        <x:v>24타일</x:v>
      </x:c>
      <x:c r="H6" s="42" t="str">
        <x:v>후보</x:v>
      </x:c>
      <x:c r="I6" s="42" t="str">
        <x:v>실제 맵 완성 후 교체</x:v>
      </x:c>
    </x:row>
    <x:row r="7">
      <x:c r="A7" s="1" t="str">
        <x:v>Hard 37~45</x:v>
      </x:c>
      <x:c r="B7" s="1" t="str">
        <x:v>속성·CC·전설/신화 조합 요구</x:v>
      </x:c>
      <x:c r="C7" s="1" t="str">
        <x:v>37~42 주요 벽 7~10일 / 43~45 핵심 벽 10~14일</x:v>
      </x:c>
      <x:c r="D7" s="1" t="str">
        <x:v>육성·재료 확보 가속 / 1~3일로 시간 단축</x:v>
      </x:c>
      <x:c r="F7" s="42" t="str">
        <x:v>Stage1 W1~4</x:v>
      </x:c>
      <x:c r="G7" s="42" t="str">
        <x:v>넉넉</x:v>
      </x:c>
      <x:c r="H7" s="42" t="str">
        <x:v>적정</x:v>
      </x:c>
      <x:c r="I7" s="42" t="str">
        <x:v>기본 유닛 학습</x:v>
      </x:c>
    </x:row>
    <x:row r="8" ht="33">
      <x:c r="A8" s="1" t="str">
        <x:v>Hard 46~50</x:v>
      </x:c>
      <x:c r="B8" s="1" t="str">
        <x:v>최종 장기 목표</x:v>
      </x:c>
      <x:c r="C8" s="1" t="str">
        <x:v>Stage46·50 핵심 벽 10~14일+ / 중간 스테이지 진행</x:v>
      </x:c>
      <x:c r="D8" s="1" t="str">
        <x:v>시간 단축/최종 육성 가속</x:v>
      </x:c>
      <x:c r="F8" s="42" t="str">
        <x:v>Stage1 W5</x:v>
      </x:c>
      <x:c r="G8" s="42" t="str">
        <x:v>첫 영웅 요구</x:v>
      </x:c>
      <x:c r="H8" s="42" t="str">
        <x:v>타이트</x:v>
      </x:c>
      <x:c r="I8" s="42" t="str">
        <x:v>추가 유효DPS 약 37 이상 필요</x:v>
      </x:c>
    </x:row>
    <x:row r="9">
      <x:c r="A9" s="1"/>
      <x:c r="B9" s="1"/>
      <x:c r="C9" s="1"/>
      <x:c r="D9" s="1"/>
      <x:c r="F9" s="42" t="str">
        <x:v>첫 영웅 목표</x:v>
      </x:c>
      <x:c r="G9" s="42" t="str">
        <x:v>유효DPS 약45</x:v>
      </x:c>
      <x:c r="H9" s="42" t="str">
        <x:v>권장</x:v>
      </x:c>
      <x:c r="I9" s="42" t="str">
        <x:v>영웅 확정스탯이 아닌 역산 목표</x:v>
      </x:c>
    </x:row>
    <x:row r="10">
      <x:c r="A10" s="3" t="s">
        <x:v>1017</x:v>
      </x:c>
      <x:c r="B10" s="3" t="s">
        <x:v>1018</x:v>
      </x:c>
      <x:c r="C10" s="3" t="s">
        <x:v>1019</x:v>
      </x:c>
      <x:c r="D10" s="3"/>
      <x:c r="F10" s="42" t="str">
        <x:v>Stage1 W10</x:v>
      </x:c>
      <x:c r="G10" s="42" t="str">
        <x:v>약 26초</x:v>
      </x:c>
      <x:c r="H10" s="42" t="str">
        <x:v>적정~타이트</x:v>
      </x:c>
      <x:c r="I10" s="42" t="str">
        <x:v>첫 보스 마감</x:v>
      </x:c>
    </x:row>
    <x:row r="11">
      <x:c r="A11" s="1" t="s">
        <x:v>1020</x:v>
      </x:c>
      <x:c r="B11" s="1" t="s">
        <x:v>1021</x:v>
      </x:c>
      <x:c r="C11" s="1" t="s">
        <x:v>1022</x:v>
      </x:c>
      <x:c r="D11" s="1"/>
    </x:row>
    <x:row r="12">
      <x:c r="A12" s="1" t="s">
        <x:v>1023</x:v>
      </x:c>
      <x:c r="B12" s="1" t="s">
        <x:v>1024</x:v>
      </x:c>
      <x:c r="C12" s="1" t="s">
        <x:v>1025</x:v>
      </x:c>
      <x:c r="D12" s="1"/>
      <x:c r="F12" s="487" t="str">
        <x:v>아리아 초반 필수 설계 V2.8</x:v>
      </x:c>
      <x:c r="G12" s="487" t="str">
        <x:v>기준</x:v>
      </x:c>
      <x:c r="H12" s="487" t="str">
        <x:v>판정</x:v>
      </x:c>
      <x:c r="I12" s="487" t="str">
        <x:v>설명</x:v>
      </x:c>
    </x:row>
    <x:row r="13">
      <x:c r="A13" s="1" t="s">
        <x:v>1026</x:v>
      </x:c>
      <x:c r="B13" s="1" t="s">
        <x:v>1027</x:v>
      </x:c>
      <x:c r="C13" s="1" t="s">
        <x:v>1028</x:v>
      </x:c>
      <x:c r="D13" s="1"/>
      <x:c r="F13" s="42" t="str">
        <x:v>Stage1 W5</x:v>
      </x:c>
      <x:c r="G13" s="42" t="str">
        <x:v>첫 조합 강제 학습</x:v>
      </x:c>
      <x:c r="H13" s="42" t="str">
        <x:v>유지</x:v>
      </x:c>
      <x:c r="I13" s="42" t="str">
        <x:v>아리아 유효DPS 약46.6 기준</x:v>
      </x:c>
    </x:row>
    <x:row r="14">
      <x:c r="A14" s="1" t="s">
        <x:v>1029</x:v>
      </x:c>
      <x:c r="B14" s="1" t="s">
        <x:v>1030</x:v>
      </x:c>
      <x:c r="C14" s="1" t="s">
        <x:v>1031</x:v>
      </x:c>
      <x:c r="D14" s="1"/>
      <x:c r="F14" s="42" t="str">
        <x:v>Stage5 W10</x:v>
      </x:c>
      <x:c r="G14" s="42" t="str">
        <x:v>아리아 없음 실패권</x:v>
      </x:c>
      <x:c r="H14" s="42" t="str">
        <x:v>유지</x:v>
      </x:c>
      <x:c r="I14" s="42" t="str">
        <x:v>대표 빌드 32초→아리아 포함 27초</x:v>
      </x:c>
    </x:row>
    <x:row r="15">
      <x:c r="A15" s="1" t="str">
        <x:v>신화 영웅 소환</x:v>
      </x:c>
      <x:c r="B15" s="1" t="str">
        <x:v>전설 1 + 상급 일반/구조물 2</x:v>
      </x:c>
      <x:c r="C15" s="1" t="str">
        <x:v>전설 2명 이상 요구는 예외적 특수조합이 아니면 피함</x:v>
      </x:c>
      <x:c r="D15" s="1"/>
      <x:c r="F15" s="42" t="str">
        <x:v>Stage6 W10</x:v>
      </x:c>
      <x:c r="G15" s="42" t="str">
        <x:v>아리아 없음 실패권</x:v>
      </x:c>
      <x:c r="H15" s="42" t="str">
        <x:v>유지</x:v>
      </x:c>
      <x:c r="I15" s="42" t="str">
        <x:v>대표 빌드 33초→아리아 포함 29초</x:v>
      </x:c>
    </x:row>
    <x:row r="16">
      <x:c r="A16" s="1" t="str">
        <x:v>결제 설계</x:v>
      </x:c>
      <x:c r="B16" s="1" t="str">
        <x:v>성장 시간 단축 / 영웅 선택폭 확대</x:v>
      </x:c>
      <x:c r="C16" s="1" t="str">
        <x:v>Hard 초진입에서 강한 성장벽을 느끼되 무과금 장기 파밍으로 클리어 가능</x:v>
      </x:c>
      <x:c r="D16" s="1"/>
      <x:c r="F16" s="42" t="str">
        <x:v>Stage10 W10</x:v>
      </x:c>
      <x:c r="G16" s="42" t="str">
        <x:v>아리아 단독 부족</x:v>
      </x:c>
      <x:c r="H16" s="42" t="str">
        <x:v>의도적</x:v>
      </x:c>
      <x:c r="I16" s="42" t="str">
        <x:v>전문화/두번째 전설 요구</x:v>
      </x:c>
    </x:row>
    <x:row r="17">
      <x:c r="F17" s="42" t="str">
        <x:v>필수성</x:v>
      </x:c>
      <x:c r="G17" s="42" t="str">
        <x:v>경제적 표준해답</x:v>
      </x:c>
      <x:c r="H17" s="42" t="str">
        <x:v>권장</x:v>
      </x:c>
      <x:c r="I17" s="42" t="str">
        <x:v>완전 하드락은 피함</x:v>
      </x:c>
    </x:row>
    <x:row r="18">
      <x:c r="A18" s="45" t="str">
        <x:v>성장 시스템 분리</x:v>
      </x:c>
      <x:c r="B18" s="45" t="str">
        <x:v>규칙</x:v>
      </x:c>
      <x:c r="C18" s="45" t="str">
        <x:v>설명</x:v>
      </x:c>
      <x:c r="F18" s="42" t="str">
        <x:v>다음 테스트</x:v>
      </x:c>
      <x:c r="G18" s="42" t="str">
        <x:v>Stage5·6·10 실제 맵</x:v>
      </x:c>
      <x:c r="H18" s="42" t="str">
        <x:v>후속</x:v>
      </x:c>
      <x:c r="I18" s="42" t="str">
        <x:v>경로/배치칸 확정 후 엔진 재검증</x:v>
      </x:c>
    </x:row>
    <x:row r="19">
      <x:c r="A19" s="42" t="str">
        <x:v>로비 육성</x:v>
      </x:c>
      <x:c r="B19" s="42" t="str">
        <x:v>Lv1~100 + 한계돌파</x:v>
      </x:c>
      <x:c r="C19" s="42" t="str">
        <x:v>일반 캐릭터 ATK, 영웅 HP/ATK/DEF의 1★ 기본값 자체를 성장</x:v>
      </x:c>
    </x:row>
    <x:row r="20">
      <x:c r="A20" s="42" t="str">
        <x:v>TD 성급</x:v>
      </x:c>
      <x:c r="B20" s="42" t="str">
        <x:v>전투 중 골드 소비</x:v>
      </x:c>
      <x:c r="C20" s="42" t="str">
        <x:v>로비 성장 완료 기본값에 성급 배율을 곱해 해당 전투에서만 강화</x:v>
      </x:c>
      <x:c r="F20" s="521" t="str">
        <x:v>Stage10 두번째 전설 V2.9</x:v>
      </x:c>
      <x:c r="G20" s="521" t="str">
        <x:v>기준</x:v>
      </x:c>
      <x:c r="H20" s="521" t="str">
        <x:v>판정</x:v>
      </x:c>
      <x:c r="I20" s="521" t="str">
        <x:v>설명</x:v>
      </x:c>
    </x:row>
    <x:row r="21">
      <x:c r="A21" s="42" t="str">
        <x:v>스킬 해금</x:v>
      </x:c>
      <x:c r="B21" s="42" t="str">
        <x:v>로비 한계돌파</x:v>
      </x:c>
      <x:c r="C21" s="42" t="str">
        <x:v>TD 성급과 무관. Skill2는 1차, Skill3 필살기는 3차 한계돌파</x:v>
      </x:c>
      <x:c r="F21" s="42" t="str">
        <x:v>유나</x:v>
      </x:c>
      <x:c r="G21" s="42" t="str">
        <x:v>제어형</x:v>
      </x:c>
      <x:c r="H21" s="42" t="str">
        <x:v>가능</x:v>
      </x:c>
      <x:c r="I21" s="42" t="str">
        <x:v>전문화 병행 시 안정</x:v>
      </x:c>
    </x:row>
    <x:row r="22">
      <x:c r="A22" s="42" t="str">
        <x:v>이벤트 신</x:v>
      </x:c>
      <x:c r="B22" s="42" t="str">
        <x:v>로비 한계돌파</x:v>
      </x:c>
      <x:c r="C22" s="42" t="str">
        <x:v>2차/4차 한계돌파에서 단계별 해금</x:v>
      </x:c>
      <x:c r="F22" s="42" t="str">
        <x:v>루비</x:v>
      </x:c>
      <x:c r="G22" s="42" t="str">
        <x:v>보스/장거리</x:v>
      </x:c>
      <x:c r="H22" s="42" t="str">
        <x:v>A</x:v>
      </x:c>
      <x:c r="I22" s="42" t="str">
        <x:v>가장 직관적인 화력 선택</x:v>
      </x:c>
    </x:row>
    <x:row r="23">
      <x:c r="F23" s="42" t="str">
        <x:v>에리카</x:v>
      </x:c>
      <x:c r="G23" s="42" t="str">
        <x:v>근접광역</x:v>
      </x:c>
      <x:c r="H23" s="42" t="str">
        <x:v>A</x:v>
      </x:c>
      <x:c r="I23" s="42" t="str">
        <x:v>맵/배치 의존</x:v>
      </x:c>
    </x:row>
    <x:row r="24">
      <x:c r="A24" s="102" t="str">
        <x:v>TD 골드 역산 핵심</x:v>
      </x:c>
      <x:c r="B24" s="102" t="str">
        <x:v>기준</x:v>
      </x:c>
      <x:c r="C24" s="102" t="str">
        <x:v>설명</x:v>
      </x:c>
      <x:c r="F24" s="42" t="str">
        <x:v>세라</x:v>
      </x:c>
      <x:c r="G24" s="42" t="str">
        <x:v>버퍼</x:v>
      </x:c>
      <x:c r="H24" s="42" t="str">
        <x:v>A</x:v>
      </x:c>
      <x:c r="I24" s="42" t="str">
        <x:v>아리아 중심 빌드 증폭</x:v>
      </x:c>
    </x:row>
    <x:row r="25">
      <x:c r="A25" s="42" t="str">
        <x:v>Wave 4</x:v>
      </x:c>
      <x:c r="B25" s="42" t="str">
        <x:v>전설 2명 확보</x:v>
      </x:c>
      <x:c r="C25" s="42" t="str">
        <x:v>중간보스 이전 표준 빌드의 최소선</x:v>
      </x:c>
      <x:c r="F25" s="42" t="str">
        <x:v>카린</x:v>
      </x:c>
      <x:c r="G25" s="42" t="str">
        <x:v>보스폭딜</x:v>
      </x:c>
      <x:c r="H25" s="42" t="str">
        <x:v>A</x:v>
      </x:c>
      <x:c r="I25" s="42" t="str">
        <x:v>단일보스 최고</x:v>
      </x:c>
    </x:row>
    <x:row r="26">
      <x:c r="A26" s="42" t="str">
        <x:v>Wave 6</x:v>
      </x:c>
      <x:c r="B26" s="42" t="str">
        <x:v>신화 전환 시작</x:v>
      </x:c>
      <x:c r="C26" s="42" t="str">
        <x:v>첫 신화가 나오는 시점</x:v>
      </x:c>
      <x:c r="F26" s="42" t="str">
        <x:v>아리아 없는 Stage10</x:v>
      </x:c>
      <x:c r="G26" s="42" t="str">
        <x:v>대부분 실패권</x:v>
      </x:c>
      <x:c r="H26" s="42" t="str">
        <x:v>의도적</x:v>
      </x:c>
      <x:c r="I26" s="42" t="str">
        <x:v>표준 무과금 루트에서 아리아 축 유지</x:v>
      </x:c>
    </x:row>
    <x:row r="27">
      <x:c r="A27" s="42" t="str">
        <x:v>Wave 8</x:v>
      </x:c>
      <x:c r="B27" s="42" t="str">
        <x:v>영웅 5인 근접/완성</x:v>
      </x:c>
      <x:c r="C27" s="42" t="str">
        <x:v>신화2 + 전설3 정도가 자연스러운 표준</x:v>
      </x:c>
      <x:c r="F27" s="42" t="str">
        <x:v>아리아+두번째 전설</x:v>
      </x:c>
      <x:c r="G27" s="42" t="str">
        <x:v>30초 이내</x:v>
      </x:c>
      <x:c r="H27" s="42" t="str">
        <x:v>적정</x:v>
      </x:c>
      <x:c r="I27" s="42" t="str">
        <x:v>두번째 전설 선택지를 열어 빌드 다양화</x:v>
      </x:c>
    </x:row>
    <x:row r="28">
      <x:c r="A28" s="42" t="str">
        <x:v>Wave 9</x:v>
      </x:c>
      <x:c r="B28" s="42" t="str">
        <x:v>신화3 + 전설2</x:v>
      </x:c>
      <x:c r="C28" s="42" t="str">
        <x:v>보스 직전 표준 완성 빌드</x:v>
      </x:c>
      <x:c r="F28" s="42" t="str">
        <x:v>다음</x:v>
      </x:c>
      <x:c r="G28" s="42" t="str">
        <x:v>리엘/레이나+신화</x:v>
      </x:c>
      <x:c r="H28" s="42" t="str">
        <x:v>후속</x:v>
      </x:c>
      <x:c r="I28" s="42" t="str">
        <x:v>Stage15 체크포인트로 확장</x:v>
      </x:c>
    </x:row>
    <x:row r="29">
      <x:c r="A29" s="42" t="str">
        <x:v>고숙련/고육성</x:v>
      </x:c>
      <x:c r="B29" s="42" t="str">
        <x:v>신화5 가능</x:v>
      </x:c>
      <x:c r="C29" s="42" t="str">
        <x:v>로비 성장으로 불필요한 TD 지출을 줄인 보상</x:v>
      </x:c>
    </x:row>
    <x:row r="30">
      <x:c r="A30" s="42" t="str">
        <x:v>보스전</x:v>
      </x:c>
      <x:c r="B30" s="42" t="str">
        <x:v>영웅 5인 권장</x:v>
      </x:c>
      <x:c r="C30" s="42" t="str">
        <x:v>신화5는 필수가 아니며 혼합 5인으로도 정상 클리어 가능</x:v>
      </x:c>
      <x:c r="F30" s="553" t="str">
        <x:v>신화 빌드 V3.0</x:v>
      </x:c>
      <x:c r="G30" s="553" t="str">
        <x:v>구간</x:v>
      </x:c>
      <x:c r="H30" s="553" t="str">
        <x:v>표준 영웅구성</x:v>
      </x:c>
      <x:c r="I30" s="553" t="str">
        <x:v>판정</x:v>
      </x:c>
      <x:c r="J30" s="553" t="str">
        <x:v>설명</x:v>
      </x:c>
    </x:row>
    <x:row r="31">
      <x:c r="F31" s="42" t="str">
        <x:v>초반</x:v>
      </x:c>
      <x:c r="G31" s="42" t="str">
        <x:v>1~6</x:v>
      </x:c>
      <x:c r="H31" s="42" t="str">
        <x:v>아리아 1</x:v>
      </x:c>
      <x:c r="I31" s="42" t="str">
        <x:v>유지</x:v>
      </x:c>
      <x:c r="J31" s="42" t="str">
        <x:v>아리아 필수축</x:v>
      </x:c>
    </x:row>
    <x:row r="32">
      <x:c r="A32" s="130" t="str">
        <x:v>TD 골드 V1.4</x:v>
      </x:c>
      <x:c r="B32" s="130" t="str">
        <x:v>기준</x:v>
      </x:c>
      <x:c r="C32" s="130" t="str">
        <x:v>설명</x:v>
      </x:c>
      <x:c r="F32" s="42" t="str">
        <x:v>확장</x:v>
      </x:c>
      <x:c r="G32" s="42" t="str">
        <x:v>7~10</x:v>
      </x:c>
      <x:c r="H32" s="42" t="str">
        <x:v>아리아 + 전설1</x:v>
      </x:c>
      <x:c r="I32" s="42" t="str">
        <x:v>유지</x:v>
      </x:c>
      <x:c r="J32" s="42" t="str">
        <x:v>두번째 전설 선택</x:v>
      </x:c>
    </x:row>
    <x:row r="33">
      <x:c r="A33" s="42" t="str">
        <x:v>시작 골드</x:v>
      </x:c>
      <x:c r="B33" s="42" t="str">
        <x:v>500G</x:v>
      </x:c>
      <x:c r="C33" s="42" t="str">
        <x:v>초반 방어선 + 영웅 재료 빌드 동시 착수</x:v>
      </x:c>
      <x:c r="F33" s="42" t="str">
        <x:v>신화진입</x:v>
      </x:c>
      <x:c r="G33" s="42" t="str">
        <x:v>11~15</x:v>
      </x:c>
      <x:c r="H33" s="42" t="str">
        <x:v>아리아 + 전설1 + 신화1</x:v>
      </x:c>
      <x:c r="I33" s="42" t="str">
        <x:v>권장</x:v>
      </x:c>
      <x:c r="J33" s="42" t="str">
        <x:v>미아/네온/샤샤 등</x:v>
      </x:c>
    </x:row>
    <x:row r="34">
      <x:c r="A34" s="42" t="str">
        <x:v>일반몹 처치</x:v>
      </x:c>
      <x:c r="B34" s="42" t="str">
        <x:v>몬스터별 즉시 지급</x:v>
      </x:c>
      <x:c r="C34" s="42" t="str">
        <x:v>Stage1 평균 약 12G</x:v>
      </x:c>
      <x:c r="F34" s="42" t="str">
        <x:v>신화주력</x:v>
      </x:c>
      <x:c r="G34" s="42" t="str">
        <x:v>16~20</x:v>
      </x:c>
      <x:c r="H34" s="42" t="str">
        <x:v>아리아 + 전설1 + 신화2</x:v>
      </x:c>
      <x:c r="I34" s="42" t="str">
        <x:v>권장</x:v>
      </x:c>
      <x:c r="J34" s="42" t="str">
        <x:v>4인 영웅체제로 확장</x:v>
      </x:c>
    </x:row>
    <x:row r="35">
      <x:c r="A35" s="42" t="str">
        <x:v>Wave4 누적</x:v>
      </x:c>
      <x:c r="B35" s="42" t="str">
        <x:v>약 1,700~1,850G</x:v>
      </x:c>
      <x:c r="C35" s="42" t="str">
        <x:v>전설 2명 확보가 가능해야 함</x:v>
      </x:c>
      <x:c r="F35" s="42" t="str">
        <x:v>아이린</x:v>
      </x:c>
      <x:c r="G35" s="42" t="str">
        <x:v>Stage10</x:v>
      </x:c>
      <x:c r="H35" s="42" t="str">
        <x:v>아리아 소모</x:v>
      </x:c>
      <x:c r="I35" s="42" t="str">
        <x:v>보류</x:v>
      </x:c>
      <x:c r="J35" s="42" t="str">
        <x:v>아리아 재조합 여유 전에는 손해</x:v>
      </x:c>
    </x:row>
    <x:row r="36">
      <x:c r="A36" s="42" t="str">
        <x:v>Wave5</x:v>
      </x:c>
      <x:c r="B36" s="42" t="str">
        <x:v>중간보스 현상금</x:v>
      </x:c>
      <x:c r="C36" s="42" t="str">
        <x:v>Wave6부터 신화 전환을 시작시키는 경제 전환점</x:v>
      </x:c>
      <x:c r="F36" s="42" t="str">
        <x:v>아델</x:v>
      </x:c>
      <x:c r="G36" s="42" t="str">
        <x:v>Stage5</x:v>
      </x:c>
      <x:c r="H36" s="42" t="str">
        <x:v>아리아 소모</x:v>
      </x:c>
      <x:c r="I36" s="42" t="str">
        <x:v>보류</x:v>
      </x:c>
      <x:c r="J36" s="42" t="str">
        <x:v>방벽 특화맵 외 초반 비추천</x:v>
      </x:c>
    </x:row>
    <x:row r="37">
      <x:c r="A37" s="42" t="str">
        <x:v>조기클리어</x:v>
      </x:c>
      <x:c r="B37" s="42" t="str">
        <x:v>0/10/20/30%</x:v>
      </x:c>
      <x:c r="C37" s="42" t="str">
        <x:v>표준 +10%, 숙련 +30% 가정</x:v>
      </x:c>
      <x:c r="F37" s="42" t="str">
        <x:v>Stage15 최소DPS</x:v>
      </x:c>
      <x:c r="G37" s="42" t="n">
        <x:v>1220.3</x:v>
      </x:c>
      <x:c r="H37" s="42" t="str">
        <x:v>30초 기준</x:v>
      </x:c>
      <x:c r="I37" s="42" t="str">
        <x:v>검증</x:v>
      </x:c>
      <x:c r="J37" s="42" t="str">
        <x:v>신화1 포함 빌드로 대응</x:v>
      </x:c>
    </x:row>
    <x:row r="38">
      <x:c r="A38" s="42" t="str">
        <x:v>Wave9 표준</x:v>
      </x:c>
      <x:c r="B38" s="42" t="str">
        <x:v>신화3 + 전설2</x:v>
      </x:c>
      <x:c r="C38" s="42" t="str">
        <x:v>영웅 5인 완성 기준</x:v>
      </x:c>
      <x:c r="F38" s="42" t="str">
        <x:v>Stage20 최소DPS</x:v>
      </x:c>
      <x:c r="G38" s="42" t="n">
        <x:v>2381.2</x:v>
      </x:c>
      <x:c r="H38" s="42" t="str">
        <x:v>30초 기준</x:v>
      </x:c>
      <x:c r="I38" s="42" t="str">
        <x:v>검증</x:v>
      </x:c>
      <x:c r="J38" s="42" t="str">
        <x:v>신화2 포함 빌드로 대응</x:v>
      </x:c>
    </x:row>
    <x:row r="39">
      <x:c r="A39" s="42" t="str">
        <x:v>Wave9 숙련</x:v>
      </x:c>
      <x:c r="B39" s="42" t="str">
        <x:v>신화5 도전 가능</x:v>
      </x:c>
      <x:c r="C39" s="42" t="str">
        <x:v>추가 조기보상 + 약 500G의 불필요 지출 절약</x:v>
      </x:c>
      <x:c r="F39" s="42" t="str">
        <x:v>신화 원칙</x:v>
      </x:c>
      <x:c r="G39" s="42" t="str">
        <x:v>전설1+상급2</x:v>
      </x:c>
      <x:c r="H39" s="42" t="str">
        <x:v>1칸 전환</x:v>
      </x:c>
      <x:c r="I39" s="42" t="str">
        <x:v>유지</x:v>
      </x:c>
      <x:c r="J39" s="42" t="str">
        <x:v>2칸이 비어 슬롯효율 상승</x:v>
      </x:c>
    </x:row>
    <x:row r="40">
      <x:c r="A40" s="42" t="str">
        <x:v>Normal 20~30</x:v>
      </x:c>
      <x:c r="B40" s="42" t="str">
        <x:v>막힘 시 3~5일 성장</x:v>
      </x:c>
      <x:c r="C40" s="42" t="str">
        <x:v>로비 육성으로 TD 지출을 줄이고 클리어</x:v>
      </x:c>
      <x:c r="F40" s="42" t="str">
        <x:v>다음 검증</x:v>
      </x:c>
      <x:c r="G40" s="42" t="str">
        <x:v>Stage21~30</x:v>
      </x:c>
      <x:c r="H40" s="42" t="str">
        <x:v>5영웅 상한</x:v>
      </x:c>
      <x:c r="I40" s="42" t="str">
        <x:v>후속</x:v>
      </x:c>
      <x:c r="J40" s="42" t="str">
        <x:v>맵/보스별 최적 신화 조합</x:v>
      </x:c>
    </x:row>
    <x:row r="41">
      <x:c r="A41" s="42" t="str">
        <x:v>Hard</x:v>
      </x:c>
      <x:c r="B41" s="42" t="str">
        <x:v>주요 성장벽당 약 1주</x:v>
      </x:c>
      <x:c r="C41" s="42" t="str">
        <x:v>결제는 성장 시간 단축, 무과금도 누적 성장으로 전진</x:v>
      </x:c>
    </x:row>
    <x:row r="42">
      <x:c r="F42" s="556" t="str">
        <x:v>Normal21~30 5영웅 V3.1</x:v>
      </x:c>
      <x:c r="G42" s="556" t="str">
        <x:v>구간</x:v>
      </x:c>
      <x:c r="H42" s="556" t="str">
        <x:v>표준 조합</x:v>
      </x:c>
      <x:c r="I42" s="556" t="str">
        <x:v>경제</x:v>
      </x:c>
      <x:c r="J42" s="556" t="str">
        <x:v>설명</x:v>
      </x:c>
    </x:row>
    <x:row r="43">
      <x:c r="A43" s="184" t="str">
        <x:v>전문화/계정경제 V1.6</x:v>
      </x:c>
      <x:c r="B43" s="184" t="str">
        <x:v>기준</x:v>
      </x:c>
      <x:c r="C43" s="184" t="str">
        <x:v>설명</x:v>
      </x:c>
      <x:c r="F43" s="42" t="str">
        <x:v>Stage21~25</x:v>
      </x:c>
      <x:c r="G43" s="42" t="str">
        <x:v>3신화+2전설</x:v>
      </x:c>
      <x:c r="H43" s="42" t="str">
        <x:v>아리아+카린+미아+벨+오로라</x:v>
      </x:c>
      <x:c r="I43" s="42" t="str">
        <x:v>표준 W9 가능</x:v>
      </x:c>
      <x:c r="J43" s="42" t="str">
        <x:v>5인 체제 정착</x:v>
      </x:c>
    </x:row>
    <x:row r="44">
      <x:c r="A44" s="42" t="str">
        <x:v>전문화 비용</x:v>
      </x:c>
      <x:c r="B44" s="42" t="str">
        <x:v>1차 25~60G / 2차 50~110G</x:v>
      </x:c>
      <x:c r="C44" s="42" t="str">
        <x:v>기존 빈칸을 유닛계열/구조물계열에 맞춰 보완</x:v>
      </x:c>
      <x:c r="F44" s="42" t="str">
        <x:v>Stage26~28</x:v>
      </x:c>
      <x:c r="G44" s="42" t="str">
        <x:v>3신화+2전설</x:v>
      </x:c>
      <x:c r="H44" s="42" t="str">
        <x:v>동일 조합 성장</x:v>
      </x:c>
      <x:c r="I44" s="42" t="str">
        <x:v>표준 W9 가능</x:v>
      </x:c>
      <x:c r="J44" s="42" t="str">
        <x:v>신화 수보다 로비 성장 우선</x:v>
      </x:c>
    </x:row>
    <x:row r="45">
      <x:c r="A45" s="42" t="str">
        <x:v>전문화 방식</x:v>
      </x:c>
      <x:c r="B45" s="42" t="str">
        <x:v>기존 유닛 변환</x:v>
      </x:c>
      <x:c r="C45" s="42" t="str">
        <x:v>전문화 후 새 유닛을 다시 구매하지 않음</x:v>
      </x:c>
      <x:c r="F45" s="42" t="str">
        <x:v>Stage29</x:v>
      </x:c>
      <x:c r="G45" s="42" t="str">
        <x:v>4신화+1전설</x:v>
      </x:c>
      <x:c r="H45" s="42" t="str">
        <x:v>아리아+미아+벨+오로라+이브</x:v>
      </x:c>
      <x:c r="I45" s="42" t="str">
        <x:v>타이트</x:v>
      </x:c>
      <x:c r="J45" s="42" t="str">
        <x:v>공중보스; 대공 구조물 병행</x:v>
      </x:c>
    </x:row>
    <x:row r="46">
      <x:c r="A46" s="42" t="str">
        <x:v>초반 전설</x:v>
      </x:c>
      <x:c r="B46" s="42" t="str">
        <x:v>Wave4 저가 전설 2명</x:v>
      </x:c>
      <x:c r="C46" s="42" t="str">
        <x:v>기본 계정에서는 빡빡하지만 가능해야 함</x:v>
      </x:c>
      <x:c r="F46" s="42" t="str">
        <x:v>Stage30</x:v>
      </x:c>
      <x:c r="G46" s="42" t="str">
        <x:v>4신화+1전설</x:v>
      </x:c>
      <x:c r="H46" s="42" t="str">
        <x:v>아리아+미아+니아+오로라+클로에</x:v>
      </x:c>
      <x:c r="I46" s="42" t="str">
        <x:v>표준 가능</x:v>
      </x:c>
      <x:c r="J46" s="42" t="str">
        <x:v>Normal 최종 균형</x:v>
      </x:c>
    </x:row>
    <x:row r="47">
      <x:c r="A47" s="42" t="str">
        <x:v>계정 Lv100 시작골드</x:v>
      </x:c>
      <x:c r="B47" s="42" t="str">
        <x:v>+20% 상한</x:v>
      </x:c>
      <x:c r="C47" s="42" t="str">
        <x:v>500G → 600G</x:v>
      </x:c>
      <x:c r="F47" s="42" t="str">
        <x:v>보스특화</x:v>
      </x:c>
      <x:c r="G47" s="42" t="str">
        <x:v>3신화+2전설</x:v>
      </x:c>
      <x:c r="H47" s="42" t="str">
        <x:v>아리아+카린+니아+비올라+루나</x:v>
      </x:c>
      <x:c r="I47" s="42" t="str">
        <x:v>표준 가능</x:v>
      </x:c>
      <x:c r="J47" s="42" t="str">
        <x:v>단일보스/디버프</x:v>
      </x:c>
    </x:row>
    <x:row r="48">
      <x:c r="A48" s="42" t="str">
        <x:v>계정 Lv100 처치골드</x:v>
      </x:c>
      <x:c r="B48" s="42" t="str">
        <x:v>+15% 상한</x:v>
      </x:c>
      <x:c r="C48" s="42" t="str">
        <x:v>몹 처치 효율 체감</x:v>
      </x:c>
      <x:c r="F48" s="42" t="str">
        <x:v>다중경로</x:v>
      </x:c>
      <x:c r="G48" s="42" t="str">
        <x:v>4신화+1전설</x:v>
      </x:c>
      <x:c r="H48" s="42" t="str">
        <x:v>아리아+샤샤+네온+오로라+이브</x:v>
      </x:c>
      <x:c r="I48" s="42" t="str">
        <x:v>숙련 권장</x:v>
      </x:c>
      <x:c r="J48" s="42" t="str">
        <x:v>광역/시간제어</x:v>
      </x:c>
    </x:row>
    <x:row r="49">
      <x:c r="A49" s="42" t="str">
        <x:v>계정 Lv100 웨이브보상</x:v>
      </x:c>
      <x:c r="B49" s="42" t="str">
        <x:v>+10% 상한</x:v>
      </x:c>
      <x:c r="C49" s="42" t="str">
        <x:v>후반 빌드 완성 속도 개선</x:v>
      </x:c>
      <x:c r="F49" s="42" t="str">
        <x:v>5신화</x:v>
      </x:c>
      <x:c r="G49" s="42" t="str">
        <x:v>고경제 상한</x:v>
      </x:c>
      <x:c r="H49" s="42" t="str">
        <x:v>필수 아님</x:v>
      </x:c>
      <x:c r="I49" s="42" t="str">
        <x:v>숙련권</x:v>
      </x:c>
      <x:c r="J49" s="42" t="str">
        <x:v>과금/숙련 최적화 보상</x:v>
      </x:c>
    </x:row>
    <x:row r="50">
      <x:c r="A50" s="42" t="str">
        <x:v>조기클리어 상한</x:v>
      </x:c>
      <x:c r="B50" s="42" t="str">
        <x:v>기본 +30% / 성장 후 +35%</x:v>
      </x:c>
      <x:c r="C50" s="42" t="str">
        <x:v>숙련자 보상은 유지하되 폭주 방지</x:v>
      </x:c>
      <x:c r="F50" s="42" t="str">
        <x:v>다음</x:v>
      </x:c>
      <x:c r="G50" s="42" t="str">
        <x:v>Hard31~36</x:v>
      </x:c>
      <x:c r="H50" s="42" t="str">
        <x:v>5영웅 고정 후 역할교체</x:v>
      </x:c>
      <x:c r="I50" s="42" t="str">
        <x:v>후속</x:v>
      </x:c>
      <x:c r="J50" s="42" t="str">
        <x:v>Hard에서 4~5신화 비중 확대</x:v>
      </x:c>
    </x:row>
    <x:row r="51">
      <x:c r="A51" s="42" t="str">
        <x:v>설계 철학</x:v>
      </x:c>
      <x:c r="B51" s="42" t="str">
        <x:v>초기 경제는 약간 빡빡</x:v>
      </x:c>
      <x:c r="C51" s="42" t="str">
        <x:v>계정 레벨/로비 육성으로 같은 스테이지의 빌드 속도가 빨라지는 체감 제공</x:v>
      </x:c>
    </x:row>
    <x:row r="52">
      <x:c r="F52" s="602" t="str">
        <x:v>Hard31~36 클리어검수 V3.2</x:v>
      </x:c>
      <x:c r="G52" s="602" t="str">
        <x:v>기준</x:v>
      </x:c>
      <x:c r="H52" s="602" t="str">
        <x:v>판정</x:v>
      </x:c>
      <x:c r="I52" s="602" t="str">
        <x:v>설명</x:v>
      </x:c>
      <x:c r="J52" s="602" t="str">
        <x:v>조치</x:v>
      </x:c>
    </x:row>
    <x:row r="53">
      <x:c r="A53" s="249" t="str">
        <x:v>Normal1~10 자연육성 시뮬레이션 V1.8</x:v>
      </x:c>
      <x:c r="B53" s="249" t="str">
        <x:v>기준</x:v>
      </x:c>
      <x:c r="C53" s="249" t="str">
        <x:v>설명</x:v>
      </x:c>
      <x:c r="F53" s="42" t="str">
        <x:v>W10</x:v>
      </x:c>
      <x:c r="G53" s="42" t="str">
        <x:v>30초</x:v>
      </x:c>
      <x:c r="H53" s="42" t="str">
        <x:v>검수 기준</x:v>
      </x:c>
      <x:c r="I53" s="42" t="str">
        <x:v>TD 보스 HP0 후 RPG 전환</x:v>
      </x:c>
      <x:c r="J53" s="42" t="str">
        <x:v>유지</x:v>
      </x:c>
    </x:row>
    <x:row r="54">
      <x:c r="A54" s="42" t="str">
        <x:v>Stage1~5 성장재화</x:v>
      </x:c>
      <x:c r="B54" s="42" t="str">
        <x:v>1,450 제안</x:v>
      </x:c>
      <x:c r="C54" s="42" t="str">
        <x:v>기본+최초클리어 보상. 아직 확정 전 역산값</x:v>
      </x:c>
      <x:c r="F54" s="42" t="str">
        <x:v>첫 도전 실패</x:v>
      </x:c>
      <x:c r="G54" s="42" t="str">
        <x:v>허용</x:v>
      </x:c>
      <x:c r="H54" s="42" t="str">
        <x:v>정상</x:v>
      </x:c>
      <x:c r="I54" s="42" t="str">
        <x:v>Hard 성장벽 체감</x:v>
      </x:c>
      <x:c r="J54" s="42" t="str">
        <x:v>완화 안 함</x:v>
      </x:c>
    </x:row>
    <x:row r="55">
      <x:c r="A55" s="42" t="str">
        <x:v>핵심3 집중</x:v>
      </x:c>
      <x:c r="B55" s="42" t="str">
        <x:v>Stage6 진입 Lv12 전후</x:v>
      </x:c>
      <x:c r="C55" s="42" t="str">
        <x:v>로비 스탯 약 +5.0%</x:v>
      </x:c>
      <x:c r="F55" s="42" t="str">
        <x:v>Stage31</x:v>
      </x:c>
      <x:c r="G55" s="42" t="str">
        <x:v>Lv65 성장후</x:v>
      </x:c>
      <x:c r="H55" s="42" t="str">
        <x:v>30초±3초 목표</x:v>
      </x:c>
      <x:c r="I55" s="42" t="str">
        <x:v>1주 성장의 보상 확인</x:v>
      </x:c>
      <x:c r="J55" s="42" t="str">
        <x:v>실패폭 측정</x:v>
      </x:c>
    </x:row>
    <x:row r="56">
      <x:c r="A56" s="42" t="str">
        <x:v>핵심4 균형</x:v>
      </x:c>
      <x:c r="B56" s="42" t="str">
        <x:v>Stage6 진입 Lv10 전후</x:v>
      </x:c>
      <x:c r="C56" s="42" t="str">
        <x:v>로비 스탯 약 +4.1%</x:v>
      </x:c>
      <x:c r="F56" s="42" t="str">
        <x:v>Stage34</x:v>
      </x:c>
      <x:c r="G56" s="42" t="str">
        <x:v>Lv65 5인</x:v>
      </x:c>
      <x:c r="H56" s="42" t="str">
        <x:v>30초±3초 목표</x:v>
      </x:c>
      <x:c r="I56" s="42" t="str">
        <x:v>두번째 1주 벽</x:v>
      </x:c>
      <x:c r="J56" s="42" t="str">
        <x:v>실패폭 측정</x:v>
      </x:c>
    </x:row>
    <x:row r="57">
      <x:c r="A57" s="42" t="str">
        <x:v>핵심5 분산</x:v>
      </x:c>
      <x:c r="B57" s="42" t="str">
        <x:v>Stage6 진입 Lv9 전후</x:v>
      </x:c>
      <x:c r="C57" s="42" t="str">
        <x:v>로비 스탯 약 +3.6%</x:v>
      </x:c>
      <x:c r="F57" s="42" t="str">
        <x:v>Stage36</x:v>
      </x:c>
      <x:c r="G57" s="42" t="str">
        <x:v>Lv68</x:v>
      </x:c>
      <x:c r="H57" s="42" t="str">
        <x:v>30초±3초 목표</x:v>
      </x:c>
      <x:c r="I57" s="42" t="str">
        <x:v>2~4일 보조 성장</x:v>
      </x:c>
      <x:c r="J57" s="42" t="str">
        <x:v>실패폭 측정</x:v>
      </x:c>
    </x:row>
    <x:row r="58">
      <x:c r="A58" s="42" t="str">
        <x:v>Stage6 판단</x:v>
      </x:c>
      <x:c r="B58" s="42" t="str">
        <x:v>하향 보류</x:v>
      </x:c>
      <x:c r="C58" s="42" t="str">
        <x:v>레벨 상승만이 아니라 Stage5 해금/전설/TD성급을 합쳐 넘는 첫 성장 체크로 사용</x:v>
      </x:c>
      <x:c r="F58" s="42" t="str">
        <x:v>15공격슬롯</x:v>
      </x:c>
      <x:c r="G58" s="42" t="str">
        <x:v>상한측 가정</x:v>
      </x:c>
      <x:c r="H58" s="42" t="str">
        <x:v>플레이어 유리</x:v>
      </x:c>
      <x:c r="I58" s="42" t="str">
        <x:v>실맵 미확정</x:v>
      </x:c>
      <x:c r="J58" s="42" t="str">
        <x:v>실맵 후 교체</x:v>
      </x:c>
    </x:row>
    <x:row r="59">
      <x:c r="A59" s="42" t="str">
        <x:v>Stage10 누적 성장</x:v>
      </x:c>
      <x:c r="B59" s="42" t="str">
        <x:v>핵심3 Lv20 / 핵심4 Lv17 / 핵심5 Lv15 전후</x:v>
      </x:c>
      <x:c r="C59" s="42" t="str">
        <x:v>무과금 자연 육성 가정</x:v>
      </x:c>
      <x:c r="F59" s="42" t="str">
        <x:v>보스스킬</x:v>
      </x:c>
      <x:c r="G59" s="42" t="str">
        <x:v>미반영</x:v>
      </x:c>
      <x:c r="H59" s="42" t="str">
        <x:v>플레이어 유리</x:v>
      </x:c>
      <x:c r="I59" s="42" t="str">
        <x:v>실제 난도는 더 높음</x:v>
      </x:c>
      <x:c r="J59" s="42" t="str">
        <x:v>엔진 후 추가</x:v>
      </x:c>
    </x:row>
    <x:row r="60">
      <x:c r="A60" s="42" t="str">
        <x:v>재검증 조건</x:v>
      </x:c>
      <x:c r="B60" s="42" t="str">
        <x:v>로비 재화 드롭/레벨업 비용 확정 후</x:v>
      </x:c>
      <x:c r="C60" s="42" t="str">
        <x:v>엔진 DPS/경로길이/스킬계수와 함께 최종 승률 테스트</x:v>
      </x:c>
      <x:c r="F60" s="42" t="str">
        <x:v>추가배율 &gt;1.15x</x:v>
      </x:c>
      <x:c r="G60" s="42" t="str">
        <x:v>구조적 부족</x:v>
      </x:c>
      <x:c r="H60" s="42" t="str">
        <x:v>재조정 후보</x:v>
      </x:c>
      <x:c r="I60" s="42" t="str">
        <x:v>단순 실패와 구분</x:v>
      </x:c>
      <x:c r="J60" s="42" t="str">
        <x:v>수치조정 검토</x:v>
      </x:c>
    </x:row>
    <x:row r="61">
      <x:c r="F61" s="42" t="str">
        <x:v>원칙</x:v>
      </x:c>
      <x:c r="G61" s="42" t="str">
        <x:v>실패 허용</x:v>
      </x:c>
      <x:c r="H61" s="42" t="str">
        <x:v>확정 방향</x:v>
      </x:c>
      <x:c r="I61" s="42" t="str">
        <x:v>Hard는 실패→성장→재도전</x:v>
      </x:c>
      <x:c r="J61" s="42" t="str">
        <x:v>즉시 완화 금지</x:v>
      </x:c>
    </x:row>
    <x:row r="62">
      <x:c r="A62" s="277" t="str">
        <x:v>로비 성장재화/비용 V1.9</x:v>
      </x:c>
      <x:c r="B62" s="277" t="str">
        <x:v>권장 확정 후보</x:v>
      </x:c>
      <x:c r="C62" s="277" t="str">
        <x:v>설명</x:v>
      </x:c>
    </x:row>
    <x:row r="63">
      <x:c r="A63" s="42" t="str">
        <x:v>Stage1~5 총 성장재화</x:v>
      </x:c>
      <x:c r="B63" s="42" t="str">
        <x:v>1,450</x:v>
      </x:c>
      <x:c r="C63" s="42" t="str">
        <x:v>기본+최초클리어 보상</x:v>
      </x:c>
      <x:c r="F63" s="654" t="str">
        <x:v>TD→RPG 통합 V3.4</x:v>
      </x:c>
      <x:c r="G63" s="654" t="str">
        <x:v>기준</x:v>
      </x:c>
      <x:c r="H63" s="654" t="str">
        <x:v>판정</x:v>
      </x:c>
      <x:c r="I63" s="654" t="str">
        <x:v>설명</x:v>
      </x:c>
      <x:c r="J63" s="654" t="str">
        <x:v>후속</x:v>
      </x:c>
    </x:row>
    <x:row r="64">
      <x:c r="A64" s="42" t="str">
        <x:v>Stage1~10 총 성장재화</x:v>
      </x:c>
      <x:c r="B64" s="42" t="str">
        <x:v>3,300</x:v>
      </x:c>
      <x:c r="C64" s="42" t="str">
        <x:v>Stage10 최초클리어 포함</x:v>
      </x:c>
      <x:c r="F64" s="42" t="str">
        <x:v>스테이지 클리어</x:v>
      </x:c>
      <x:c r="G64" s="42" t="str">
        <x:v>TD W10 + RPG 보스</x:v>
      </x:c>
      <x:c r="H64" s="42" t="str">
        <x:v>확정 방향</x:v>
      </x:c>
      <x:c r="I64" s="42" t="str">
        <x:v>둘 다 성공해야 최종 클리어</x:v>
      </x:c>
      <x:c r="J64" s="42" t="str">
        <x:v>엔진 구현</x:v>
      </x:c>
    </x:row>
    <x:row r="65">
      <x:c r="A65" s="42" t="str">
        <x:v>Stage6 진입</x:v>
      </x:c>
      <x:c r="B65" s="42" t="str">
        <x:v>핵심3 Lv12 / 핵심4 Lv10 / 핵심5 Lv9</x:v>
      </x:c>
      <x:c r="C65" s="42" t="str">
        <x:v>자연 육성 기준</x:v>
      </x:c>
      <x:c r="F65" s="42" t="str">
        <x:v>RPG 파티</x:v>
      </x:c>
      <x:c r="G65" s="42" t="str">
        <x:v>TD 소환 영웅 최대5</x:v>
      </x:c>
      <x:c r="H65" s="42" t="str">
        <x:v>확정 방향</x:v>
      </x:c>
      <x:c r="I65" s="42" t="str">
        <x:v>일반/구조물 미참가</x:v>
      </x:c>
      <x:c r="J65" s="42" t="str">
        <x:v>유지</x:v>
      </x:c>
    </x:row>
    <x:row r="66">
      <x:c r="A66" s="42" t="str">
        <x:v>Stage10 도달</x:v>
      </x:c>
      <x:c r="B66" s="42" t="str">
        <x:v>핵심3 Lv18 / 핵심4 Lv16 / 핵심5 Lv14</x:v>
      </x:c>
      <x:c r="C66" s="42" t="str">
        <x:v>Lv20 조기 도달 억제</x:v>
      </x:c>
      <x:c r="F66" s="42" t="str">
        <x:v>RPG 스탯</x:v>
      </x:c>
      <x:c r="G66" s="42" t="str">
        <x:v>기존 HP/ATK/DEF 성장</x:v>
      </x:c>
      <x:c r="H66" s="42" t="str">
        <x:v>유지</x:v>
      </x:c>
      <x:c r="I66" s="42" t="str">
        <x:v>전설/신화 스탯의 주용도</x:v>
      </x:c>
      <x:c r="J66" s="42" t="str">
        <x:v>수치 미세조정</x:v>
      </x:c>
    </x:row>
    <x:row r="67">
      <x:c r="A67" s="42" t="str">
        <x:v>Lv1~10 비용곡선</x:v>
      </x:c>
      <x:c r="B67" s="42" t="str">
        <x:v>20부터 +4씩 증가</x:v>
      </x:c>
      <x:c r="C67" s="42" t="str">
        <x:v>초반 성장 가속</x:v>
      </x:c>
      <x:c r="F67" s="42" t="str">
        <x:v>Skill3</x:v>
      </x:c>
      <x:c r="G67" s="42" t="str">
        <x:v>Lv60</x:v>
      </x:c>
      <x:c r="H67" s="42" t="str">
        <x:v>Hard 진입 체감</x:v>
      </x:c>
      <x:c r="I67" s="42" t="str">
        <x:v>한계돌파 III에서 필살기</x:v>
      </x:c>
      <x:c r="J67" s="42" t="str">
        <x:v>연출 연계</x:v>
      </x:c>
    </x:row>
    <x:row r="68">
      <x:c r="A68" s="42" t="str">
        <x:v>Lv10~20 비용곡선</x:v>
      </x:c>
      <x:c r="B68" s="42" t="str">
        <x:v>60부터 +8씩 증가</x:v>
      </x:c>
      <x:c r="C68" s="42" t="str">
        <x:v>중반 성장 속도 제어</x:v>
      </x:c>
      <x:c r="F68" s="42" t="str">
        <x:v>Stage30</x:v>
      </x:c>
      <x:c r="G68" s="42" t="str">
        <x:v>TD 넉넉 + RPG 정상</x:v>
      </x:c>
      <x:c r="H68" s="42" t="str">
        <x:v>기준</x:v>
      </x:c>
      <x:c r="I68" s="42" t="str">
        <x:v>Normal 졸업 파티 확인</x:v>
      </x:c>
      <x:c r="J68" s="42" t="str">
        <x:v>유지</x:v>
      </x:c>
    </x:row>
    <x:row r="69">
      <x:c r="A69" s="42" t="str">
        <x:v>Stage6 적 스펙</x:v>
      </x:c>
      <x:c r="B69" s="42" t="str">
        <x:v>현행 유지 권장</x:v>
      </x:c>
      <x:c r="C69" s="42" t="str">
        <x:v>무료 성장 + 해금 시스템을 합친 첫 스펙 체크</x:v>
      </x:c>
      <x:c r="F69" s="42" t="str">
        <x:v>Stage31~33</x:v>
      </x:c>
      <x:c r="G69" s="42" t="str">
        <x:v>TD 타이트 + RPG 점진압박</x:v>
      </x:c>
      <x:c r="H69" s="42" t="str">
        <x:v>기준</x:v>
      </x:c>
      <x:c r="I69" s="42" t="str">
        <x:v>둘 중 한쪽 실패 허용</x:v>
      </x:c>
      <x:c r="J69" s="42" t="str">
        <x:v>검수</x:v>
      </x:c>
    </x:row>
    <x:row r="70">
      <x:c r="F70" s="42" t="str">
        <x:v>전설0명</x:v>
      </x:c>
      <x:c r="G70" s="42" t="str">
        <x:v>운명의 주사위</x:v>
      </x:c>
      <x:c r="H70" s="42" t="str">
        <x:v>자동구제</x:v>
      </x:c>
      <x:c r="I70" s="42" t="str">
        <x:v>임시 전설1명 RPG전용</x:v>
      </x:c>
      <x:c r="J70" s="42" t="str">
        <x:v>구현</x:v>
      </x:c>
    </x:row>
    <x:row r="71">
      <x:c r="A71" s="307" t="str">
        <x:v>Normal11~20 자연육성 V2.0</x:v>
      </x:c>
      <x:c r="B71" s="307" t="str">
        <x:v>권장 확정 후보</x:v>
      </x:c>
      <x:c r="C71" s="307" t="str">
        <x:v>설명</x:v>
      </x:c>
      <x:c r="F71" s="42" t="str">
        <x:v>첫 주사위</x:v>
      </x:c>
      <x:c r="G71" s="42" t="str">
        <x:v>아리아50%</x:v>
      </x:c>
      <x:c r="H71" s="42" t="str">
        <x:v>교육</x:v>
      </x:c>
      <x:c r="I71" s="42" t="str">
        <x:v>초반 필수축 안내</x:v>
      </x:c>
      <x:c r="J71" s="42" t="str">
        <x:v>유지</x:v>
      </x:c>
    </x:row>
    <x:row r="72">
      <x:c r="A72" s="42" t="str">
        <x:v>Stage11~20 성장재화</x:v>
      </x:c>
      <x:c r="B72" s="42" t="str">
        <x:v>9,010</x:v>
      </x:c>
      <x:c r="C72" s="42" t="str">
        <x:v>최초클리어 기준 / 일일 무료보상 제외</x:v>
      </x:c>
      <x:c r="F72" s="42" t="str">
        <x:v>임시 전설</x:v>
      </x:c>
      <x:c r="G72" s="42" t="str">
        <x:v>영구획득 아님</x:v>
      </x:c>
      <x:c r="H72" s="42" t="str">
        <x:v>악용방지</x:v>
      </x:c>
      <x:c r="I72" s="42" t="str">
        <x:v>전투 종료 시 소멸</x:v>
      </x:c>
      <x:c r="J72" s="42" t="str">
        <x:v>유지</x:v>
      </x:c>
    </x:row>
    <x:row r="73">
      <x:c r="A73" s="42" t="str">
        <x:v>한계돌파 I</x:v>
      </x:c>
      <x:c r="B73" s="42" t="str">
        <x:v>300 성장재화 + 코어 I 1</x:v>
      </x:c>
      <x:c r="C73" s="42" t="str">
        <x:v>Lv20 달성 후</x:v>
      </x:c>
      <x:c r="F73" s="42" t="str">
        <x:v>패배리포트</x:v>
      </x:c>
      <x:c r="G73" s="42" t="str">
        <x:v>영웅수/DPS/생존/필살기</x:v>
      </x:c>
      <x:c r="H73" s="42" t="str">
        <x:v>필수</x:v>
      </x:c>
      <x:c r="I73" s="42" t="str">
        <x:v>왜 졌는지 학습</x:v>
      </x:c>
      <x:c r="J73" s="42" t="str">
        <x:v>UI 설계</x:v>
      </x:c>
    </x:row>
    <x:row r="74">
      <x:c r="A74" s="42" t="str">
        <x:v>코어 I 지급</x:v>
      </x:c>
      <x:c r="B74" s="42" t="str">
        <x:v>Stage10 3 / Stage15 +1 / Stage20 +1</x:v>
      </x:c>
      <x:c r="C74" s="42" t="str">
        <x:v>핵심 파티 3→4→5명 확장</x:v>
      </x:c>
    </x:row>
    <x:row r="75">
      <x:c r="A75" s="42" t="str">
        <x:v>Stage11</x:v>
      </x:c>
      <x:c r="B75" s="42" t="str">
        <x:v>핵심3 Lv18~20권</x:v>
      </x:c>
      <x:c r="C75" s="42" t="str">
        <x:v>조합 이해가 필요한 타이트한 진입</x:v>
      </x:c>
      <x:c r="F75" s="670" t="str">
        <x:v>Normal1~20 RPG 최소파티 V3.5</x:v>
      </x:c>
      <x:c r="G75" s="670" t="str">
        <x:v>구간</x:v>
      </x:c>
      <x:c r="H75" s="670" t="str">
        <x:v>최소권장</x:v>
      </x:c>
      <x:c r="I75" s="670" t="str">
        <x:v>패배 학습</x:v>
      </x:c>
      <x:c r="J75" s="670" t="str">
        <x:v>설계</x:v>
      </x:c>
    </x:row>
    <x:row r="76">
      <x:c r="A76" s="42" t="str">
        <x:v>Stage15</x:v>
      </x:c>
      <x:c r="B76" s="42" t="str">
        <x:v>핵심3~4 한계돌파 I 안정권</x:v>
      </x:c>
      <x:c r="C76" s="42" t="str">
        <x:v>해륜 지역 마감</x:v>
      </x:c>
      <x:c r="F76" s="42" t="str">
        <x:v>RPG 입문</x:v>
      </x:c>
      <x:c r="G76" s="42" t="str">
        <x:v>1~4</x:v>
      </x:c>
      <x:c r="H76" s="42" t="str">
        <x:v>전설1</x:v>
      </x:c>
      <x:c r="I76" s="42" t="str">
        <x:v>0명은 운명의 주사위</x:v>
      </x:c>
      <x:c r="J76" s="42" t="str">
        <x:v>아리아 필요성</x:v>
      </x:c>
    </x:row>
    <x:row r="77">
      <x:c r="A77" s="42" t="str">
        <x:v>Stage16</x:v>
      </x:c>
      <x:c r="B77" s="42" t="str">
        <x:v>현행 스펙 체크 유지</x:v>
      </x:c>
      <x:c r="C77" s="42" t="str">
        <x:v>벨로자르 진입 점프</x:v>
      </x:c>
      <x:c r="F77" s="42" t="str">
        <x:v>전설 확장</x:v>
      </x:c>
      <x:c r="G77" s="42" t="str">
        <x:v>5~10</x:v>
      </x:c>
      <x:c r="H77" s="42" t="str">
        <x:v>전설2</x:v>
      </x:c>
      <x:c r="I77" s="42" t="str">
        <x:v>1명은 보스전 패배 유도</x:v>
      </x:c>
      <x:c r="J77" s="42" t="str">
        <x:v>두번째 전설</x:v>
      </x:c>
    </x:row>
    <x:row r="78">
      <x:c r="A78" s="42" t="str">
        <x:v>Stage20</x:v>
      </x:c>
      <x:c r="B78" s="42" t="str">
        <x:v>핵심3 Lv31 / 핵심4 Lv27 / 핵심5 Lv25 전후</x:v>
      </x:c>
      <x:c r="C78" s="42" t="str">
        <x:v>무과금 진행 가능</x:v>
      </x:c>
      <x:c r="F78" s="42" t="str">
        <x:v>신화 입문</x:v>
      </x:c>
      <x:c r="G78" s="42" t="str">
        <x:v>11~15</x:v>
      </x:c>
      <x:c r="H78" s="42" t="str">
        <x:v>전설2+신화1</x:v>
      </x:c>
      <x:c r="I78" s="42" t="str">
        <x:v>2전설만으로는 부족</x:v>
      </x:c>
      <x:c r="J78" s="42" t="str">
        <x:v>신화 전환</x:v>
      </x:c>
    </x:row>
    <x:row r="79">
      <x:c r="A79" s="42" t="str">
        <x:v>다음 검증</x:v>
      </x:c>
      <x:c r="B79" s="42" t="str">
        <x:v>Stage21~30</x:v>
      </x:c>
      <x:c r="C79" s="42" t="str">
        <x:v>Normal 후반 3~5일 성장벽과 연결</x:v>
      </x:c>
      <x:c r="F79" s="42" t="str">
        <x:v>신화 확장</x:v>
      </x:c>
      <x:c r="G79" s="42" t="str">
        <x:v>16~20</x:v>
      </x:c>
      <x:c r="H79" s="42" t="str">
        <x:v>전설2+신화2</x:v>
      </x:c>
      <x:c r="I79" s="42" t="str">
        <x:v>3영웅 파티는 후반 보스전 패배</x:v>
      </x:c>
      <x:c r="J79" s="42" t="str">
        <x:v>4영웅</x:v>
      </x:c>
    </x:row>
    <x:row r="80">
      <x:c r="F80" s="42" t="str">
        <x:v>운명의 주사위</x:v>
      </x:c>
      <x:c r="G80" s="42" t="str">
        <x:v>전설+신화=0</x:v>
      </x:c>
      <x:c r="H80" s="42" t="str">
        <x:v>임시 전설1</x:v>
      </x:c>
      <x:c r="I80" s="42" t="str">
        <x:v>70% 전투보정/★1/1회</x:v>
      </x:c>
      <x:c r="J80" s="42" t="str">
        <x:v>영구획득 아님</x:v>
      </x:c>
    </x:row>
    <x:row r="81">
      <x:c r="A81" s="337" t="str">
        <x:v>Normal21~30 자연육성 V2.1</x:v>
      </x:c>
      <x:c r="B81" s="337" t="str">
        <x:v>권장 확정 후보</x:v>
      </x:c>
      <x:c r="C81" s="337" t="str">
        <x:v>설명</x:v>
      </x:c>
      <x:c r="F81" s="42" t="str">
        <x:v>실패 리포트</x:v>
      </x:c>
      <x:c r="G81" s="42" t="str">
        <x:v>희귀영웅수/DPS/생존/필살기</x:v>
      </x:c>
      <x:c r="H81" s="42" t="str">
        <x:v>필수</x:v>
      </x:c>
      <x:c r="I81" s="42" t="str">
        <x:v>다음 행동 바로가기</x:v>
      </x:c>
      <x:c r="J81" s="42" t="str">
        <x:v>학습</x:v>
      </x:c>
    </x:row>
    <x:row r="82">
      <x:c r="A82" s="42" t="str">
        <x:v>무료 일일 성장재화</x:v>
      </x:c>
      <x:c r="B82" s="42" t="str">
        <x:v>2,000/일</x:v>
      </x:c>
      <x:c r="C82" s="42" t="str">
        <x:v>Stage20 이후 무료 루틴 합산</x:v>
      </x:c>
      <x:c r="F82" s="42" t="str">
        <x:v>RPG 보스HP</x:v>
      </x:c>
      <x:c r="G82" s="42" t="str">
        <x:v>TD와 분리</x:v>
      </x:c>
      <x:c r="H82" s="42" t="str">
        <x:v>전용 테이블</x:v>
      </x:c>
      <x:c r="I82" s="42" t="str">
        <x:v>파티 단계별 18~36초 목표</x:v>
      </x:c>
      <x:c r="J82" s="42" t="str">
        <x:v>유지</x:v>
      </x:c>
    </x:row>
    <x:row r="83">
      <x:c r="A83" s="42" t="str">
        <x:v>Stage20→21</x:v>
      </x:c>
      <x:c r="B83" s="42" t="str">
        <x:v>약 5일</x:v>
      </x:c>
      <x:c r="C83" s="42" t="str">
        <x:v>Lv40 진입 성장벽</x:v>
      </x:c>
      <x:c r="F83" s="42" t="str">
        <x:v>Normal20</x:v>
      </x:c>
      <x:c r="G83" s="42" t="str">
        <x:v>4영웅</x:v>
      </x:c>
      <x:c r="H83" s="42" t="str">
        <x:v>전설2+신화2</x:v>
      </x:c>
      <x:c r="I83" s="42" t="str">
        <x:v>Normal 졸업 기준</x:v>
      </x:c>
      <x:c r="J83" s="42" t="str">
        <x:v>Stage21부터 5영웅</x:v>
      </x:c>
    </x:row>
    <x:row r="84">
      <x:c r="A84" s="42" t="str">
        <x:v>한계돌파 II</x:v>
      </x:c>
      <x:c r="B84" s="42" t="str">
        <x:v>700 + 코어 II 1</x:v>
      </x:c>
      <x:c r="C84" s="42" t="str">
        <x:v>Lv40 후 Lv60 상한 해제</x:v>
      </x:c>
      <x:c r="F84" s="42" t="str">
        <x:v>다음</x:v>
      </x:c>
      <x:c r="G84" s="42" t="str">
        <x:v>Hard34 이후</x:v>
      </x:c>
      <x:c r="H84" s="42" t="str">
        <x:v>5영웅 + 성장벽</x:v>
      </x:c>
      <x:c r="I84" s="42" t="str">
        <x:v>TD/RPG 동시 검수</x:v>
      </x:c>
      <x:c r="J84" s="42" t="str">
        <x:v>후속</x:v>
      </x:c>
    </x:row>
    <x:row r="85">
      <x:c r="A85" s="42" t="str">
        <x:v>코어 II 지급</x:v>
      </x:c>
      <x:c r="B85" s="42" t="str">
        <x:v>Stage20 3 / Stage25 +1 / Stage30 +1</x:v>
      </x:c>
      <x:c r="C85" s="42" t="str">
        <x:v>주력 3→4→5명 확장</x:v>
      </x:c>
    </x:row>
    <x:row r="86">
      <x:c r="A86" s="42" t="str">
        <x:v>Stage25→26</x:v>
      </x:c>
      <x:c r="B86" s="42" t="str">
        <x:v>추가 약 5일</x:v>
      </x:c>
      <x:c r="C86" s="42" t="str">
        <x:v>이전 성장재화 누적 포함</x:v>
      </x:c>
      <x:c r="F86" s="694" t="str">
        <x:v>Hard45~50 최종구간 V3.6</x:v>
      </x:c>
      <x:c r="G86" s="694" t="str">
        <x:v>구간</x:v>
      </x:c>
      <x:c r="H86" s="694" t="str">
        <x:v>파티기준</x:v>
      </x:c>
      <x:c r="I86" s="694" t="str">
        <x:v>체감</x:v>
      </x:c>
      <x:c r="J86" s="694" t="str">
        <x:v>설계</x:v>
      </x:c>
    </x:row>
    <x:row r="87">
      <x:c r="A87" s="42" t="str">
        <x:v>Stage29→30</x:v>
      </x:c>
      <x:c r="B87" s="42" t="str">
        <x:v>추가 약 5일</x:v>
      </x:c>
      <x:c r="C87" s="42" t="str">
        <x:v>Normal 최종 안정 목표 Lv58</x:v>
      </x:c>
      <x:c r="F87" s="42" t="str">
        <x:v>전환</x:v>
      </x:c>
      <x:c r="G87" s="42" t="str">
        <x:v>43~44</x:v>
      </x:c>
      <x:c r="H87" s="42" t="str">
        <x:v>5신화 권장</x:v>
      </x:c>
      <x:c r="I87" s="42" t="str">
        <x:v>준비</x:v>
      </x:c>
      <x:c r="J87" s="42" t="str">
        <x:v>45부터 사실상 5신화 기준</x:v>
      </x:c>
    </x:row>
    <x:row r="88">
      <x:c r="A88" s="42" t="str">
        <x:v>무과금</x:v>
      </x:c>
      <x:c r="B88" s="42" t="str">
        <x:v>완주 가능</x:v>
      </x:c>
      <x:c r="C88" s="42" t="str">
        <x:v>주요 벽만 3~5일, 사이 스테이지는 연속 진행</x:v>
      </x:c>
      <x:c r="F88" s="42" t="str">
        <x:v>최종진입</x:v>
      </x:c>
      <x:c r="G88" s="42" t="str">
        <x:v>45</x:v>
      </x:c>
      <x:c r="H88" s="42" t="str">
        <x:v>5신화 ★5 / Lv85권</x:v>
      </x:c>
      <x:c r="I88" s="42" t="str">
        <x:v>타이트</x:v>
      </x:c>
      <x:c r="J88" s="42" t="str">
        <x:v>4신화+전설은 TD/RPG 한쪽에서 막힘</x:v>
      </x:c>
    </x:row>
    <x:row r="89">
      <x:c r="A89" s="42" t="str">
        <x:v>결제</x:v>
      </x:c>
      <x:c r="B89" s="42" t="str">
        <x:v>시간 단축</x:v>
      </x:c>
      <x:c r="C89" s="42" t="str">
        <x:v>필수 전용 능력/영웅 요구 금지</x:v>
      </x:c>
      <x:c r="F89" s="42" t="str">
        <x:v>46</x:v>
      </x:c>
      <x:c r="G89" s="42" t="str">
        <x:v>46</x:v>
      </x:c>
      <x:c r="H89" s="42" t="str">
        <x:v>5신화</x:v>
      </x:c>
      <x:c r="I89" s="42" t="str">
        <x:v>타이트</x:v>
      </x:c>
      <x:c r="J89" s="42" t="str">
        <x:v>5신화 육성도 요구 시작</x:v>
      </x:c>
    </x:row>
    <x:row r="90">
      <x:c r="F90" s="42" t="str">
        <x:v>47</x:v>
      </x:c>
      <x:c r="G90" s="42" t="str">
        <x:v>47</x:v>
      </x:c>
      <x:c r="H90" s="42" t="str">
        <x:v>5신화</x:v>
      </x:c>
      <x:c r="I90" s="42" t="str">
        <x:v>매우 타이트</x:v>
      </x:c>
      <x:c r="J90" s="42" t="str">
        <x:v>역할조합 중요</x:v>
      </x:c>
    </x:row>
    <x:row r="91">
      <x:c r="A91" s="249" t="str">
        <x:v>Hard31~36 자연육성 V3.3</x:v>
      </x:c>
      <x:c r="B91" s="249" t="str">
        <x:v>권장 확정 후보</x:v>
      </x:c>
      <x:c r="C91" s="249" t="str">
        <x:v>설명</x:v>
      </x:c>
      <x:c r="F91" s="42" t="str">
        <x:v>48</x:v>
      </x:c>
      <x:c r="G91" s="42" t="str">
        <x:v>48</x:v>
      </x:c>
      <x:c r="H91" s="42" t="str">
        <x:v>5신화</x:v>
      </x:c>
      <x:c r="I91" s="42" t="str">
        <x:v>극타이트</x:v>
      </x:c>
      <x:c r="J91" s="42" t="str">
        <x:v>4+1은 RPG 기준 실패</x:v>
      </x:c>
    </x:row>
    <x:row r="92">
      <x:c r="A92" s="42" t="str">
        <x:v>Hard 무료 일일 성장재화</x:v>
      </x:c>
      <x:c r="B92" s="42" t="str">
        <x:v>3,000/일</x:v>
      </x:c>
      <x:c r="C92" s="42" t="str">
        <x:v>상위 무료 루틴 합산</x:v>
      </x:c>
      <x:c r="F92" s="42" t="str">
        <x:v>49</x:v>
      </x:c>
      <x:c r="G92" s="42" t="str">
        <x:v>49</x:v>
      </x:c>
      <x:c r="H92" s="42" t="str">
        <x:v>5신화</x:v>
      </x:c>
      <x:c r="I92" s="42" t="str">
        <x:v>극타이트</x:v>
      </x:c>
      <x:c r="J92" s="42" t="str">
        <x:v>50 직전 완성도 체크</x:v>
      </x:c>
    </x:row>
    <x:row r="93">
      <x:c r="A93" s="42" t="str">
        <x:v>Stage31</x:v>
      </x:c>
      <x:c r="B93" s="42" t="str">
        <x:v>Lv58~62</x:v>
      </x:c>
      <x:c r="C93" s="42" t="str">
        <x:v>Normal30 24초 전후 클리어 유저는 타이트 클리어권</x:v>
      </x:c>
      <x:c r="F93" s="42" t="str">
        <x:v>최종</x:v>
      </x:c>
      <x:c r="G93" s="42" t="str">
        <x:v>50</x:v>
      </x:c>
      <x:c r="H93" s="42" t="str">
        <x:v>Lv100권 5신화 ★5</x:v>
      </x:c>
      <x:c r="I93" s="42" t="str">
        <x:v>최종벽</x:v>
      </x:c>
      <x:c r="J93" s="42" t="str">
        <x:v>TD 약30초 / RPG 58초 vs 생존60초</x:v>
      </x:c>
    </x:row>
    <x:row r="94">
      <x:c r="A94" s="42" t="str">
        <x:v>Stage32</x:v>
      </x:c>
      <x:c r="B94" s="42" t="str">
        <x:v>Lv60~63</x:v>
      </x:c>
      <x:c r="C94" s="42" t="str">
        <x:v>소폭 성장으로 타이트 진행</x:v>
      </x:c>
      <x:c r="F94" s="42" t="str">
        <x:v>4+1</x:v>
      </x:c>
      <x:c r="G94" s="42" t="str">
        <x:v>45~49</x:v>
      </x:c>
      <x:c r="H94" s="42" t="str">
        <x:v>고숙련 외 비권장</x:v>
      </x:c>
      <x:c r="I94" s="42" t="str">
        <x:v>매우 어려움</x:v>
      </x:c>
      <x:c r="J94" s="42" t="str">
        <x:v>하드락 아님</x:v>
      </x:c>
    </x:row>
    <x:row r="95">
      <x:c r="A95" s="42" t="str">
        <x:v>Stage33</x:v>
      </x:c>
      <x:c r="B95" s="42" t="str">
        <x:v>Lv62~65</x:v>
      </x:c>
      <x:c r="C95" s="42" t="str">
        <x:v>첫 Hard 체크포인트 / 30초 전후 목표</x:v>
      </x:c>
      <x:c r="F95" s="42" t="str">
        <x:v>5신화</x:v>
      </x:c>
      <x:c r="G95" s="42" t="str">
        <x:v>50</x:v>
      </x:c>
      <x:c r="H95" s="42" t="str">
        <x:v>필수에 가까움</x:v>
      </x:c>
      <x:c r="I95" s="42" t="str">
        <x:v>그래도 실패 가능</x:v>
      </x:c>
      <x:c r="J95" s="42" t="str">
        <x:v>육성/배치/필살기 운용까지 요구</x:v>
      </x:c>
    </x:row>
    <x:row r="96">
      <x:c r="A96" s="42" t="str">
        <x:v>Stage33→34</x:v>
      </x:c>
      <x:c r="B96" s="42" t="str">
        <x:v>약 7일</x:v>
      </x:c>
      <x:c r="C96" s="42" t="str">
        <x:v>Hard 첫 본격 장기 성장벽</x:v>
      </x:c>
      <x:c r="F96" s="42" t="str">
        <x:v>결제</x:v>
      </x:c>
      <x:c r="G96" s="42" t="str">
        <x:v>전구간</x:v>
      </x:c>
      <x:c r="H96" s="42" t="str">
        <x:v>필수 아님</x:v>
      </x:c>
      <x:c r="I96" s="42" t="str">
        <x:v>시간단축</x:v>
      </x:c>
      <x:c r="J96" s="42" t="str">
        <x:v>F2P도 장기육성으로 도달</x:v>
      </x:c>
    </x:row>
    <x:row r="97">
      <x:c r="A97" s="42" t="str">
        <x:v>Stage35→36</x:v>
      </x:c>
      <x:c r="B97" s="42" t="str">
        <x:v>2~4일</x:v>
      </x:c>
      <x:c r="C97" s="42" t="str">
        <x:v>Lv68 전후 지역보스 체크</x:v>
      </x:c>
      <x:c r="F97" s="42" t="str">
        <x:v>다음</x:v>
      </x:c>
      <x:c r="G97" s="42" t="str">
        <x:v>Hard34~44</x:v>
      </x:c>
      <x:c r="H97" s="42" t="str">
        <x:v>연결 검수</x:v>
      </x:c>
      <x:c r="I97" s="42" t="str">
        <x:v>후속</x:v>
      </x:c>
      <x:c r="J97" s="42" t="str">
        <x:v>중간구간 세부 TD+RPG 통합 조정</x:v>
      </x:c>
    </x:row>
    <x:row r="98">
      <x:c r="A98" s="42" t="str">
        <x:v>무과금</x:v>
      </x:c>
      <x:c r="B98" s="42" t="str">
        <x:v>가능</x:v>
      </x:c>
      <x:c r="C98" s="42" t="str">
        <x:v>Normal 강한 클리어 유저는 33까지 연속 진행</x:v>
      </x:c>
    </x:row>
    <x:row r="99">
      <x:c r="A99" s="42" t="str">
        <x:v>결제</x:v>
      </x:c>
      <x:c r="B99" s="42" t="str">
        <x:v>시간 단축</x:v>
      </x:c>
      <x:c r="C99" s="42" t="str">
        <x:v>Stage34 이후 장기벽 단축</x:v>
      </x:c>
    </x:row>
    <x:row r="101">
      <x:c r="A101" s="400" t="str">
        <x:v>Hard37~45 자연육성 V2.4</x:v>
      </x:c>
      <x:c r="B101" s="400" t="str">
        <x:v>권장 확정 후보</x:v>
      </x:c>
      <x:c r="C101" s="400" t="str">
        <x:v>설명</x:v>
      </x:c>
    </x:row>
    <x:row r="102">
      <x:c r="A102" s="42" t="str">
        <x:v>무료 일일 성장재화</x:v>
      </x:c>
      <x:c r="B102" s="42" t="str">
        <x:v>4,500/일</x:v>
      </x:c>
      <x:c r="C102" s="42" t="str">
        <x:v>Hard 중후반 무료 루틴 합산</x:v>
      </x:c>
    </x:row>
    <x:row r="103">
      <x:c r="A103" s="42" t="str">
        <x:v>한계돌파 IV</x:v>
      </x:c>
      <x:c r="B103" s="42" t="str">
        <x:v>3,000 + 코어 IV 1</x:v>
      </x:c>
      <x:c r="C103" s="42" t="str">
        <x:v>Lv80 후 Lv100 상한 해제</x:v>
      </x:c>
    </x:row>
    <x:row r="104">
      <x:c r="A104" s="42" t="str">
        <x:v>코어 IV</x:v>
      </x:c>
      <x:c r="B104" s="42" t="str">
        <x:v>Stage36 3 / Stage39 +1 / Stage42 +1</x:v>
      </x:c>
      <x:c r="C104" s="42" t="str">
        <x:v>주력 3→4→5명 확장</x:v>
      </x:c>
    </x:row>
    <x:row r="105">
      <x:c r="A105" s="42" t="str">
        <x:v>Stage36→37</x:v>
      </x:c>
      <x:c r="B105" s="42" t="str">
        <x:v>약 9일</x:v>
      </x:c>
      <x:c r="C105" s="42" t="str">
        <x:v>5인 Lv70 안정권</x:v>
      </x:c>
    </x:row>
    <x:row r="106">
      <x:c r="A106" s="42" t="str">
        <x:v>Stage39→40</x:v>
      </x:c>
      <x:c r="B106" s="42" t="str">
        <x:v>약 9일</x:v>
      </x:c>
      <x:c r="C106" s="42" t="str">
        <x:v>5인 Lv78 해륜 진입권</x:v>
      </x:c>
    </x:row>
    <x:row r="107">
      <x:c r="A107" s="42" t="str">
        <x:v>Stage42→43</x:v>
      </x:c>
      <x:c r="B107" s="42" t="str">
        <x:v>약 14일</x:v>
      </x:c>
      <x:c r="C107" s="42" t="str">
        <x:v>5인 Lv85 암운 교황령 진입권</x:v>
      </x:c>
    </x:row>
    <x:row r="108">
      <x:c r="A108" s="42" t="str">
        <x:v>Stage44→45</x:v>
      </x:c>
      <x:c r="B108" s="42" t="str">
        <x:v>3~5일</x:v>
      </x:c>
      <x:c r="C108" s="42" t="str">
        <x:v>5인 Lv87 Hard45 보스 체크</x:v>
      </x:c>
    </x:row>
    <x:row r="109">
      <x:c r="A109" s="42" t="str">
        <x:v>무과금</x:v>
      </x:c>
      <x:c r="B109" s="42" t="str">
        <x:v>가능</x:v>
      </x:c>
      <x:c r="C109" s="42" t="str">
        <x:v>주요 벽은 시간 누적으로 해소</x:v>
      </x:c>
    </x:row>
    <x:row r="110">
      <x:c r="A110" s="42" t="str">
        <x:v>결제</x:v>
      </x:c>
      <x:c r="B110" s="42" t="str">
        <x:v>1~3일 수준으로 단축</x:v>
      </x:c>
      <x:c r="C110" s="42" t="str">
        <x:v>후반일수록 시간단축 가치 상승</x:v>
      </x:c>
    </x:row>
    <x:row r="111">
      <x:c r="A111" s="42" t="str">
        <x:v>세계관 보스</x:v>
      </x:c>
      <x:c r="B111" s="42" t="str">
        <x:v>39 엘로디 / 42 이연화 / 45 프라이데이</x:v>
      </x:c>
      <x:c r="C111" s="42" t="str">
        <x:v>기존 동일 세계관 연결 메모 유지</x:v>
      </x:c>
    </x:row>
    <x:row r="112">
      <x:c r="A112" s="42" t="str">
        <x:v>다음 검증</x:v>
      </x:c>
      <x:c r="B112" s="42" t="str">
        <x:v>Hard46~50</x:v>
      </x:c>
      <x:c r="C112" s="42" t="str">
        <x:v>10~14일+ 최종 장기벽</x:v>
      </x:c>
    </x:row>
    <x:row r="114">
      <x:c r="A114" s="430" t="str">
        <x:v>Hard46~50 자연육성 V2.5</x:v>
      </x:c>
      <x:c r="B114" s="430" t="str">
        <x:v>권장 확정 후보</x:v>
      </x:c>
      <x:c r="C114" s="430" t="str">
        <x:v>설명</x:v>
      </x:c>
    </x:row>
    <x:row r="115">
      <x:c r="A115" s="42" t="str">
        <x:v>최종 무료 일일 성장재화</x:v>
      </x:c>
      <x:c r="B115" s="42" t="str">
        <x:v>5,500/일</x:v>
      </x:c>
      <x:c r="C115" s="42" t="str">
        <x:v>무료/주간 루틴 평균화</x:v>
      </x:c>
    </x:row>
    <x:row r="116">
      <x:c r="A116" s="42" t="str">
        <x:v>Stage45→46</x:v>
      </x:c>
      <x:c r="B116" s="42" t="str">
        <x:v>약 13일</x:v>
      </x:c>
      <x:c r="C116" s="42" t="str">
        <x:v>5인 Lv94 Final 진입권</x:v>
      </x:c>
    </x:row>
    <x:row r="117">
      <x:c r="A117" s="42" t="str">
        <x:v>Stage47→48</x:v>
      </x:c>
      <x:c r="B117" s="42" t="str">
        <x:v>약 3일</x:v>
      </x:c>
      <x:c r="C117" s="42" t="str">
        <x:v>5인 Lv96 중간 체크</x:v>
      </x:c>
    </x:row>
    <x:row r="118">
      <x:c r="A118" s="42" t="str">
        <x:v>Stage49→50</x:v>
      </x:c>
      <x:c r="B118" s="42" t="str">
        <x:v>약 10일</x:v>
      </x:c>
      <x:c r="C118" s="42" t="str">
        <x:v>5인 Lv100 최종보스 안정권</x:v>
      </x:c>
    </x:row>
    <x:row r="119">
      <x:c r="A119" s="42" t="str">
        <x:v>Stage46~50 클리어재화</x:v>
      </x:c>
      <x:c r="B119" s="42" t="str">
        <x:v>36,000</x:v>
      </x:c>
      <x:c r="C119" s="42" t="str">
        <x:v>최종구간 진행 보조</x:v>
      </x:c>
    </x:row>
    <x:row r="120">
      <x:c r="A120" s="42" t="str">
        <x:v>Lv100</x:v>
      </x:c>
      <x:c r="B120" s="42" t="str">
        <x:v>로비 최종 상한</x:v>
      </x:c>
      <x:c r="C120" s="42" t="str">
        <x:v>추가 레벨 없음</x:v>
      </x:c>
    </x:row>
    <x:row r="121">
      <x:c r="A121" s="42" t="str">
        <x:v>무과금</x:v>
      </x:c>
      <x:c r="B121" s="42" t="str">
        <x:v>완주 가능</x:v>
      </x:c>
      <x:c r="C121" s="42" t="str">
        <x:v>시간 누적으로 모든 성장벽 해소</x:v>
      </x:c>
    </x:row>
    <x:row r="122">
      <x:c r="A122" s="42" t="str">
        <x:v>결제</x:v>
      </x:c>
      <x:c r="B122" s="42" t="str">
        <x:v>1~3일 수준으로 시간 단축</x:v>
      </x:c>
      <x:c r="C122" s="42" t="str">
        <x:v>최종구간에서 가치 최대</x:v>
      </x:c>
    </x:row>
    <x:row r="123">
      <x:c r="A123" s="42" t="str">
        <x:v>최종보스</x:v>
      </x:c>
      <x:c r="B123" s="42" t="str">
        <x:v>침식의 근원, 사룡 발테리옹</x:v>
      </x:c>
      <x:c r="C123" s="42" t="str">
        <x:v>Let’s Cut 동일 세계관 직접 연결 유지</x:v>
      </x:c>
    </x:row>
    <x:row r="124">
      <x:c r="A124" s="42" t="str">
        <x:v>전체 성장곡선</x:v>
      </x:c>
      <x:c r="B124" s="42" t="str">
        <x:v>Normal→Hard→Final 완성</x:v>
      </x:c>
      <x:c r="C124" s="42" t="str">
        <x:v>V1.9~V2.5 연속 시뮬레이션 기준</x:v>
      </x:c>
    </x:row>
  </x:sheetData>
  <x:mergeCells>
    <x:mergeCell ref="F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.5"/>
  <x:cols>
    <x:col min="1" max="1" width="9" customWidth="1"/>
    <x:col min="2" max="2" width="10" customWidth="1"/>
    <x:col min="3" max="3" width="20" customWidth="1"/>
    <x:col min="4" max="4" width="10" customWidth="1"/>
    <x:col min="5" max="6" width="9" customWidth="1"/>
    <x:col min="7" max="7" width="14" customWidth="1"/>
    <x:col min="8" max="9" width="11" customWidth="1"/>
    <x:col min="10" max="10" width="14" customWidth="1"/>
    <x:col min="11" max="11" width="40" customWidth="1"/>
    <x:col min="12" max="13" width="10" customWidth="1"/>
    <x:col min="14" max="14" width="14" customWidth="1"/>
    <x:col min="15" max="15" width="22" customWidth="1"/>
    <x:col min="16" max="16" width="20" hidden="0" customWidth="1"/>
    <x:col min="17" max="17" width="18" hidden="0" customWidth="1"/>
    <x:col min="18" max="18" width="18" hidden="0" customWidth="1"/>
    <x:col min="19" max="19" width="34" hidden="0" customWidth="1"/>
    <x:col min="20" max="20" width="17" hidden="0" customWidth="1"/>
    <x:col min="21" max="21" width="17" hidden="0" customWidth="1"/>
    <x:col min="22" max="22" width="17" hidden="0" customWidth="1"/>
    <x:col min="23" max="23" width="18" hidden="0" customWidth="1"/>
    <x:col min="24" max="24" width="18" hidden="0" customWidth="1"/>
    <x:col min="25" max="25" width="32" hidden="0" customWidth="1"/>
  </x:cols>
  <x:sheetData>
    <x:row r="1">
      <x:c r="A1" s="3" t="s">
        <x:v>490</x:v>
      </x:c>
      <x:c r="B1" s="3" t="s">
        <x:v>491</x:v>
      </x:c>
      <x:c r="C1" s="3" t="s">
        <x:v>198</x:v>
      </x:c>
      <x:c r="D1" s="3" t="s">
        <x:v>1032</x:v>
      </x:c>
      <x:c r="E1" s="3" t="s">
        <x:v>1033</x:v>
      </x:c>
      <x:c r="F1" s="3" t="s">
        <x:v>1034</x:v>
      </x:c>
      <x:c r="G1" s="3" t="s">
        <x:v>21</x:v>
      </x:c>
      <x:c r="H1" s="3" t="s">
        <x:v>1035</x:v>
      </x:c>
      <x:c r="I1" s="3" t="s">
        <x:v>1036</x:v>
      </x:c>
      <x:c r="J1" s="3" t="s">
        <x:v>1037</x:v>
      </x:c>
      <x:c r="K1" s="3" t="s">
        <x:v>1038</x:v>
      </x:c>
      <x:c r="L1" s="3" t="s">
        <x:v>1039</x:v>
      </x:c>
      <x:c r="M1" s="3" t="s">
        <x:v>1040</x:v>
      </x:c>
      <x:c r="N1" s="3" t="s">
        <x:v>500</x:v>
      </x:c>
      <x:c r="O1" s="3" t="s">
        <x:v>1041</x:v>
      </x:c>
      <x:c r="P1" s="74" t="str">
        <x:v>권장 평균 로비 레벨</x:v>
      </x:c>
      <x:c r="Q1" s="74" t="str">
        <x:v>권장 한계돌파</x:v>
      </x:c>
      <x:c r="R1" s="74" t="str">
        <x:v>RPG 권장 영웅 수</x:v>
      </x:c>
      <x:c r="S1" s="74" t="str">
        <x:v>진행 체감</x:v>
      </x:c>
      <x:c r="T1" s="131" t="str">
        <x:v>권장 평균 처치G</x:v>
      </x:c>
      <x:c r="U1" s="131" t="str">
        <x:v>예상 처치 골드</x:v>
      </x:c>
      <x:c r="V1" s="131" t="str">
        <x:v>웨이브 클리어G</x:v>
      </x:c>
      <x:c r="W1" s="131" t="str">
        <x:v>표준 조기보너스</x:v>
      </x:c>
      <x:c r="X1" s="131" t="str">
        <x:v>숙련 조기보너스</x:v>
      </x:c>
      <x:c r="Y1" s="131" t="str">
        <x:v>인게임 골드 메모</x:v>
      </x:c>
      <x:c r="Z1" s="694" t="str">
        <x:v>최종구간 TD실전EHP</x:v>
      </x:c>
      <x:c r="AA1" s="694" t="str">
        <x:v>최종구간 최소파티</x:v>
      </x:c>
      <x:c r="AB1" s="694" t="str">
        <x:v>최종구간 판정</x:v>
      </x:c>
      <x:c r="AC1" s="694" t="str">
        <x:v>최종구간 메모</x:v>
      </x:c>
    </x:row>
    <x:row r="2">
      <x:c r="A2" s="1">
        <x:v>1</x:v>
      </x:c>
      <x:c r="B2" s="1" t="s">
        <x:v>501</x:v>
      </x:c>
      <x:c r="C2" s="1" t="s">
        <x:v>212</x:v>
      </x:c>
      <x:c r="D2" s="1">
        <x:v>1</x:v>
      </x:c>
      <x:c r="E2" s="1">
        <x:v>1</x:v>
      </x:c>
      <x:c r="F2" s="1">
        <x:v>1</x:v>
      </x:c>
      <x:c r="G2" s="1" t="s">
        <x:v>1042</x:v>
      </x:c>
      <x:c r="H2" s="1">
        <x:v>11</x:v>
      </x:c>
      <x:c r="I2" s="1">
        <x:v>10</x:v>
      </x:c>
      <x:c r="J2" s="1">
        <x:v>1.17</x:v>
      </x:c>
      <x:c r="K2" s="1" t="s">
        <x:v>1043</x:v>
      </x:c>
      <x:c r="L2" s="1">
        <x:v>1</x:v>
      </x:c>
      <x:c r="M2" s="1">
        <x:v>1</x:v>
      </x:c>
      <x:c r="N2" s="1">
        <x:v>100</x:v>
      </x:c>
      <x:c r="O2" s="1" t="s">
        <x:v>1044</x:v>
      </x:c>
      <x:c r="P2" s="42" t="str">
        <x:v>Lv1~10</x:v>
      </x:c>
      <x:c r="Q2" s="42" t="str">
        <x:v>0</x:v>
      </x:c>
      <x:c r="R2" s="42" t="str">
        <x:v>2~3</x:v>
      </x:c>
      <x:c r="S2" s="42" t="str">
        <x:v>기본 지급으로 무난</x:v>
      </x:c>
      <x:c r="T2" s="42" t="n">
        <x:v>12</x:v>
      </x:c>
      <x:c r="U2" s="42" t="n">
        <x:v>132</x:v>
      </x:c>
      <x:c r="V2" s="42" t="n">
        <x:v>100</x:v>
      </x:c>
      <x:c r="W2" s="42" t="n">
        <x:v>10</x:v>
      </x:c>
      <x:c r="X2" s="42" t="n">
        <x:v>30</x:v>
      </x:c>
      <x:c r="Y2" s="42" t="str"/>
    </x:row>
    <x:row r="3">
      <x:c r="A3" s="1">
        <x:v>1</x:v>
      </x:c>
      <x:c r="B3" s="1" t="s">
        <x:v>501</x:v>
      </x:c>
      <x:c r="C3" s="1" t="s">
        <x:v>212</x:v>
      </x:c>
      <x:c r="D3" s="1">
        <x:v>1</x:v>
      </x:c>
      <x:c r="E3" s="1">
        <x:v>1</x:v>
      </x:c>
      <x:c r="F3" s="1">
        <x:v>2</x:v>
      </x:c>
      <x:c r="G3" s="1" t="s">
        <x:v>1042</x:v>
      </x:c>
      <x:c r="H3" s="1">
        <x:v>13</x:v>
      </x:c>
      <x:c r="I3" s="1">
        <x:v>10</x:v>
      </x:c>
      <x:c r="J3" s="1">
        <x:v>1.1399999999999999</x:v>
      </x:c>
      <x:c r="K3" s="1" t="s">
        <x:v>1045</x:v>
      </x:c>
      <x:c r="L3" s="1">
        <x:v>1.03</x:v>
      </x:c>
      <x:c r="M3" s="1">
        <x:v>1.02</x:v>
      </x:c>
      <x:c r="N3" s="1">
        <x:v>100</x:v>
      </x:c>
      <x:c r="O3" s="1" t="s">
        <x:v>1044</x:v>
      </x:c>
      <x:c r="P3" s="42" t="str">
        <x:v>Lv1~10</x:v>
      </x:c>
      <x:c r="Q3" s="42" t="str">
        <x:v>0</x:v>
      </x:c>
      <x:c r="R3" s="42" t="str">
        <x:v>2~3</x:v>
      </x:c>
      <x:c r="S3" s="42" t="str">
        <x:v>기본 지급으로 무난</x:v>
      </x:c>
      <x:c r="T3" s="42" t="n">
        <x:v>12</x:v>
      </x:c>
      <x:c r="U3" s="42" t="n">
        <x:v>156</x:v>
      </x:c>
      <x:c r="V3" s="42" t="n">
        <x:v>120</x:v>
      </x:c>
      <x:c r="W3" s="42" t="n">
        <x:v>12</x:v>
      </x:c>
      <x:c r="X3" s="42" t="n">
        <x:v>36</x:v>
      </x:c>
      <x:c r="Y3" s="42" t="str"/>
    </x:row>
    <x:row r="4">
      <x:c r="A4" s="1">
        <x:v>1</x:v>
      </x:c>
      <x:c r="B4" s="1" t="s">
        <x:v>501</x:v>
      </x:c>
      <x:c r="C4" s="1" t="s">
        <x:v>212</x:v>
      </x:c>
      <x:c r="D4" s="1">
        <x:v>1</x:v>
      </x:c>
      <x:c r="E4" s="1">
        <x:v>1</x:v>
      </x:c>
      <x:c r="F4" s="1">
        <x:v>3</x:v>
      </x:c>
      <x:c r="G4" s="1" t="s">
        <x:v>1042</x:v>
      </x:c>
      <x:c r="H4" s="1">
        <x:v>15</x:v>
      </x:c>
      <x:c r="I4" s="1">
        <x:v>10</x:v>
      </x:c>
      <x:c r="J4" s="1">
        <x:v>1.1000000000000001</x:v>
      </x:c>
      <x:c r="K4" s="1" t="s">
        <x:v>1045</x:v>
      </x:c>
      <x:c r="L4" s="1">
        <x:v>1.07</x:v>
      </x:c>
      <x:c r="M4" s="1">
        <x:v>1.05</x:v>
      </x:c>
      <x:c r="N4" s="1">
        <x:v>100</x:v>
      </x:c>
      <x:c r="O4" s="1" t="s">
        <x:v>1044</x:v>
      </x:c>
      <x:c r="P4" s="42" t="str">
        <x:v>Lv1~10</x:v>
      </x:c>
      <x:c r="Q4" s="42" t="str">
        <x:v>0</x:v>
      </x:c>
      <x:c r="R4" s="42" t="str">
        <x:v>2~3</x:v>
      </x:c>
      <x:c r="S4" s="42" t="str">
        <x:v>기본 지급으로 무난</x:v>
      </x:c>
      <x:c r="T4" s="42" t="n">
        <x:v>12</x:v>
      </x:c>
      <x:c r="U4" s="42" t="n">
        <x:v>180</x:v>
      </x:c>
      <x:c r="V4" s="42" t="n">
        <x:v>150</x:v>
      </x:c>
      <x:c r="W4" s="42" t="n">
        <x:v>15</x:v>
      </x:c>
      <x:c r="X4" s="42" t="n">
        <x:v>45</x:v>
      </x:c>
      <x:c r="Y4" s="42" t="str"/>
    </x:row>
    <x:row r="5">
      <x:c r="A5" s="1">
        <x:v>1</x:v>
      </x:c>
      <x:c r="B5" s="1" t="s">
        <x:v>501</x:v>
      </x:c>
      <x:c r="C5" s="1" t="s">
        <x:v>212</x:v>
      </x:c>
      <x:c r="D5" s="1">
        <x:v>1</x:v>
      </x:c>
      <x:c r="E5" s="1">
        <x:v>1</x:v>
      </x:c>
      <x:c r="F5" s="1">
        <x:v>4</x:v>
      </x:c>
      <x:c r="G5" s="1" t="s">
        <x:v>1042</x:v>
      </x:c>
      <x:c r="H5" s="1">
        <x:v>17</x:v>
      </x:c>
      <x:c r="I5" s="1">
        <x:v>10</x:v>
      </x:c>
      <x:c r="J5" s="1">
        <x:v>1.07</x:v>
      </x:c>
      <x:c r="K5" s="1" t="s">
        <x:v>1046</x:v>
      </x:c>
      <x:c r="L5" s="1">
        <x:v>1.1000000000000001</x:v>
      </x:c>
      <x:c r="M5" s="1">
        <x:v>1.07</x:v>
      </x:c>
      <x:c r="N5" s="1">
        <x:v>100</x:v>
      </x:c>
      <x:c r="O5" s="1" t="s">
        <x:v>1047</x:v>
      </x:c>
      <x:c r="P5" s="42" t="str">
        <x:v>Lv1~10</x:v>
      </x:c>
      <x:c r="Q5" s="42" t="str">
        <x:v>0</x:v>
      </x:c>
      <x:c r="R5" s="42" t="str">
        <x:v>2~3</x:v>
      </x:c>
      <x:c r="S5" s="42" t="str">
        <x:v>기본 지급으로 무난</x:v>
      </x:c>
      <x:c r="T5" s="42" t="n">
        <x:v>12</x:v>
      </x:c>
      <x:c r="U5" s="42" t="n">
        <x:v>204</x:v>
      </x:c>
      <x:c r="V5" s="42" t="n">
        <x:v>180</x:v>
      </x:c>
      <x:c r="W5" s="42" t="n">
        <x:v>18</x:v>
      </x:c>
      <x:c r="X5" s="42" t="n">
        <x:v>54</x:v>
      </x:c>
      <x:c r="Y5" s="42" t="str"/>
    </x:row>
    <x:row r="6">
      <x:c r="A6" s="1">
        <x:v>1</x:v>
      </x:c>
      <x:c r="B6" s="1" t="s">
        <x:v>501</x:v>
      </x:c>
      <x:c r="C6" s="1" t="s">
        <x:v>212</x:v>
      </x:c>
      <x:c r="D6" s="1">
        <x:v>1</x:v>
      </x:c>
      <x:c r="E6" s="1">
        <x:v>1</x:v>
      </x:c>
      <x:c r="F6" s="1">
        <x:v>5</x:v>
      </x:c>
      <x:c r="G6" s="1" t="s">
        <x:v>1048</x:v>
      </x:c>
      <x:c r="H6" s="1">
        <x:v>11</x:v>
      </x:c>
      <x:c r="I6" s="1">
        <x:v>11</x:v>
      </x:c>
      <x:c r="J6" s="1">
        <x:v>1.03</x:v>
      </x:c>
      <x:c r="K6" s="1" t="s">
        <x:v>1049</x:v>
      </x:c>
      <x:c r="L6" s="1">
        <x:v>1.1399999999999999</x:v>
      </x:c>
      <x:c r="M6" s="1">
        <x:v>1.1000000000000001</x:v>
      </x:c>
      <x:c r="N6" s="1">
        <x:v>100</x:v>
      </x:c>
      <x:c r="O6" s="1" t="s">
        <x:v>1050</x:v>
      </x:c>
      <x:c r="P6" s="42" t="str">
        <x:v>Lv1~10</x:v>
      </x:c>
      <x:c r="Q6" s="42" t="str">
        <x:v>0</x:v>
      </x:c>
      <x:c r="R6" s="42" t="str">
        <x:v>2~3</x:v>
      </x:c>
      <x:c r="S6" s="42" t="str">
        <x:v>기본 지급으로 무난</x:v>
      </x:c>
      <x:c r="T6" s="42" t="n">
        <x:v>12</x:v>
      </x:c>
      <x:c r="U6" s="42" t="n">
        <x:v>300</x:v>
      </x:c>
      <x:c r="V6" s="42" t="n">
        <x:v>300</x:v>
      </x:c>
      <x:c r="W6" s="42" t="n">
        <x:v>30</x:v>
      </x:c>
      <x:c r="X6" s="42" t="n">
        <x:v>90</x:v>
      </x:c>
      <x:c r="Y6" s="42" t="str">
        <x:v>중간보스 현상금 포함</x:v>
      </x:c>
    </x:row>
    <x:row r="7">
      <x:c r="A7" s="1">
        <x:v>1</x:v>
      </x:c>
      <x:c r="B7" s="1" t="s">
        <x:v>501</x:v>
      </x:c>
      <x:c r="C7" s="1" t="s">
        <x:v>212</x:v>
      </x:c>
      <x:c r="D7" s="1">
        <x:v>1</x:v>
      </x:c>
      <x:c r="E7" s="1">
        <x:v>1</x:v>
      </x:c>
      <x:c r="F7" s="1">
        <x:v>6</x:v>
      </x:c>
      <x:c r="G7" s="1" t="s">
        <x:v>1042</x:v>
      </x:c>
      <x:c r="H7" s="1">
        <x:v>21</x:v>
      </x:c>
      <x:c r="I7" s="1">
        <x:v>12</x:v>
      </x:c>
      <x:c r="J7" s="1">
        <x:v>1</x:v>
      </x:c>
      <x:c r="K7" s="1" t="s">
        <x:v>1051</x:v>
      </x:c>
      <x:c r="L7" s="1">
        <x:v>1.18</x:v>
      </x:c>
      <x:c r="M7" s="1">
        <x:v>1.1200000000000001</x:v>
      </x:c>
      <x:c r="N7" s="1">
        <x:v>100</x:v>
      </x:c>
      <x:c r="O7" s="1" t="s">
        <x:v>1052</x:v>
      </x:c>
      <x:c r="P7" s="42" t="str">
        <x:v>Lv1~10</x:v>
      </x:c>
      <x:c r="Q7" s="42" t="str">
        <x:v>0</x:v>
      </x:c>
      <x:c r="R7" s="42" t="str">
        <x:v>2~3</x:v>
      </x:c>
      <x:c r="S7" s="42" t="str">
        <x:v>기본 지급으로 무난</x:v>
      </x:c>
      <x:c r="T7" s="42" t="n">
        <x:v>12</x:v>
      </x:c>
      <x:c r="U7" s="42" t="n">
        <x:v>252</x:v>
      </x:c>
      <x:c r="V7" s="42" t="n">
        <x:v>220</x:v>
      </x:c>
      <x:c r="W7" s="42" t="n">
        <x:v>22</x:v>
      </x:c>
      <x:c r="X7" s="42" t="n">
        <x:v>66</x:v>
      </x:c>
      <x:c r="Y7" s="42" t="str"/>
    </x:row>
    <x:row r="8">
      <x:c r="A8" s="1">
        <x:v>1</x:v>
      </x:c>
      <x:c r="B8" s="1" t="s">
        <x:v>501</x:v>
      </x:c>
      <x:c r="C8" s="1" t="s">
        <x:v>212</x:v>
      </x:c>
      <x:c r="D8" s="1">
        <x:v>1</x:v>
      </x:c>
      <x:c r="E8" s="1">
        <x:v>1</x:v>
      </x:c>
      <x:c r="F8" s="1">
        <x:v>7</x:v>
      </x:c>
      <x:c r="G8" s="1" t="s">
        <x:v>1042</x:v>
      </x:c>
      <x:c r="H8" s="1">
        <x:v>23</x:v>
      </x:c>
      <x:c r="I8" s="1">
        <x:v>13</x:v>
      </x:c>
      <x:c r="J8" s="1">
        <x:v>0.96</x:v>
      </x:c>
      <x:c r="K8" s="1" t="s">
        <x:v>1053</x:v>
      </x:c>
      <x:c r="L8" s="1">
        <x:v>1.21</x:v>
      </x:c>
      <x:c r="M8" s="1">
        <x:v>1.1499999999999999</x:v>
      </x:c>
      <x:c r="N8" s="1">
        <x:v>100</x:v>
      </x:c>
      <x:c r="O8" s="1" t="s">
        <x:v>1052</x:v>
      </x:c>
      <x:c r="P8" s="42" t="str">
        <x:v>Lv1~10</x:v>
      </x:c>
      <x:c r="Q8" s="42" t="str">
        <x:v>0</x:v>
      </x:c>
      <x:c r="R8" s="42" t="str">
        <x:v>2~3</x:v>
      </x:c>
      <x:c r="S8" s="42" t="str">
        <x:v>기본 지급으로 무난</x:v>
      </x:c>
      <x:c r="T8" s="42" t="n">
        <x:v>12</x:v>
      </x:c>
      <x:c r="U8" s="42" t="n">
        <x:v>276</x:v>
      </x:c>
      <x:c r="V8" s="42" t="n">
        <x:v>300</x:v>
      </x:c>
      <x:c r="W8" s="42" t="n">
        <x:v>30</x:v>
      </x:c>
      <x:c r="X8" s="42" t="n">
        <x:v>90</x:v>
      </x:c>
      <x:c r="Y8" s="42" t="str"/>
    </x:row>
    <x:row r="9">
      <x:c r="A9" s="1">
        <x:v>1</x:v>
      </x:c>
      <x:c r="B9" s="1" t="s">
        <x:v>501</x:v>
      </x:c>
      <x:c r="C9" s="1" t="s">
        <x:v>212</x:v>
      </x:c>
      <x:c r="D9" s="1">
        <x:v>1</x:v>
      </x:c>
      <x:c r="E9" s="1">
        <x:v>1</x:v>
      </x:c>
      <x:c r="F9" s="1">
        <x:v>8</x:v>
      </x:c>
      <x:c r="G9" s="1" t="s">
        <x:v>1042</x:v>
      </x:c>
      <x:c r="H9" s="1">
        <x:v>25</x:v>
      </x:c>
      <x:c r="I9" s="1">
        <x:v>14</x:v>
      </x:c>
      <x:c r="J9" s="1">
        <x:v>0.93</x:v>
      </x:c>
      <x:c r="K9" s="1" t="s">
        <x:v>1054</x:v>
      </x:c>
      <x:c r="L9" s="1">
        <x:v>1.25</x:v>
      </x:c>
      <x:c r="M9" s="1">
        <x:v>1.18</x:v>
      </x:c>
      <x:c r="N9" s="1">
        <x:v>100</x:v>
      </x:c>
      <x:c r="O9" s="1" t="s">
        <x:v>1052</x:v>
      </x:c>
      <x:c r="P9" s="42" t="str">
        <x:v>Lv1~10</x:v>
      </x:c>
      <x:c r="Q9" s="42" t="str">
        <x:v>0</x:v>
      </x:c>
      <x:c r="R9" s="42" t="str">
        <x:v>2~3</x:v>
      </x:c>
      <x:c r="S9" s="42" t="str">
        <x:v>기본 지급으로 무난</x:v>
      </x:c>
      <x:c r="T9" s="42" t="n">
        <x:v>12</x:v>
      </x:c>
      <x:c r="U9" s="42" t="n">
        <x:v>300</x:v>
      </x:c>
      <x:c r="V9" s="42" t="n">
        <x:v>400</x:v>
      </x:c>
      <x:c r="W9" s="42" t="n">
        <x:v>40</x:v>
      </x:c>
      <x:c r="X9" s="42" t="n">
        <x:v>120</x:v>
      </x:c>
      <x:c r="Y9" s="42" t="str"/>
    </x:row>
    <x:row r="10">
      <x:c r="A10" s="1">
        <x:v>1</x:v>
      </x:c>
      <x:c r="B10" s="1" t="s">
        <x:v>501</x:v>
      </x:c>
      <x:c r="C10" s="1" t="s">
        <x:v>212</x:v>
      </x:c>
      <x:c r="D10" s="1">
        <x:v>1</x:v>
      </x:c>
      <x:c r="E10" s="1">
        <x:v>1</x:v>
      </x:c>
      <x:c r="F10" s="1">
        <x:v>9</x:v>
      </x:c>
      <x:c r="G10" s="1" t="s">
        <x:v>1042</x:v>
      </x:c>
      <x:c r="H10" s="1">
        <x:v>27</x:v>
      </x:c>
      <x:c r="I10" s="1">
        <x:v>16</x:v>
      </x:c>
      <x:c r="J10" s="1">
        <x:v>0.89</x:v>
      </x:c>
      <x:c r="K10" s="1" t="s">
        <x:v>1055</x:v>
      </x:c>
      <x:c r="L10" s="1">
        <x:v>1.28</x:v>
      </x:c>
      <x:c r="M10" s="1">
        <x:v>1.2</x:v>
      </x:c>
      <x:c r="N10" s="1">
        <x:v>100</x:v>
      </x:c>
      <x:c r="O10" s="1" t="s">
        <x:v>1056</x:v>
      </x:c>
      <x:c r="P10" s="42" t="str">
        <x:v>Lv1~10</x:v>
      </x:c>
      <x:c r="Q10" s="42" t="str">
        <x:v>0</x:v>
      </x:c>
      <x:c r="R10" s="42" t="str">
        <x:v>2~3</x:v>
      </x:c>
      <x:c r="S10" s="42" t="str">
        <x:v>기본 지급으로 무난</x:v>
      </x:c>
      <x:c r="T10" s="42" t="n">
        <x:v>12</x:v>
      </x:c>
      <x:c r="U10" s="42" t="n">
        <x:v>324</x:v>
      </x:c>
      <x:c r="V10" s="42" t="n">
        <x:v>500</x:v>
      </x:c>
      <x:c r="W10" s="42" t="n">
        <x:v>50</x:v>
      </x:c>
      <x:c r="X10" s="42" t="n">
        <x:v>150</x:v>
      </x:c>
      <x:c r="Y10" s="42" t="str"/>
    </x:row>
    <x:row r="11">
      <x:c r="A11" s="1">
        <x:v>1</x:v>
      </x:c>
      <x:c r="B11" s="1" t="s">
        <x:v>501</x:v>
      </x:c>
      <x:c r="C11" s="1" t="s">
        <x:v>212</x:v>
      </x:c>
      <x:c r="D11" s="1">
        <x:v>1</x:v>
      </x:c>
      <x:c r="E11" s="1">
        <x:v>1</x:v>
      </x:c>
      <x:c r="F11" s="1">
        <x:v>10</x:v>
      </x:c>
      <x:c r="G11" s="1" t="s">
        <x:v>1057</x:v>
      </x:c>
      <x:c r="H11" s="1">
        <x:v>19</x:v>
      </x:c>
      <x:c r="I11" s="1">
        <x:v>17</x:v>
      </x:c>
      <x:c r="J11" s="1">
        <x:v>0.86</x:v>
      </x:c>
      <x:c r="K11" s="1" t="s">
        <x:v>1058</x:v>
      </x:c>
      <x:c r="L11" s="1">
        <x:v>1.31</x:v>
      </x:c>
      <x:c r="M11" s="1">
        <x:v>1.23</x:v>
      </x:c>
      <x:c r="N11" s="1">
        <x:v>100</x:v>
      </x:c>
      <x:c r="O11" s="1" t="s">
        <x:v>1059</x:v>
      </x:c>
      <x:c r="P11" s="42" t="str">
        <x:v>Lv1~10</x:v>
      </x:c>
      <x:c r="Q11" s="42" t="str">
        <x:v>0</x:v>
      </x:c>
      <x:c r="R11" s="42" t="str">
        <x:v>2~3</x:v>
      </x:c>
      <x:c r="S11" s="42" t="str">
        <x:v>기본 지급으로 무난</x:v>
      </x:c>
      <x:c r="T11" s="42" t="n">
        <x:v>12</x:v>
      </x:c>
      <x:c r="U11" s="42" t="n">
        <x:v>216</x:v>
      </x:c>
      <x:c r="V11" s="42" t="n">
        <x:v>0</x:v>
      </x:c>
      <x:c r="W11" s="42" t="n">
        <x:v>0</x:v>
      </x:c>
      <x:c r="X11" s="42" t="n">
        <x:v>0</x:v>
      </x:c>
      <x:c r="Y11" s="42" t="str">
        <x:v>보스 처치 보상은 로비 보상으로 분리</x:v>
      </x:c>
    </x:row>
    <x:row r="12">
      <x:c r="A12" s="1">
        <x:v>2</x:v>
      </x:c>
      <x:c r="B12" s="1" t="s">
        <x:v>501</x:v>
      </x:c>
      <x:c r="C12" s="1" t="s">
        <x:v>212</x:v>
      </x:c>
      <x:c r="D12" s="1">
        <x:v>2</x:v>
      </x:c>
      <x:c r="E12" s="1">
        <x:v>1</x:v>
      </x:c>
      <x:c r="F12" s="1">
        <x:v>1</x:v>
      </x:c>
      <x:c r="G12" s="1" t="s">
        <x:v>1042</x:v>
      </x:c>
      <x:c r="H12" s="1">
        <x:v>12</x:v>
      </x:c>
      <x:c r="I12" s="1">
        <x:v>10</x:v>
      </x:c>
      <x:c r="J12" s="1">
        <x:v>1.1599999999999999</x:v>
      </x:c>
      <x:c r="K12" s="1" t="s">
        <x:v>1060</x:v>
      </x:c>
      <x:c r="L12" s="1">
        <x:v>1.04</x:v>
      </x:c>
      <x:c r="M12" s="1">
        <x:v>1.03</x:v>
      </x:c>
      <x:c r="N12" s="1">
        <x:v>113</x:v>
      </x:c>
      <x:c r="O12" s="1" t="s">
        <x:v>1044</x:v>
      </x:c>
      <x:c r="P12" s="42" t="str">
        <x:v>Lv1~10</x:v>
      </x:c>
      <x:c r="Q12" s="42" t="str">
        <x:v>0</x:v>
      </x:c>
      <x:c r="R12" s="42" t="str">
        <x:v>2~3</x:v>
      </x:c>
      <x:c r="S12" s="42" t="str">
        <x:v>기본 지급으로 무난</x:v>
      </x:c>
      <x:c r="T12" s="42" t="n">
        <x:v>12</x:v>
      </x:c>
      <x:c r="U12" s="42" t="n">
        <x:v>144</x:v>
      </x:c>
      <x:c r="V12" s="42" t="n">
        <x:v>100</x:v>
      </x:c>
      <x:c r="W12" s="42" t="n">
        <x:v>10</x:v>
      </x:c>
      <x:c r="X12" s="42" t="n">
        <x:v>30</x:v>
      </x:c>
      <x:c r="Y12" s="42" t="str"/>
    </x:row>
    <x:row r="13">
      <x:c r="A13" s="1">
        <x:v>2</x:v>
      </x:c>
      <x:c r="B13" s="1" t="s">
        <x:v>501</x:v>
      </x:c>
      <x:c r="C13" s="1" t="s">
        <x:v>212</x:v>
      </x:c>
      <x:c r="D13" s="1">
        <x:v>2</x:v>
      </x:c>
      <x:c r="E13" s="1">
        <x:v>1</x:v>
      </x:c>
      <x:c r="F13" s="1">
        <x:v>2</x:v>
      </x:c>
      <x:c r="G13" s="1" t="s">
        <x:v>1042</x:v>
      </x:c>
      <x:c r="H13" s="1">
        <x:v>14</x:v>
      </x:c>
      <x:c r="I13" s="1">
        <x:v>10</x:v>
      </x:c>
      <x:c r="J13" s="1">
        <x:v>1.1299999999999999</x:v>
      </x:c>
      <x:c r="K13" s="1" t="s">
        <x:v>1045</x:v>
      </x:c>
      <x:c r="L13" s="1">
        <x:v>1.08</x:v>
      </x:c>
      <x:c r="M13" s="1">
        <x:v>1.06</x:v>
      </x:c>
      <x:c r="N13" s="1">
        <x:v>113</x:v>
      </x:c>
      <x:c r="O13" s="1" t="s">
        <x:v>1044</x:v>
      </x:c>
      <x:c r="P13" s="42" t="str">
        <x:v>Lv1~10</x:v>
      </x:c>
      <x:c r="Q13" s="42" t="str">
        <x:v>0</x:v>
      </x:c>
      <x:c r="R13" s="42" t="str">
        <x:v>2~3</x:v>
      </x:c>
      <x:c r="S13" s="42" t="str">
        <x:v>기본 지급으로 무난</x:v>
      </x:c>
      <x:c r="T13" s="42" t="n">
        <x:v>12</x:v>
      </x:c>
      <x:c r="U13" s="42" t="n">
        <x:v>168</x:v>
      </x:c>
      <x:c r="V13" s="42" t="n">
        <x:v>120</x:v>
      </x:c>
      <x:c r="W13" s="42" t="n">
        <x:v>12</x:v>
      </x:c>
      <x:c r="X13" s="42" t="n">
        <x:v>36</x:v>
      </x:c>
      <x:c r="Y13" s="42" t="str"/>
    </x:row>
    <x:row r="14">
      <x:c r="A14" s="1">
        <x:v>2</x:v>
      </x:c>
      <x:c r="B14" s="1" t="s">
        <x:v>501</x:v>
      </x:c>
      <x:c r="C14" s="1" t="s">
        <x:v>212</x:v>
      </x:c>
      <x:c r="D14" s="1">
        <x:v>2</x:v>
      </x:c>
      <x:c r="E14" s="1">
        <x:v>1</x:v>
      </x:c>
      <x:c r="F14" s="1">
        <x:v>3</x:v>
      </x:c>
      <x:c r="G14" s="1" t="s">
        <x:v>1042</x:v>
      </x:c>
      <x:c r="H14" s="1">
        <x:v>16</x:v>
      </x:c>
      <x:c r="I14" s="1">
        <x:v>10</x:v>
      </x:c>
      <x:c r="J14" s="1">
        <x:v>1.0900000000000001</x:v>
      </x:c>
      <x:c r="K14" s="1" t="s">
        <x:v>1045</x:v>
      </x:c>
      <x:c r="L14" s="1">
        <x:v>1.1100000000000001</x:v>
      </x:c>
      <x:c r="M14" s="1">
        <x:v>1.08</x:v>
      </x:c>
      <x:c r="N14" s="1">
        <x:v>113</x:v>
      </x:c>
      <x:c r="O14" s="1" t="s">
        <x:v>1044</x:v>
      </x:c>
      <x:c r="P14" s="42" t="str">
        <x:v>Lv1~10</x:v>
      </x:c>
      <x:c r="Q14" s="42" t="str">
        <x:v>0</x:v>
      </x:c>
      <x:c r="R14" s="42" t="str">
        <x:v>2~3</x:v>
      </x:c>
      <x:c r="S14" s="42" t="str">
        <x:v>기본 지급으로 무난</x:v>
      </x:c>
      <x:c r="T14" s="42" t="n">
        <x:v>12</x:v>
      </x:c>
      <x:c r="U14" s="42" t="n">
        <x:v>192</x:v>
      </x:c>
      <x:c r="V14" s="42" t="n">
        <x:v>150</x:v>
      </x:c>
      <x:c r="W14" s="42" t="n">
        <x:v>15</x:v>
      </x:c>
      <x:c r="X14" s="42" t="n">
        <x:v>45</x:v>
      </x:c>
      <x:c r="Y14" s="42" t="str"/>
    </x:row>
    <x:row r="15">
      <x:c r="A15" s="1">
        <x:v>2</x:v>
      </x:c>
      <x:c r="B15" s="1" t="s">
        <x:v>501</x:v>
      </x:c>
      <x:c r="C15" s="1" t="s">
        <x:v>212</x:v>
      </x:c>
      <x:c r="D15" s="1">
        <x:v>2</x:v>
      </x:c>
      <x:c r="E15" s="1">
        <x:v>1</x:v>
      </x:c>
      <x:c r="F15" s="1">
        <x:v>4</x:v>
      </x:c>
      <x:c r="G15" s="1" t="s">
        <x:v>1042</x:v>
      </x:c>
      <x:c r="H15" s="1">
        <x:v>18</x:v>
      </x:c>
      <x:c r="I15" s="1">
        <x:v>10</x:v>
      </x:c>
      <x:c r="J15" s="1">
        <x:v>1.06</x:v>
      </x:c>
      <x:c r="K15" s="1" t="s">
        <x:v>1046</x:v>
      </x:c>
      <x:c r="L15" s="1">
        <x:v>1.1499999999999999</x:v>
      </x:c>
      <x:c r="M15" s="1">
        <x:v>1.1100000000000001</x:v>
      </x:c>
      <x:c r="N15" s="1">
        <x:v>113</x:v>
      </x:c>
      <x:c r="O15" s="1" t="s">
        <x:v>1047</x:v>
      </x:c>
      <x:c r="P15" s="42" t="str">
        <x:v>Lv1~10</x:v>
      </x:c>
      <x:c r="Q15" s="42" t="str">
        <x:v>0</x:v>
      </x:c>
      <x:c r="R15" s="42" t="str">
        <x:v>2~3</x:v>
      </x:c>
      <x:c r="S15" s="42" t="str">
        <x:v>기본 지급으로 무난</x:v>
      </x:c>
      <x:c r="T15" s="42" t="n">
        <x:v>12</x:v>
      </x:c>
      <x:c r="U15" s="42" t="n">
        <x:v>216</x:v>
      </x:c>
      <x:c r="V15" s="42" t="n">
        <x:v>180</x:v>
      </x:c>
      <x:c r="W15" s="42" t="n">
        <x:v>18</x:v>
      </x:c>
      <x:c r="X15" s="42" t="n">
        <x:v>54</x:v>
      </x:c>
      <x:c r="Y15" s="42" t="str"/>
    </x:row>
    <x:row r="16">
      <x:c r="A16" s="1">
        <x:v>2</x:v>
      </x:c>
      <x:c r="B16" s="1" t="s">
        <x:v>501</x:v>
      </x:c>
      <x:c r="C16" s="1" t="s">
        <x:v>212</x:v>
      </x:c>
      <x:c r="D16" s="1">
        <x:v>2</x:v>
      </x:c>
      <x:c r="E16" s="1">
        <x:v>1</x:v>
      </x:c>
      <x:c r="F16" s="1">
        <x:v>5</x:v>
      </x:c>
      <x:c r="G16" s="1" t="s">
        <x:v>1048</x:v>
      </x:c>
      <x:c r="H16" s="1">
        <x:v>12</x:v>
      </x:c>
      <x:c r="I16" s="1">
        <x:v>12</x:v>
      </x:c>
      <x:c r="J16" s="1">
        <x:v>1.02</x:v>
      </x:c>
      <x:c r="K16" s="1" t="s">
        <x:v>1061</x:v>
      </x:c>
      <x:c r="L16" s="1">
        <x:v>1.19</x:v>
      </x:c>
      <x:c r="M16" s="1">
        <x:v>1.1399999999999999</x:v>
      </x:c>
      <x:c r="N16" s="1">
        <x:v>113</x:v>
      </x:c>
      <x:c r="O16" s="1" t="s">
        <x:v>1050</x:v>
      </x:c>
      <x:c r="P16" s="42" t="str">
        <x:v>Lv1~10</x:v>
      </x:c>
      <x:c r="Q16" s="42" t="str">
        <x:v>0</x:v>
      </x:c>
      <x:c r="R16" s="42" t="str">
        <x:v>2~3</x:v>
      </x:c>
      <x:c r="S16" s="42" t="str">
        <x:v>기본 지급으로 무난</x:v>
      </x:c>
      <x:c r="T16" s="42" t="n">
        <x:v>12</x:v>
      </x:c>
      <x:c r="U16" s="42" t="n">
        <x:v>315</x:v>
      </x:c>
      <x:c r="V16" s="42" t="n">
        <x:v>300</x:v>
      </x:c>
      <x:c r="W16" s="42" t="n">
        <x:v>30</x:v>
      </x:c>
      <x:c r="X16" s="42" t="n">
        <x:v>90</x:v>
      </x:c>
      <x:c r="Y16" s="42" t="str">
        <x:v>중간보스 현상금 포함</x:v>
      </x:c>
    </x:row>
    <x:row r="17">
      <x:c r="A17" s="1">
        <x:v>2</x:v>
      </x:c>
      <x:c r="B17" s="1" t="s">
        <x:v>501</x:v>
      </x:c>
      <x:c r="C17" s="1" t="s">
        <x:v>212</x:v>
      </x:c>
      <x:c r="D17" s="1">
        <x:v>2</x:v>
      </x:c>
      <x:c r="E17" s="1">
        <x:v>1</x:v>
      </x:c>
      <x:c r="F17" s="1">
        <x:v>6</x:v>
      </x:c>
      <x:c r="G17" s="1" t="s">
        <x:v>1042</x:v>
      </x:c>
      <x:c r="H17" s="1">
        <x:v>22</x:v>
      </x:c>
      <x:c r="I17" s="1">
        <x:v>13</x:v>
      </x:c>
      <x:c r="J17" s="1">
        <x:v>0.99</x:v>
      </x:c>
      <x:c r="K17" s="1" t="s">
        <x:v>1051</x:v>
      </x:c>
      <x:c r="L17" s="1">
        <x:v>1.22</x:v>
      </x:c>
      <x:c r="M17" s="1">
        <x:v>1.1599999999999999</x:v>
      </x:c>
      <x:c r="N17" s="1">
        <x:v>113</x:v>
      </x:c>
      <x:c r="O17" s="1" t="s">
        <x:v>1052</x:v>
      </x:c>
      <x:c r="P17" s="42" t="str">
        <x:v>Lv1~10</x:v>
      </x:c>
      <x:c r="Q17" s="42" t="str">
        <x:v>0</x:v>
      </x:c>
      <x:c r="R17" s="42" t="str">
        <x:v>2~3</x:v>
      </x:c>
      <x:c r="S17" s="42" t="str">
        <x:v>기본 지급으로 무난</x:v>
      </x:c>
      <x:c r="T17" s="42" t="n">
        <x:v>12</x:v>
      </x:c>
      <x:c r="U17" s="42" t="n">
        <x:v>264</x:v>
      </x:c>
      <x:c r="V17" s="42" t="n">
        <x:v>220</x:v>
      </x:c>
      <x:c r="W17" s="42" t="n">
        <x:v>22</x:v>
      </x:c>
      <x:c r="X17" s="42" t="n">
        <x:v>66</x:v>
      </x:c>
      <x:c r="Y17" s="42" t="str"/>
    </x:row>
    <x:row r="18">
      <x:c r="A18" s="1">
        <x:v>2</x:v>
      </x:c>
      <x:c r="B18" s="1" t="s">
        <x:v>501</x:v>
      </x:c>
      <x:c r="C18" s="1" t="s">
        <x:v>212</x:v>
      </x:c>
      <x:c r="D18" s="1">
        <x:v>2</x:v>
      </x:c>
      <x:c r="E18" s="1">
        <x:v>1</x:v>
      </x:c>
      <x:c r="F18" s="1">
        <x:v>7</x:v>
      </x:c>
      <x:c r="G18" s="1" t="s">
        <x:v>1042</x:v>
      </x:c>
      <x:c r="H18" s="1">
        <x:v>24</x:v>
      </x:c>
      <x:c r="I18" s="1">
        <x:v>14</x:v>
      </x:c>
      <x:c r="J18" s="1">
        <x:v>0.95</x:v>
      </x:c>
      <x:c r="K18" s="1" t="s">
        <x:v>1062</x:v>
      </x:c>
      <x:c r="L18" s="1">
        <x:v>1.25</x:v>
      </x:c>
      <x:c r="M18" s="1">
        <x:v>1.19</x:v>
      </x:c>
      <x:c r="N18" s="1">
        <x:v>113</x:v>
      </x:c>
      <x:c r="O18" s="1" t="s">
        <x:v>1052</x:v>
      </x:c>
      <x:c r="P18" s="42" t="str">
        <x:v>Lv1~10</x:v>
      </x:c>
      <x:c r="Q18" s="42" t="str">
        <x:v>0</x:v>
      </x:c>
      <x:c r="R18" s="42" t="str">
        <x:v>2~3</x:v>
      </x:c>
      <x:c r="S18" s="42" t="str">
        <x:v>기본 지급으로 무난</x:v>
      </x:c>
      <x:c r="T18" s="42" t="n">
        <x:v>12</x:v>
      </x:c>
      <x:c r="U18" s="42" t="n">
        <x:v>288</x:v>
      </x:c>
      <x:c r="V18" s="42" t="n">
        <x:v>300</x:v>
      </x:c>
      <x:c r="W18" s="42" t="n">
        <x:v>30</x:v>
      </x:c>
      <x:c r="X18" s="42" t="n">
        <x:v>90</x:v>
      </x:c>
      <x:c r="Y18" s="42" t="str"/>
    </x:row>
    <x:row r="19">
      <x:c r="A19" s="1">
        <x:v>2</x:v>
      </x:c>
      <x:c r="B19" s="1" t="s">
        <x:v>501</x:v>
      </x:c>
      <x:c r="C19" s="1" t="s">
        <x:v>212</x:v>
      </x:c>
      <x:c r="D19" s="1">
        <x:v>2</x:v>
      </x:c>
      <x:c r="E19" s="1">
        <x:v>1</x:v>
      </x:c>
      <x:c r="F19" s="1">
        <x:v>8</x:v>
      </x:c>
      <x:c r="G19" s="1" t="s">
        <x:v>1042</x:v>
      </x:c>
      <x:c r="H19" s="1">
        <x:v>26</x:v>
      </x:c>
      <x:c r="I19" s="1">
        <x:v>15</x:v>
      </x:c>
      <x:c r="J19" s="1">
        <x:v>0.92</x:v>
      </x:c>
      <x:c r="K19" s="1" t="s">
        <x:v>1055</x:v>
      </x:c>
      <x:c r="L19" s="1">
        <x:v>1.29</x:v>
      </x:c>
      <x:c r="M19" s="1">
        <x:v>1.21</x:v>
      </x:c>
      <x:c r="N19" s="1">
        <x:v>113</x:v>
      </x:c>
      <x:c r="O19" s="1" t="s">
        <x:v>1052</x:v>
      </x:c>
      <x:c r="P19" s="42" t="str">
        <x:v>Lv1~10</x:v>
      </x:c>
      <x:c r="Q19" s="42" t="str">
        <x:v>0</x:v>
      </x:c>
      <x:c r="R19" s="42" t="str">
        <x:v>2~3</x:v>
      </x:c>
      <x:c r="S19" s="42" t="str">
        <x:v>기본 지급으로 무난</x:v>
      </x:c>
      <x:c r="T19" s="42" t="n">
        <x:v>12</x:v>
      </x:c>
      <x:c r="U19" s="42" t="n">
        <x:v>312</x:v>
      </x:c>
      <x:c r="V19" s="42" t="n">
        <x:v>400</x:v>
      </x:c>
      <x:c r="W19" s="42" t="n">
        <x:v>40</x:v>
      </x:c>
      <x:c r="X19" s="42" t="n">
        <x:v>120</x:v>
      </x:c>
      <x:c r="Y19" s="42" t="str"/>
    </x:row>
    <x:row r="20">
      <x:c r="A20" s="1">
        <x:v>2</x:v>
      </x:c>
      <x:c r="B20" s="1" t="s">
        <x:v>501</x:v>
      </x:c>
      <x:c r="C20" s="1" t="s">
        <x:v>212</x:v>
      </x:c>
      <x:c r="D20" s="1">
        <x:v>2</x:v>
      </x:c>
      <x:c r="E20" s="1">
        <x:v>1</x:v>
      </x:c>
      <x:c r="F20" s="1">
        <x:v>9</x:v>
      </x:c>
      <x:c r="G20" s="1" t="s">
        <x:v>1042</x:v>
      </x:c>
      <x:c r="H20" s="1">
        <x:v>28</x:v>
      </x:c>
      <x:c r="I20" s="1">
        <x:v>16</x:v>
      </x:c>
      <x:c r="J20" s="1">
        <x:v>0.88</x:v>
      </x:c>
      <x:c r="K20" s="1" t="s">
        <x:v>1063</x:v>
      </x:c>
      <x:c r="L20" s="1">
        <x:v>1.32</x:v>
      </x:c>
      <x:c r="M20" s="1">
        <x:v>1.23</x:v>
      </x:c>
      <x:c r="N20" s="1">
        <x:v>113</x:v>
      </x:c>
      <x:c r="O20" s="1" t="s">
        <x:v>1056</x:v>
      </x:c>
      <x:c r="P20" s="42" t="str">
        <x:v>Lv1~10</x:v>
      </x:c>
      <x:c r="Q20" s="42" t="str">
        <x:v>0</x:v>
      </x:c>
      <x:c r="R20" s="42" t="str">
        <x:v>2~3</x:v>
      </x:c>
      <x:c r="S20" s="42" t="str">
        <x:v>기본 지급으로 무난</x:v>
      </x:c>
      <x:c r="T20" s="42" t="n">
        <x:v>12</x:v>
      </x:c>
      <x:c r="U20" s="42" t="n">
        <x:v>336</x:v>
      </x:c>
      <x:c r="V20" s="42" t="n">
        <x:v>500</x:v>
      </x:c>
      <x:c r="W20" s="42" t="n">
        <x:v>50</x:v>
      </x:c>
      <x:c r="X20" s="42" t="n">
        <x:v>150</x:v>
      </x:c>
      <x:c r="Y20" s="42" t="str"/>
    </x:row>
    <x:row r="21">
      <x:c r="A21" s="1">
        <x:v>2</x:v>
      </x:c>
      <x:c r="B21" s="1" t="s">
        <x:v>501</x:v>
      </x:c>
      <x:c r="C21" s="1" t="s">
        <x:v>212</x:v>
      </x:c>
      <x:c r="D21" s="1">
        <x:v>2</x:v>
      </x:c>
      <x:c r="E21" s="1">
        <x:v>1</x:v>
      </x:c>
      <x:c r="F21" s="1">
        <x:v>10</x:v>
      </x:c>
      <x:c r="G21" s="1" t="s">
        <x:v>1057</x:v>
      </x:c>
      <x:c r="H21" s="1">
        <x:v>20</x:v>
      </x:c>
      <x:c r="I21" s="1">
        <x:v>17</x:v>
      </x:c>
      <x:c r="J21" s="1">
        <x:v>0.85</x:v>
      </x:c>
      <x:c r="K21" s="1" t="s">
        <x:v>1064</x:v>
      </x:c>
      <x:c r="L21" s="1">
        <x:v>1.36</x:v>
      </x:c>
      <x:c r="M21" s="1">
        <x:v>1.26</x:v>
      </x:c>
      <x:c r="N21" s="1">
        <x:v>113</x:v>
      </x:c>
      <x:c r="O21" s="1" t="s">
        <x:v>1059</x:v>
      </x:c>
      <x:c r="P21" s="42" t="str">
        <x:v>Lv1~10</x:v>
      </x:c>
      <x:c r="Q21" s="42" t="str">
        <x:v>0</x:v>
      </x:c>
      <x:c r="R21" s="42" t="str">
        <x:v>2~3</x:v>
      </x:c>
      <x:c r="S21" s="42" t="str">
        <x:v>기본 지급으로 무난</x:v>
      </x:c>
      <x:c r="T21" s="42" t="n">
        <x:v>12</x:v>
      </x:c>
      <x:c r="U21" s="42" t="n">
        <x:v>228</x:v>
      </x:c>
      <x:c r="V21" s="42" t="n">
        <x:v>0</x:v>
      </x:c>
      <x:c r="W21" s="42" t="n">
        <x:v>0</x:v>
      </x:c>
      <x:c r="X21" s="42" t="n">
        <x:v>0</x:v>
      </x:c>
      <x:c r="Y21" s="42" t="str">
        <x:v>보스 처치 보상은 로비 보상으로 분리</x:v>
      </x:c>
    </x:row>
    <x:row r="22">
      <x:c r="A22" s="1">
        <x:v>3</x:v>
      </x:c>
      <x:c r="B22" s="1" t="s">
        <x:v>501</x:v>
      </x:c>
      <x:c r="C22" s="1" t="s">
        <x:v>212</x:v>
      </x:c>
      <x:c r="D22" s="1">
        <x:v>3</x:v>
      </x:c>
      <x:c r="E22" s="1">
        <x:v>2</x:v>
      </x:c>
      <x:c r="F22" s="1">
        <x:v>1</x:v>
      </x:c>
      <x:c r="G22" s="1" t="s">
        <x:v>1042</x:v>
      </x:c>
      <x:c r="H22" s="1">
        <x:v>14</x:v>
      </x:c>
      <x:c r="I22" s="1">
        <x:v>10</x:v>
      </x:c>
      <x:c r="J22" s="1">
        <x:v>1.1499999999999999</x:v>
      </x:c>
      <x:c r="K22" s="1" t="s">
        <x:v>1054</x:v>
      </x:c>
      <x:c r="L22" s="1">
        <x:v>1.0900000000000001</x:v>
      </x:c>
      <x:c r="M22" s="1">
        <x:v>1.07</x:v>
      </x:c>
      <x:c r="N22" s="1">
        <x:v>128</x:v>
      </x:c>
      <x:c r="O22" s="1" t="s">
        <x:v>1044</x:v>
      </x:c>
      <x:c r="P22" s="42" t="str">
        <x:v>Lv1~10</x:v>
      </x:c>
      <x:c r="Q22" s="42" t="str">
        <x:v>0</x:v>
      </x:c>
      <x:c r="R22" s="42" t="str">
        <x:v>2~3</x:v>
      </x:c>
      <x:c r="S22" s="42" t="str">
        <x:v>기본 지급으로 무난</x:v>
      </x:c>
      <x:c r="T22" s="42" t="n">
        <x:v>12</x:v>
      </x:c>
      <x:c r="U22" s="42" t="n">
        <x:v>168</x:v>
      </x:c>
      <x:c r="V22" s="42" t="n">
        <x:v>100</x:v>
      </x:c>
      <x:c r="W22" s="42" t="n">
        <x:v>10</x:v>
      </x:c>
      <x:c r="X22" s="42" t="n">
        <x:v>30</x:v>
      </x:c>
      <x:c r="Y22" s="42" t="str"/>
    </x:row>
    <x:row r="23">
      <x:c r="A23" s="1">
        <x:v>3</x:v>
      </x:c>
      <x:c r="B23" s="1" t="s">
        <x:v>501</x:v>
      </x:c>
      <x:c r="C23" s="1" t="s">
        <x:v>212</x:v>
      </x:c>
      <x:c r="D23" s="1">
        <x:v>3</x:v>
      </x:c>
      <x:c r="E23" s="1">
        <x:v>2</x:v>
      </x:c>
      <x:c r="F23" s="1">
        <x:v>2</x:v>
      </x:c>
      <x:c r="G23" s="1" t="s">
        <x:v>1042</x:v>
      </x:c>
      <x:c r="H23" s="1">
        <x:v>16</x:v>
      </x:c>
      <x:c r="I23" s="1">
        <x:v>10</x:v>
      </x:c>
      <x:c r="J23" s="1">
        <x:v>1.1100000000000001</x:v>
      </x:c>
      <x:c r="K23" s="1" t="s">
        <x:v>1045</x:v>
      </x:c>
      <x:c r="L23" s="1">
        <x:v>1.1200000000000001</x:v>
      </x:c>
      <x:c r="M23" s="1">
        <x:v>1.0900000000000001</x:v>
      </x:c>
      <x:c r="N23" s="1">
        <x:v>128</x:v>
      </x:c>
      <x:c r="O23" s="1" t="s">
        <x:v>1044</x:v>
      </x:c>
      <x:c r="P23" s="42" t="str">
        <x:v>Lv1~10</x:v>
      </x:c>
      <x:c r="Q23" s="42" t="str">
        <x:v>0</x:v>
      </x:c>
      <x:c r="R23" s="42" t="str">
        <x:v>2~3</x:v>
      </x:c>
      <x:c r="S23" s="42" t="str">
        <x:v>기본 지급으로 무난</x:v>
      </x:c>
      <x:c r="T23" s="42" t="n">
        <x:v>12</x:v>
      </x:c>
      <x:c r="U23" s="42" t="n">
        <x:v>192</x:v>
      </x:c>
      <x:c r="V23" s="42" t="n">
        <x:v>120</x:v>
      </x:c>
      <x:c r="W23" s="42" t="n">
        <x:v>12</x:v>
      </x:c>
      <x:c r="X23" s="42" t="n">
        <x:v>36</x:v>
      </x:c>
      <x:c r="Y23" s="42" t="str"/>
    </x:row>
    <x:row r="24">
      <x:c r="A24" s="1">
        <x:v>3</x:v>
      </x:c>
      <x:c r="B24" s="1" t="s">
        <x:v>501</x:v>
      </x:c>
      <x:c r="C24" s="1" t="s">
        <x:v>212</x:v>
      </x:c>
      <x:c r="D24" s="1">
        <x:v>3</x:v>
      </x:c>
      <x:c r="E24" s="1">
        <x:v>2</x:v>
      </x:c>
      <x:c r="F24" s="1">
        <x:v>3</x:v>
      </x:c>
      <x:c r="G24" s="1" t="s">
        <x:v>1042</x:v>
      </x:c>
      <x:c r="H24" s="1">
        <x:v>18</x:v>
      </x:c>
      <x:c r="I24" s="1">
        <x:v>10</x:v>
      </x:c>
      <x:c r="J24" s="1">
        <x:v>1.08</x:v>
      </x:c>
      <x:c r="K24" s="1" t="s">
        <x:v>1045</x:v>
      </x:c>
      <x:c r="L24" s="1">
        <x:v>1.1599999999999999</x:v>
      </x:c>
      <x:c r="M24" s="1">
        <x:v>1.1200000000000001</x:v>
      </x:c>
      <x:c r="N24" s="1">
        <x:v>128</x:v>
      </x:c>
      <x:c r="O24" s="1" t="s">
        <x:v>1044</x:v>
      </x:c>
      <x:c r="P24" s="42" t="str">
        <x:v>Lv1~10</x:v>
      </x:c>
      <x:c r="Q24" s="42" t="str">
        <x:v>0</x:v>
      </x:c>
      <x:c r="R24" s="42" t="str">
        <x:v>2~3</x:v>
      </x:c>
      <x:c r="S24" s="42" t="str">
        <x:v>기본 지급으로 무난</x:v>
      </x:c>
      <x:c r="T24" s="42" t="n">
        <x:v>12</x:v>
      </x:c>
      <x:c r="U24" s="42" t="n">
        <x:v>216</x:v>
      </x:c>
      <x:c r="V24" s="42" t="n">
        <x:v>150</x:v>
      </x:c>
      <x:c r="W24" s="42" t="n">
        <x:v>15</x:v>
      </x:c>
      <x:c r="X24" s="42" t="n">
        <x:v>45</x:v>
      </x:c>
      <x:c r="Y24" s="42" t="str"/>
    </x:row>
    <x:row r="25">
      <x:c r="A25" s="1">
        <x:v>3</x:v>
      </x:c>
      <x:c r="B25" s="1" t="s">
        <x:v>501</x:v>
      </x:c>
      <x:c r="C25" s="1" t="s">
        <x:v>212</x:v>
      </x:c>
      <x:c r="D25" s="1">
        <x:v>3</x:v>
      </x:c>
      <x:c r="E25" s="1">
        <x:v>2</x:v>
      </x:c>
      <x:c r="F25" s="1">
        <x:v>4</x:v>
      </x:c>
      <x:c r="G25" s="1" t="s">
        <x:v>1042</x:v>
      </x:c>
      <x:c r="H25" s="1">
        <x:v>20</x:v>
      </x:c>
      <x:c r="I25" s="1">
        <x:v>12</x:v>
      </x:c>
      <x:c r="J25" s="1">
        <x:v>1.04</x:v>
      </x:c>
      <x:c r="K25" s="1" t="s">
        <x:v>1046</x:v>
      </x:c>
      <x:c r="L25" s="1">
        <x:v>1.2</x:v>
      </x:c>
      <x:c r="M25" s="1">
        <x:v>1.1499999999999999</x:v>
      </x:c>
      <x:c r="N25" s="1">
        <x:v>128</x:v>
      </x:c>
      <x:c r="O25" s="1" t="s">
        <x:v>1047</x:v>
      </x:c>
      <x:c r="P25" s="42" t="str">
        <x:v>Lv1~10</x:v>
      </x:c>
      <x:c r="Q25" s="42" t="str">
        <x:v>0</x:v>
      </x:c>
      <x:c r="R25" s="42" t="str">
        <x:v>2~3</x:v>
      </x:c>
      <x:c r="S25" s="42" t="str">
        <x:v>기본 지급으로 무난</x:v>
      </x:c>
      <x:c r="T25" s="42" t="n">
        <x:v>12</x:v>
      </x:c>
      <x:c r="U25" s="42" t="n">
        <x:v>240</x:v>
      </x:c>
      <x:c r="V25" s="42" t="n">
        <x:v>180</x:v>
      </x:c>
      <x:c r="W25" s="42" t="n">
        <x:v>18</x:v>
      </x:c>
      <x:c r="X25" s="42" t="n">
        <x:v>54</x:v>
      </x:c>
      <x:c r="Y25" s="42" t="str"/>
    </x:row>
    <x:row r="26">
      <x:c r="A26" s="1">
        <x:v>3</x:v>
      </x:c>
      <x:c r="B26" s="1" t="s">
        <x:v>501</x:v>
      </x:c>
      <x:c r="C26" s="1" t="s">
        <x:v>212</x:v>
      </x:c>
      <x:c r="D26" s="1">
        <x:v>3</x:v>
      </x:c>
      <x:c r="E26" s="1">
        <x:v>2</x:v>
      </x:c>
      <x:c r="F26" s="1">
        <x:v>5</x:v>
      </x:c>
      <x:c r="G26" s="1" t="s">
        <x:v>1048</x:v>
      </x:c>
      <x:c r="H26" s="1">
        <x:v>14</x:v>
      </x:c>
      <x:c r="I26" s="1">
        <x:v>13</x:v>
      </x:c>
      <x:c r="J26" s="1">
        <x:v>1.01</x:v>
      </x:c>
      <x:c r="K26" s="1" t="s">
        <x:v>1065</x:v>
      </x:c>
      <x:c r="L26" s="1">
        <x:v>1.23</x:v>
      </x:c>
      <x:c r="M26" s="1">
        <x:v>1.17</x:v>
      </x:c>
      <x:c r="N26" s="1">
        <x:v>128</x:v>
      </x:c>
      <x:c r="O26" s="1" t="s">
        <x:v>1050</x:v>
      </x:c>
      <x:c r="P26" s="42" t="str">
        <x:v>Lv1~10</x:v>
      </x:c>
      <x:c r="Q26" s="42" t="str">
        <x:v>0</x:v>
      </x:c>
      <x:c r="R26" s="42" t="str">
        <x:v>2~3</x:v>
      </x:c>
      <x:c r="S26" s="42" t="str">
        <x:v>기본 지급으로 무난</x:v>
      </x:c>
      <x:c r="T26" s="42" t="n">
        <x:v>12</x:v>
      </x:c>
      <x:c r="U26" s="42" t="n">
        <x:v>341</x:v>
      </x:c>
      <x:c r="V26" s="42" t="n">
        <x:v>300</x:v>
      </x:c>
      <x:c r="W26" s="42" t="n">
        <x:v>30</x:v>
      </x:c>
      <x:c r="X26" s="42" t="n">
        <x:v>90</x:v>
      </x:c>
      <x:c r="Y26" s="42" t="str">
        <x:v>중간보스 현상금 포함</x:v>
      </x:c>
    </x:row>
    <x:row r="27">
      <x:c r="A27" s="1">
        <x:v>3</x:v>
      </x:c>
      <x:c r="B27" s="1" t="s">
        <x:v>501</x:v>
      </x:c>
      <x:c r="C27" s="1" t="s">
        <x:v>212</x:v>
      </x:c>
      <x:c r="D27" s="1">
        <x:v>3</x:v>
      </x:c>
      <x:c r="E27" s="1">
        <x:v>2</x:v>
      </x:c>
      <x:c r="F27" s="1">
        <x:v>6</x:v>
      </x:c>
      <x:c r="G27" s="1" t="s">
        <x:v>1042</x:v>
      </x:c>
      <x:c r="H27" s="1">
        <x:v>24</x:v>
      </x:c>
      <x:c r="I27" s="1">
        <x:v>14</x:v>
      </x:c>
      <x:c r="J27" s="1">
        <x:v>0.97</x:v>
      </x:c>
      <x:c r="K27" s="1" t="s">
        <x:v>1051</x:v>
      </x:c>
      <x:c r="L27" s="1">
        <x:v>1.27</x:v>
      </x:c>
      <x:c r="M27" s="1">
        <x:v>1.2</x:v>
      </x:c>
      <x:c r="N27" s="1">
        <x:v>128</x:v>
      </x:c>
      <x:c r="O27" s="1" t="s">
        <x:v>1052</x:v>
      </x:c>
      <x:c r="P27" s="42" t="str">
        <x:v>Lv1~10</x:v>
      </x:c>
      <x:c r="Q27" s="42" t="str">
        <x:v>0</x:v>
      </x:c>
      <x:c r="R27" s="42" t="str">
        <x:v>2~3</x:v>
      </x:c>
      <x:c r="S27" s="42" t="str">
        <x:v>기본 지급으로 무난</x:v>
      </x:c>
      <x:c r="T27" s="42" t="n">
        <x:v>12</x:v>
      </x:c>
      <x:c r="U27" s="42" t="n">
        <x:v>288</x:v>
      </x:c>
      <x:c r="V27" s="42" t="n">
        <x:v>220</x:v>
      </x:c>
      <x:c r="W27" s="42" t="n">
        <x:v>22</x:v>
      </x:c>
      <x:c r="X27" s="42" t="n">
        <x:v>66</x:v>
      </x:c>
      <x:c r="Y27" s="42" t="str"/>
    </x:row>
    <x:row r="28">
      <x:c r="A28" s="1">
        <x:v>3</x:v>
      </x:c>
      <x:c r="B28" s="1" t="s">
        <x:v>501</x:v>
      </x:c>
      <x:c r="C28" s="1" t="s">
        <x:v>212</x:v>
      </x:c>
      <x:c r="D28" s="1">
        <x:v>3</x:v>
      </x:c>
      <x:c r="E28" s="1">
        <x:v>2</x:v>
      </x:c>
      <x:c r="F28" s="1">
        <x:v>7</x:v>
      </x:c>
      <x:c r="G28" s="1" t="s">
        <x:v>1042</x:v>
      </x:c>
      <x:c r="H28" s="1">
        <x:v>26</x:v>
      </x:c>
      <x:c r="I28" s="1">
        <x:v>15</x:v>
      </x:c>
      <x:c r="J28" s="1">
        <x:v>0.94</x:v>
      </x:c>
      <x:c r="K28" s="1" t="s">
        <x:v>1062</x:v>
      </x:c>
      <x:c r="L28" s="1">
        <x:v>1.3</x:v>
      </x:c>
      <x:c r="M28" s="1">
        <x:v>1.22</x:v>
      </x:c>
      <x:c r="N28" s="1">
        <x:v>128</x:v>
      </x:c>
      <x:c r="O28" s="1" t="s">
        <x:v>1052</x:v>
      </x:c>
      <x:c r="P28" s="42" t="str">
        <x:v>Lv1~10</x:v>
      </x:c>
      <x:c r="Q28" s="42" t="str">
        <x:v>0</x:v>
      </x:c>
      <x:c r="R28" s="42" t="str">
        <x:v>2~3</x:v>
      </x:c>
      <x:c r="S28" s="42" t="str">
        <x:v>기본 지급으로 무난</x:v>
      </x:c>
      <x:c r="T28" s="42" t="n">
        <x:v>12</x:v>
      </x:c>
      <x:c r="U28" s="42" t="n">
        <x:v>312</x:v>
      </x:c>
      <x:c r="V28" s="42" t="n">
        <x:v>300</x:v>
      </x:c>
      <x:c r="W28" s="42" t="n">
        <x:v>30</x:v>
      </x:c>
      <x:c r="X28" s="42" t="n">
        <x:v>90</x:v>
      </x:c>
      <x:c r="Y28" s="42" t="str"/>
    </x:row>
    <x:row r="29">
      <x:c r="A29" s="1">
        <x:v>3</x:v>
      </x:c>
      <x:c r="B29" s="1" t="s">
        <x:v>501</x:v>
      </x:c>
      <x:c r="C29" s="1" t="s">
        <x:v>212</x:v>
      </x:c>
      <x:c r="D29" s="1">
        <x:v>3</x:v>
      </x:c>
      <x:c r="E29" s="1">
        <x:v>2</x:v>
      </x:c>
      <x:c r="F29" s="1">
        <x:v>8</x:v>
      </x:c>
      <x:c r="G29" s="1" t="s">
        <x:v>1042</x:v>
      </x:c>
      <x:c r="H29" s="1">
        <x:v>28</x:v>
      </x:c>
      <x:c r="I29" s="1">
        <x:v>16</x:v>
      </x:c>
      <x:c r="J29" s="1">
        <x:v>0.9</x:v>
      </x:c>
      <x:c r="K29" s="1" t="s">
        <x:v>1063</x:v>
      </x:c>
      <x:c r="L29" s="1">
        <x:v>1.34</x:v>
      </x:c>
      <x:c r="M29" s="1">
        <x:v>1.25</x:v>
      </x:c>
      <x:c r="N29" s="1">
        <x:v>128</x:v>
      </x:c>
      <x:c r="O29" s="1" t="s">
        <x:v>1052</x:v>
      </x:c>
      <x:c r="P29" s="42" t="str">
        <x:v>Lv1~10</x:v>
      </x:c>
      <x:c r="Q29" s="42" t="str">
        <x:v>0</x:v>
      </x:c>
      <x:c r="R29" s="42" t="str">
        <x:v>2~3</x:v>
      </x:c>
      <x:c r="S29" s="42" t="str">
        <x:v>기본 지급으로 무난</x:v>
      </x:c>
      <x:c r="T29" s="42" t="n">
        <x:v>12</x:v>
      </x:c>
      <x:c r="U29" s="42" t="n">
        <x:v>336</x:v>
      </x:c>
      <x:c r="V29" s="42" t="n">
        <x:v>400</x:v>
      </x:c>
      <x:c r="W29" s="42" t="n">
        <x:v>40</x:v>
      </x:c>
      <x:c r="X29" s="42" t="n">
        <x:v>120</x:v>
      </x:c>
      <x:c r="Y29" s="42" t="str"/>
    </x:row>
    <x:row r="30">
      <x:c r="A30" s="1">
        <x:v>3</x:v>
      </x:c>
      <x:c r="B30" s="1" t="s">
        <x:v>501</x:v>
      </x:c>
      <x:c r="C30" s="1" t="s">
        <x:v>212</x:v>
      </x:c>
      <x:c r="D30" s="1">
        <x:v>3</x:v>
      </x:c>
      <x:c r="E30" s="1">
        <x:v>2</x:v>
      </x:c>
      <x:c r="F30" s="1">
        <x:v>9</x:v>
      </x:c>
      <x:c r="G30" s="1" t="s">
        <x:v>1042</x:v>
      </x:c>
      <x:c r="H30" s="1">
        <x:v>30</x:v>
      </x:c>
      <x:c r="I30" s="1">
        <x:v>17</x:v>
      </x:c>
      <x:c r="J30" s="1">
        <x:v>0.87</x:v>
      </x:c>
      <x:c r="K30" s="1" t="s">
        <x:v>1063</x:v>
      </x:c>
      <x:c r="L30" s="1">
        <x:v>1.37</x:v>
      </x:c>
      <x:c r="M30" s="1">
        <x:v>1.27</x:v>
      </x:c>
      <x:c r="N30" s="1">
        <x:v>128</x:v>
      </x:c>
      <x:c r="O30" s="1" t="s">
        <x:v>1056</x:v>
      </x:c>
      <x:c r="P30" s="42" t="str">
        <x:v>Lv1~10</x:v>
      </x:c>
      <x:c r="Q30" s="42" t="str">
        <x:v>0</x:v>
      </x:c>
      <x:c r="R30" s="42" t="str">
        <x:v>2~3</x:v>
      </x:c>
      <x:c r="S30" s="42" t="str">
        <x:v>기본 지급으로 무난</x:v>
      </x:c>
      <x:c r="T30" s="42" t="n">
        <x:v>12</x:v>
      </x:c>
      <x:c r="U30" s="42" t="n">
        <x:v>360</x:v>
      </x:c>
      <x:c r="V30" s="42" t="n">
        <x:v>500</x:v>
      </x:c>
      <x:c r="W30" s="42" t="n">
        <x:v>50</x:v>
      </x:c>
      <x:c r="X30" s="42" t="n">
        <x:v>150</x:v>
      </x:c>
      <x:c r="Y30" s="42" t="str"/>
    </x:row>
    <x:row r="31">
      <x:c r="A31" s="1">
        <x:v>3</x:v>
      </x:c>
      <x:c r="B31" s="1" t="s">
        <x:v>501</x:v>
      </x:c>
      <x:c r="C31" s="1" t="s">
        <x:v>212</x:v>
      </x:c>
      <x:c r="D31" s="1">
        <x:v>3</x:v>
      </x:c>
      <x:c r="E31" s="1">
        <x:v>2</x:v>
      </x:c>
      <x:c r="F31" s="1">
        <x:v>10</x:v>
      </x:c>
      <x:c r="G31" s="1" t="s">
        <x:v>1057</x:v>
      </x:c>
      <x:c r="H31" s="1">
        <x:v>22</x:v>
      </x:c>
      <x:c r="I31" s="1">
        <x:v>19</x:v>
      </x:c>
      <x:c r="J31" s="1">
        <x:v>0.83</x:v>
      </x:c>
      <x:c r="K31" s="1" t="s">
        <x:v>1066</x:v>
      </x:c>
      <x:c r="L31" s="1">
        <x:v>1.41</x:v>
      </x:c>
      <x:c r="M31" s="1">
        <x:v>1.3</x:v>
      </x:c>
      <x:c r="N31" s="1">
        <x:v>128</x:v>
      </x:c>
      <x:c r="O31" s="1" t="s">
        <x:v>1059</x:v>
      </x:c>
      <x:c r="P31" s="42" t="str">
        <x:v>Lv1~10</x:v>
      </x:c>
      <x:c r="Q31" s="42" t="str">
        <x:v>0</x:v>
      </x:c>
      <x:c r="R31" s="42" t="str">
        <x:v>2~3</x:v>
      </x:c>
      <x:c r="S31" s="42" t="str">
        <x:v>기본 지급으로 무난</x:v>
      </x:c>
      <x:c r="T31" s="42" t="n">
        <x:v>12</x:v>
      </x:c>
      <x:c r="U31" s="42" t="n">
        <x:v>252</x:v>
      </x:c>
      <x:c r="V31" s="42" t="n">
        <x:v>0</x:v>
      </x:c>
      <x:c r="W31" s="42" t="n">
        <x:v>0</x:v>
      </x:c>
      <x:c r="X31" s="42" t="n">
        <x:v>0</x:v>
      </x:c>
      <x:c r="Y31" s="42" t="str">
        <x:v>보스 처치 보상은 로비 보상으로 분리</x:v>
      </x:c>
    </x:row>
    <x:row r="32">
      <x:c r="A32" s="1">
        <x:v>4</x:v>
      </x:c>
      <x:c r="B32" s="1" t="s">
        <x:v>501</x:v>
      </x:c>
      <x:c r="C32" s="1" t="s">
        <x:v>212</x:v>
      </x:c>
      <x:c r="D32" s="1">
        <x:v>4</x:v>
      </x:c>
      <x:c r="E32" s="1">
        <x:v>2</x:v>
      </x:c>
      <x:c r="F32" s="1">
        <x:v>1</x:v>
      </x:c>
      <x:c r="G32" s="1" t="s">
        <x:v>1042</x:v>
      </x:c>
      <x:c r="H32" s="1">
        <x:v>14</x:v>
      </x:c>
      <x:c r="I32" s="1">
        <x:v>10</x:v>
      </x:c>
      <x:c r="J32" s="1">
        <x:v>1.1399999999999999</x:v>
      </x:c>
      <x:c r="K32" s="1" t="s">
        <x:v>1067</x:v>
      </x:c>
      <x:c r="L32" s="1">
        <x:v>1.1399999999999999</x:v>
      </x:c>
      <x:c r="M32" s="1">
        <x:v>1.1000000000000001</x:v>
      </x:c>
      <x:c r="N32" s="1">
        <x:v>144</x:v>
      </x:c>
      <x:c r="O32" s="1" t="s">
        <x:v>1044</x:v>
      </x:c>
      <x:c r="P32" s="42" t="str">
        <x:v>Lv1~10</x:v>
      </x:c>
      <x:c r="Q32" s="42" t="str">
        <x:v>0</x:v>
      </x:c>
      <x:c r="R32" s="42" t="str">
        <x:v>2~3</x:v>
      </x:c>
      <x:c r="S32" s="42" t="str">
        <x:v>기본 지급으로 무난</x:v>
      </x:c>
      <x:c r="T32" s="42" t="n">
        <x:v>12</x:v>
      </x:c>
      <x:c r="U32" s="42" t="n">
        <x:v>168</x:v>
      </x:c>
      <x:c r="V32" s="42" t="n">
        <x:v>100</x:v>
      </x:c>
      <x:c r="W32" s="42" t="n">
        <x:v>10</x:v>
      </x:c>
      <x:c r="X32" s="42" t="n">
        <x:v>30</x:v>
      </x:c>
      <x:c r="Y32" s="42" t="str"/>
    </x:row>
    <x:row r="33">
      <x:c r="A33" s="1">
        <x:v>4</x:v>
      </x:c>
      <x:c r="B33" s="1" t="s">
        <x:v>501</x:v>
      </x:c>
      <x:c r="C33" s="1" t="s">
        <x:v>212</x:v>
      </x:c>
      <x:c r="D33" s="1">
        <x:v>4</x:v>
      </x:c>
      <x:c r="E33" s="1">
        <x:v>2</x:v>
      </x:c>
      <x:c r="F33" s="1">
        <x:v>2</x:v>
      </x:c>
      <x:c r="G33" s="1" t="s">
        <x:v>1042</x:v>
      </x:c>
      <x:c r="H33" s="1">
        <x:v>16</x:v>
      </x:c>
      <x:c r="I33" s="1">
        <x:v>10</x:v>
      </x:c>
      <x:c r="J33" s="1">
        <x:v>1.1000000000000001</x:v>
      </x:c>
      <x:c r="K33" s="1" t="s">
        <x:v>1045</x:v>
      </x:c>
      <x:c r="L33" s="1">
        <x:v>1.17</x:v>
      </x:c>
      <x:c r="M33" s="1">
        <x:v>1.1299999999999999</x:v>
      </x:c>
      <x:c r="N33" s="1">
        <x:v>144</x:v>
      </x:c>
      <x:c r="O33" s="1" t="s">
        <x:v>1044</x:v>
      </x:c>
      <x:c r="P33" s="42" t="str">
        <x:v>Lv1~10</x:v>
      </x:c>
      <x:c r="Q33" s="42" t="str">
        <x:v>0</x:v>
      </x:c>
      <x:c r="R33" s="42" t="str">
        <x:v>2~3</x:v>
      </x:c>
      <x:c r="S33" s="42" t="str">
        <x:v>기본 지급으로 무난</x:v>
      </x:c>
      <x:c r="T33" s="42" t="n">
        <x:v>12</x:v>
      </x:c>
      <x:c r="U33" s="42" t="n">
        <x:v>192</x:v>
      </x:c>
      <x:c r="V33" s="42" t="n">
        <x:v>120</x:v>
      </x:c>
      <x:c r="W33" s="42" t="n">
        <x:v>12</x:v>
      </x:c>
      <x:c r="X33" s="42" t="n">
        <x:v>36</x:v>
      </x:c>
      <x:c r="Y33" s="42" t="str"/>
    </x:row>
    <x:row r="34">
      <x:c r="A34" s="1">
        <x:v>4</x:v>
      </x:c>
      <x:c r="B34" s="1" t="s">
        <x:v>501</x:v>
      </x:c>
      <x:c r="C34" s="1" t="s">
        <x:v>212</x:v>
      </x:c>
      <x:c r="D34" s="1">
        <x:v>4</x:v>
      </x:c>
      <x:c r="E34" s="1">
        <x:v>2</x:v>
      </x:c>
      <x:c r="F34" s="1">
        <x:v>3</x:v>
      </x:c>
      <x:c r="G34" s="1" t="s">
        <x:v>1042</x:v>
      </x:c>
      <x:c r="H34" s="1">
        <x:v>18</x:v>
      </x:c>
      <x:c r="I34" s="1">
        <x:v>10</x:v>
      </x:c>
      <x:c r="J34" s="1">
        <x:v>1.07</x:v>
      </x:c>
      <x:c r="K34" s="1" t="s">
        <x:v>1045</x:v>
      </x:c>
      <x:c r="L34" s="1">
        <x:v>1.21</x:v>
      </x:c>
      <x:c r="M34" s="1">
        <x:v>1.1599999999999999</x:v>
      </x:c>
      <x:c r="N34" s="1">
        <x:v>144</x:v>
      </x:c>
      <x:c r="O34" s="1" t="s">
        <x:v>1044</x:v>
      </x:c>
      <x:c r="P34" s="42" t="str">
        <x:v>Lv1~10</x:v>
      </x:c>
      <x:c r="Q34" s="42" t="str">
        <x:v>0</x:v>
      </x:c>
      <x:c r="R34" s="42" t="str">
        <x:v>2~3</x:v>
      </x:c>
      <x:c r="S34" s="42" t="str">
        <x:v>기본 지급으로 무난</x:v>
      </x:c>
      <x:c r="T34" s="42" t="n">
        <x:v>12</x:v>
      </x:c>
      <x:c r="U34" s="42" t="n">
        <x:v>216</x:v>
      </x:c>
      <x:c r="V34" s="42" t="n">
        <x:v>150</x:v>
      </x:c>
      <x:c r="W34" s="42" t="n">
        <x:v>15</x:v>
      </x:c>
      <x:c r="X34" s="42" t="n">
        <x:v>45</x:v>
      </x:c>
      <x:c r="Y34" s="42" t="str"/>
    </x:row>
    <x:row r="35">
      <x:c r="A35" s="1">
        <x:v>4</x:v>
      </x:c>
      <x:c r="B35" s="1" t="s">
        <x:v>501</x:v>
      </x:c>
      <x:c r="C35" s="1" t="s">
        <x:v>212</x:v>
      </x:c>
      <x:c r="D35" s="1">
        <x:v>4</x:v>
      </x:c>
      <x:c r="E35" s="1">
        <x:v>2</x:v>
      </x:c>
      <x:c r="F35" s="1">
        <x:v>4</x:v>
      </x:c>
      <x:c r="G35" s="1" t="s">
        <x:v>1042</x:v>
      </x:c>
      <x:c r="H35" s="1">
        <x:v>20</x:v>
      </x:c>
      <x:c r="I35" s="1">
        <x:v>12</x:v>
      </x:c>
      <x:c r="J35" s="1">
        <x:v>1.03</x:v>
      </x:c>
      <x:c r="K35" s="1" t="s">
        <x:v>1046</x:v>
      </x:c>
      <x:c r="L35" s="1">
        <x:v>1.24</x:v>
      </x:c>
      <x:c r="M35" s="1">
        <x:v>1.18</x:v>
      </x:c>
      <x:c r="N35" s="1">
        <x:v>144</x:v>
      </x:c>
      <x:c r="O35" s="1" t="s">
        <x:v>1047</x:v>
      </x:c>
      <x:c r="P35" s="42" t="str">
        <x:v>Lv1~10</x:v>
      </x:c>
      <x:c r="Q35" s="42" t="str">
        <x:v>0</x:v>
      </x:c>
      <x:c r="R35" s="42" t="str">
        <x:v>2~3</x:v>
      </x:c>
      <x:c r="S35" s="42" t="str">
        <x:v>기본 지급으로 무난</x:v>
      </x:c>
      <x:c r="T35" s="42" t="n">
        <x:v>12</x:v>
      </x:c>
      <x:c r="U35" s="42" t="n">
        <x:v>240</x:v>
      </x:c>
      <x:c r="V35" s="42" t="n">
        <x:v>180</x:v>
      </x:c>
      <x:c r="W35" s="42" t="n">
        <x:v>18</x:v>
      </x:c>
      <x:c r="X35" s="42" t="n">
        <x:v>54</x:v>
      </x:c>
      <x:c r="Y35" s="42" t="str"/>
    </x:row>
    <x:row r="36">
      <x:c r="A36" s="1">
        <x:v>4</x:v>
      </x:c>
      <x:c r="B36" s="1" t="s">
        <x:v>501</x:v>
      </x:c>
      <x:c r="C36" s="1" t="s">
        <x:v>212</x:v>
      </x:c>
      <x:c r="D36" s="1">
        <x:v>4</x:v>
      </x:c>
      <x:c r="E36" s="1">
        <x:v>2</x:v>
      </x:c>
      <x:c r="F36" s="1">
        <x:v>5</x:v>
      </x:c>
      <x:c r="G36" s="1" t="s">
        <x:v>1048</x:v>
      </x:c>
      <x:c r="H36" s="1">
        <x:v>14</x:v>
      </x:c>
      <x:c r="I36" s="1">
        <x:v>13</x:v>
      </x:c>
      <x:c r="J36" s="1">
        <x:v>1</x:v>
      </x:c>
      <x:c r="K36" s="1" t="s">
        <x:v>1065</x:v>
      </x:c>
      <x:c r="L36" s="1">
        <x:v>1.27</x:v>
      </x:c>
      <x:c r="M36" s="1">
        <x:v>1.21</x:v>
      </x:c>
      <x:c r="N36" s="1">
        <x:v>144</x:v>
      </x:c>
      <x:c r="O36" s="1" t="s">
        <x:v>1050</x:v>
      </x:c>
      <x:c r="P36" s="42" t="str">
        <x:v>Lv1~10</x:v>
      </x:c>
      <x:c r="Q36" s="42" t="str">
        <x:v>0</x:v>
      </x:c>
      <x:c r="R36" s="42" t="str">
        <x:v>2~3</x:v>
      </x:c>
      <x:c r="S36" s="42" t="str">
        <x:v>기본 지급으로 무난</x:v>
      </x:c>
      <x:c r="T36" s="42" t="n">
        <x:v>12</x:v>
      </x:c>
      <x:c r="U36" s="42" t="n">
        <x:v>344</x:v>
      </x:c>
      <x:c r="V36" s="42" t="n">
        <x:v>300</x:v>
      </x:c>
      <x:c r="W36" s="42" t="n">
        <x:v>30</x:v>
      </x:c>
      <x:c r="X36" s="42" t="n">
        <x:v>90</x:v>
      </x:c>
      <x:c r="Y36" s="42" t="str">
        <x:v>중간보스 현상금 포함</x:v>
      </x:c>
    </x:row>
    <x:row r="37">
      <x:c r="A37" s="1">
        <x:v>4</x:v>
      </x:c>
      <x:c r="B37" s="1" t="s">
        <x:v>501</x:v>
      </x:c>
      <x:c r="C37" s="1" t="s">
        <x:v>212</x:v>
      </x:c>
      <x:c r="D37" s="1">
        <x:v>4</x:v>
      </x:c>
      <x:c r="E37" s="1">
        <x:v>2</x:v>
      </x:c>
      <x:c r="F37" s="1">
        <x:v>6</x:v>
      </x:c>
      <x:c r="G37" s="1" t="s">
        <x:v>1042</x:v>
      </x:c>
      <x:c r="H37" s="1">
        <x:v>24</x:v>
      </x:c>
      <x:c r="I37" s="1">
        <x:v>14</x:v>
      </x:c>
      <x:c r="J37" s="1">
        <x:v>0.96</x:v>
      </x:c>
      <x:c r="K37" s="1" t="s">
        <x:v>1051</x:v>
      </x:c>
      <x:c r="L37" s="1">
        <x:v>1.31</x:v>
      </x:c>
      <x:c r="M37" s="1">
        <x:v>1.23</x:v>
      </x:c>
      <x:c r="N37" s="1">
        <x:v>144</x:v>
      </x:c>
      <x:c r="O37" s="1" t="s">
        <x:v>1052</x:v>
      </x:c>
      <x:c r="P37" s="42" t="str">
        <x:v>Lv1~10</x:v>
      </x:c>
      <x:c r="Q37" s="42" t="str">
        <x:v>0</x:v>
      </x:c>
      <x:c r="R37" s="42" t="str">
        <x:v>2~3</x:v>
      </x:c>
      <x:c r="S37" s="42" t="str">
        <x:v>기본 지급으로 무난</x:v>
      </x:c>
      <x:c r="T37" s="42" t="n">
        <x:v>12</x:v>
      </x:c>
      <x:c r="U37" s="42" t="n">
        <x:v>288</x:v>
      </x:c>
      <x:c r="V37" s="42" t="n">
        <x:v>220</x:v>
      </x:c>
      <x:c r="W37" s="42" t="n">
        <x:v>22</x:v>
      </x:c>
      <x:c r="X37" s="42" t="n">
        <x:v>66</x:v>
      </x:c>
      <x:c r="Y37" s="42" t="str"/>
    </x:row>
    <x:row r="38">
      <x:c r="A38" s="1">
        <x:v>4</x:v>
      </x:c>
      <x:c r="B38" s="1" t="s">
        <x:v>501</x:v>
      </x:c>
      <x:c r="C38" s="1" t="s">
        <x:v>212</x:v>
      </x:c>
      <x:c r="D38" s="1">
        <x:v>4</x:v>
      </x:c>
      <x:c r="E38" s="1">
        <x:v>2</x:v>
      </x:c>
      <x:c r="F38" s="1">
        <x:v>7</x:v>
      </x:c>
      <x:c r="G38" s="1" t="s">
        <x:v>1042</x:v>
      </x:c>
      <x:c r="H38" s="1">
        <x:v>26</x:v>
      </x:c>
      <x:c r="I38" s="1">
        <x:v>15</x:v>
      </x:c>
      <x:c r="J38" s="1">
        <x:v>0.93</x:v>
      </x:c>
      <x:c r="K38" s="1" t="s">
        <x:v>1062</x:v>
      </x:c>
      <x:c r="L38" s="1">
        <x:v>1.34</x:v>
      </x:c>
      <x:c r="M38" s="1">
        <x:v>1.25</x:v>
      </x:c>
      <x:c r="N38" s="1">
        <x:v>144</x:v>
      </x:c>
      <x:c r="O38" s="1" t="s">
        <x:v>1052</x:v>
      </x:c>
      <x:c r="P38" s="42" t="str">
        <x:v>Lv1~10</x:v>
      </x:c>
      <x:c r="Q38" s="42" t="str">
        <x:v>0</x:v>
      </x:c>
      <x:c r="R38" s="42" t="str">
        <x:v>2~3</x:v>
      </x:c>
      <x:c r="S38" s="42" t="str">
        <x:v>기본 지급으로 무난</x:v>
      </x:c>
      <x:c r="T38" s="42" t="n">
        <x:v>12</x:v>
      </x:c>
      <x:c r="U38" s="42" t="n">
        <x:v>312</x:v>
      </x:c>
      <x:c r="V38" s="42" t="n">
        <x:v>300</x:v>
      </x:c>
      <x:c r="W38" s="42" t="n">
        <x:v>30</x:v>
      </x:c>
      <x:c r="X38" s="42" t="n">
        <x:v>90</x:v>
      </x:c>
      <x:c r="Y38" s="42" t="str"/>
    </x:row>
    <x:row r="39">
      <x:c r="A39" s="1">
        <x:v>4</x:v>
      </x:c>
      <x:c r="B39" s="1" t="s">
        <x:v>501</x:v>
      </x:c>
      <x:c r="C39" s="1" t="s">
        <x:v>212</x:v>
      </x:c>
      <x:c r="D39" s="1">
        <x:v>4</x:v>
      </x:c>
      <x:c r="E39" s="1">
        <x:v>2</x:v>
      </x:c>
      <x:c r="F39" s="1">
        <x:v>8</x:v>
      </x:c>
      <x:c r="G39" s="1" t="s">
        <x:v>1042</x:v>
      </x:c>
      <x:c r="H39" s="1">
        <x:v>28</x:v>
      </x:c>
      <x:c r="I39" s="1">
        <x:v>16</x:v>
      </x:c>
      <x:c r="J39" s="1">
        <x:v>0.89</x:v>
      </x:c>
      <x:c r="K39" s="1" t="s">
        <x:v>1063</x:v>
      </x:c>
      <x:c r="L39" s="1">
        <x:v>1.38</x:v>
      </x:c>
      <x:c r="M39" s="1">
        <x:v>1.28</x:v>
      </x:c>
      <x:c r="N39" s="1">
        <x:v>144</x:v>
      </x:c>
      <x:c r="O39" s="1" t="s">
        <x:v>1052</x:v>
      </x:c>
      <x:c r="P39" s="42" t="str">
        <x:v>Lv1~10</x:v>
      </x:c>
      <x:c r="Q39" s="42" t="str">
        <x:v>0</x:v>
      </x:c>
      <x:c r="R39" s="42" t="str">
        <x:v>2~3</x:v>
      </x:c>
      <x:c r="S39" s="42" t="str">
        <x:v>기본 지급으로 무난</x:v>
      </x:c>
      <x:c r="T39" s="42" t="n">
        <x:v>12</x:v>
      </x:c>
      <x:c r="U39" s="42" t="n">
        <x:v>336</x:v>
      </x:c>
      <x:c r="V39" s="42" t="n">
        <x:v>400</x:v>
      </x:c>
      <x:c r="W39" s="42" t="n">
        <x:v>40</x:v>
      </x:c>
      <x:c r="X39" s="42" t="n">
        <x:v>120</x:v>
      </x:c>
      <x:c r="Y39" s="42" t="str"/>
    </x:row>
    <x:row r="40">
      <x:c r="A40" s="1">
        <x:v>4</x:v>
      </x:c>
      <x:c r="B40" s="1" t="s">
        <x:v>501</x:v>
      </x:c>
      <x:c r="C40" s="1" t="s">
        <x:v>212</x:v>
      </x:c>
      <x:c r="D40" s="1">
        <x:v>4</x:v>
      </x:c>
      <x:c r="E40" s="1">
        <x:v>2</x:v>
      </x:c>
      <x:c r="F40" s="1">
        <x:v>9</x:v>
      </x:c>
      <x:c r="G40" s="1" t="s">
        <x:v>1042</x:v>
      </x:c>
      <x:c r="H40" s="1">
        <x:v>30</x:v>
      </x:c>
      <x:c r="I40" s="1">
        <x:v>17</x:v>
      </x:c>
      <x:c r="J40" s="1">
        <x:v>0.86</x:v>
      </x:c>
      <x:c r="K40" s="1" t="s">
        <x:v>1063</x:v>
      </x:c>
      <x:c r="L40" s="1">
        <x:v>1.42</x:v>
      </x:c>
      <x:c r="M40" s="1">
        <x:v>1.3</x:v>
      </x:c>
      <x:c r="N40" s="1">
        <x:v>144</x:v>
      </x:c>
      <x:c r="O40" s="1" t="s">
        <x:v>1056</x:v>
      </x:c>
      <x:c r="P40" s="42" t="str">
        <x:v>Lv1~10</x:v>
      </x:c>
      <x:c r="Q40" s="42" t="str">
        <x:v>0</x:v>
      </x:c>
      <x:c r="R40" s="42" t="str">
        <x:v>2~3</x:v>
      </x:c>
      <x:c r="S40" s="42" t="str">
        <x:v>기본 지급으로 무난</x:v>
      </x:c>
      <x:c r="T40" s="42" t="n">
        <x:v>12</x:v>
      </x:c>
      <x:c r="U40" s="42" t="n">
        <x:v>360</x:v>
      </x:c>
      <x:c r="V40" s="42" t="n">
        <x:v>500</x:v>
      </x:c>
      <x:c r="W40" s="42" t="n">
        <x:v>50</x:v>
      </x:c>
      <x:c r="X40" s="42" t="n">
        <x:v>150</x:v>
      </x:c>
      <x:c r="Y40" s="42" t="str"/>
    </x:row>
    <x:row r="41">
      <x:c r="A41" s="1">
        <x:v>4</x:v>
      </x:c>
      <x:c r="B41" s="1" t="s">
        <x:v>501</x:v>
      </x:c>
      <x:c r="C41" s="1" t="s">
        <x:v>212</x:v>
      </x:c>
      <x:c r="D41" s="1">
        <x:v>4</x:v>
      </x:c>
      <x:c r="E41" s="1">
        <x:v>2</x:v>
      </x:c>
      <x:c r="F41" s="1">
        <x:v>10</x:v>
      </x:c>
      <x:c r="G41" s="1" t="s">
        <x:v>1057</x:v>
      </x:c>
      <x:c r="H41" s="1">
        <x:v>22</x:v>
      </x:c>
      <x:c r="I41" s="1">
        <x:v>19</x:v>
      </x:c>
      <x:c r="J41" s="1">
        <x:v>0.82</x:v>
      </x:c>
      <x:c r="K41" s="1" t="s">
        <x:v>1068</x:v>
      </x:c>
      <x:c r="L41" s="1">
        <x:v>1.45</x:v>
      </x:c>
      <x:c r="M41" s="1">
        <x:v>1.33</x:v>
      </x:c>
      <x:c r="N41" s="1">
        <x:v>144</x:v>
      </x:c>
      <x:c r="O41" s="1" t="s">
        <x:v>1059</x:v>
      </x:c>
      <x:c r="P41" s="42" t="str">
        <x:v>Lv1~10</x:v>
      </x:c>
      <x:c r="Q41" s="42" t="str">
        <x:v>0</x:v>
      </x:c>
      <x:c r="R41" s="42" t="str">
        <x:v>2~3</x:v>
      </x:c>
      <x:c r="S41" s="42" t="str">
        <x:v>기본 지급으로 무난</x:v>
      </x:c>
      <x:c r="T41" s="42" t="n">
        <x:v>12</x:v>
      </x:c>
      <x:c r="U41" s="42" t="n">
        <x:v>252</x:v>
      </x:c>
      <x:c r="V41" s="42" t="n">
        <x:v>0</x:v>
      </x:c>
      <x:c r="W41" s="42" t="n">
        <x:v>0</x:v>
      </x:c>
      <x:c r="X41" s="42" t="n">
        <x:v>0</x:v>
      </x:c>
      <x:c r="Y41" s="42" t="str">
        <x:v>보스 처치 보상은 로비 보상으로 분리</x:v>
      </x:c>
    </x:row>
    <x:row r="42">
      <x:c r="A42" s="1">
        <x:v>5</x:v>
      </x:c>
      <x:c r="B42" s="1" t="s">
        <x:v>501</x:v>
      </x:c>
      <x:c r="C42" s="1" t="s">
        <x:v>212</x:v>
      </x:c>
      <x:c r="D42" s="1">
        <x:v>5</x:v>
      </x:c>
      <x:c r="E42" s="1">
        <x:v>3</x:v>
      </x:c>
      <x:c r="F42" s="1">
        <x:v>1</x:v>
      </x:c>
      <x:c r="G42" s="1" t="s">
        <x:v>1042</x:v>
      </x:c>
      <x:c r="H42" s="1">
        <x:v>16</x:v>
      </x:c>
      <x:c r="I42" s="1">
        <x:v>10</x:v>
      </x:c>
      <x:c r="J42" s="1">
        <x:v>1.1200000000000001</x:v>
      </x:c>
      <x:c r="K42" s="1" t="s">
        <x:v>1069</x:v>
      </x:c>
      <x:c r="L42" s="1">
        <x:v>1.18</x:v>
      </x:c>
      <x:c r="M42" s="1">
        <x:v>1.1399999999999999</x:v>
      </x:c>
      <x:c r="N42" s="1">
        <x:v>163</x:v>
      </x:c>
      <x:c r="O42" s="1" t="s">
        <x:v>1044</x:v>
      </x:c>
      <x:c r="P42" s="42" t="str">
        <x:v>Lv1~10</x:v>
      </x:c>
      <x:c r="Q42" s="42" t="str">
        <x:v>0</x:v>
      </x:c>
      <x:c r="R42" s="42" t="str">
        <x:v>2~3</x:v>
      </x:c>
      <x:c r="S42" s="42" t="str">
        <x:v>기본 지급으로 무난</x:v>
      </x:c>
      <x:c r="T42" s="42" t="n">
        <x:v>12</x:v>
      </x:c>
      <x:c r="U42" s="42" t="n">
        <x:v>192</x:v>
      </x:c>
      <x:c r="V42" s="42" t="n">
        <x:v>100</x:v>
      </x:c>
      <x:c r="W42" s="42" t="n">
        <x:v>10</x:v>
      </x:c>
      <x:c r="X42" s="42" t="n">
        <x:v>30</x:v>
      </x:c>
      <x:c r="Y42" s="42" t="str"/>
    </x:row>
    <x:row r="43">
      <x:c r="A43" s="1">
        <x:v>5</x:v>
      </x:c>
      <x:c r="B43" s="1" t="s">
        <x:v>501</x:v>
      </x:c>
      <x:c r="C43" s="1" t="s">
        <x:v>212</x:v>
      </x:c>
      <x:c r="D43" s="1">
        <x:v>5</x:v>
      </x:c>
      <x:c r="E43" s="1">
        <x:v>3</x:v>
      </x:c>
      <x:c r="F43" s="1">
        <x:v>2</x:v>
      </x:c>
      <x:c r="G43" s="1" t="s">
        <x:v>1042</x:v>
      </x:c>
      <x:c r="H43" s="1">
        <x:v>18</x:v>
      </x:c>
      <x:c r="I43" s="1">
        <x:v>10</x:v>
      </x:c>
      <x:c r="J43" s="1">
        <x:v>1.0900000000000001</x:v>
      </x:c>
      <x:c r="K43" s="1" t="s">
        <x:v>1045</x:v>
      </x:c>
      <x:c r="L43" s="1">
        <x:v>1.21</x:v>
      </x:c>
      <x:c r="M43" s="1">
        <x:v>1.17</x:v>
      </x:c>
      <x:c r="N43" s="1">
        <x:v>163</x:v>
      </x:c>
      <x:c r="O43" s="1" t="s">
        <x:v>1044</x:v>
      </x:c>
      <x:c r="P43" s="42" t="str">
        <x:v>Lv1~10</x:v>
      </x:c>
      <x:c r="Q43" s="42" t="str">
        <x:v>0</x:v>
      </x:c>
      <x:c r="R43" s="42" t="str">
        <x:v>2~3</x:v>
      </x:c>
      <x:c r="S43" s="42" t="str">
        <x:v>기본 지급으로 무난</x:v>
      </x:c>
      <x:c r="T43" s="42" t="n">
        <x:v>12</x:v>
      </x:c>
      <x:c r="U43" s="42" t="n">
        <x:v>216</x:v>
      </x:c>
      <x:c r="V43" s="42" t="n">
        <x:v>120</x:v>
      </x:c>
      <x:c r="W43" s="42" t="n">
        <x:v>12</x:v>
      </x:c>
      <x:c r="X43" s="42" t="n">
        <x:v>36</x:v>
      </x:c>
      <x:c r="Y43" s="42" t="str"/>
    </x:row>
    <x:row r="44">
      <x:c r="A44" s="1">
        <x:v>5</x:v>
      </x:c>
      <x:c r="B44" s="1" t="s">
        <x:v>501</x:v>
      </x:c>
      <x:c r="C44" s="1" t="s">
        <x:v>212</x:v>
      </x:c>
      <x:c r="D44" s="1">
        <x:v>5</x:v>
      </x:c>
      <x:c r="E44" s="1">
        <x:v>3</x:v>
      </x:c>
      <x:c r="F44" s="1">
        <x:v>3</x:v>
      </x:c>
      <x:c r="G44" s="1" t="s">
        <x:v>1042</x:v>
      </x:c>
      <x:c r="H44" s="1">
        <x:v>20</x:v>
      </x:c>
      <x:c r="I44" s="1">
        <x:v>12</x:v>
      </x:c>
      <x:c r="J44" s="1">
        <x:v>1.05</x:v>
      </x:c>
      <x:c r="K44" s="1" t="s">
        <x:v>1045</x:v>
      </x:c>
      <x:c r="L44" s="1">
        <x:v>1.25</x:v>
      </x:c>
      <x:c r="M44" s="1">
        <x:v>1.19</x:v>
      </x:c>
      <x:c r="N44" s="1">
        <x:v>163</x:v>
      </x:c>
      <x:c r="O44" s="1" t="s">
        <x:v>1044</x:v>
      </x:c>
      <x:c r="P44" s="42" t="str">
        <x:v>Lv1~10</x:v>
      </x:c>
      <x:c r="Q44" s="42" t="str">
        <x:v>0</x:v>
      </x:c>
      <x:c r="R44" s="42" t="str">
        <x:v>2~3</x:v>
      </x:c>
      <x:c r="S44" s="42" t="str">
        <x:v>기본 지급으로 무난</x:v>
      </x:c>
      <x:c r="T44" s="42" t="n">
        <x:v>12</x:v>
      </x:c>
      <x:c r="U44" s="42" t="n">
        <x:v>240</x:v>
      </x:c>
      <x:c r="V44" s="42" t="n">
        <x:v>150</x:v>
      </x:c>
      <x:c r="W44" s="42" t="n">
        <x:v>15</x:v>
      </x:c>
      <x:c r="X44" s="42" t="n">
        <x:v>45</x:v>
      </x:c>
      <x:c r="Y44" s="42" t="str"/>
    </x:row>
    <x:row r="45">
      <x:c r="A45" s="1">
        <x:v>5</x:v>
      </x:c>
      <x:c r="B45" s="1" t="s">
        <x:v>501</x:v>
      </x:c>
      <x:c r="C45" s="1" t="s">
        <x:v>212</x:v>
      </x:c>
      <x:c r="D45" s="1">
        <x:v>5</x:v>
      </x:c>
      <x:c r="E45" s="1">
        <x:v>3</x:v>
      </x:c>
      <x:c r="F45" s="1">
        <x:v>4</x:v>
      </x:c>
      <x:c r="G45" s="1" t="s">
        <x:v>1042</x:v>
      </x:c>
      <x:c r="H45" s="1">
        <x:v>22</x:v>
      </x:c>
      <x:c r="I45" s="1">
        <x:v>13</x:v>
      </x:c>
      <x:c r="J45" s="1">
        <x:v>1.02</x:v>
      </x:c>
      <x:c r="K45" s="1" t="s">
        <x:v>1046</x:v>
      </x:c>
      <x:c r="L45" s="1">
        <x:v>1.28</x:v>
      </x:c>
      <x:c r="M45" s="1">
        <x:v>1.22</x:v>
      </x:c>
      <x:c r="N45" s="1">
        <x:v>163</x:v>
      </x:c>
      <x:c r="O45" s="1" t="s">
        <x:v>1047</x:v>
      </x:c>
      <x:c r="P45" s="42" t="str">
        <x:v>Lv1~10</x:v>
      </x:c>
      <x:c r="Q45" s="42" t="str">
        <x:v>0</x:v>
      </x:c>
      <x:c r="R45" s="42" t="str">
        <x:v>2~3</x:v>
      </x:c>
      <x:c r="S45" s="42" t="str">
        <x:v>기본 지급으로 무난</x:v>
      </x:c>
      <x:c r="T45" s="42" t="n">
        <x:v>12</x:v>
      </x:c>
      <x:c r="U45" s="42" t="n">
        <x:v>264</x:v>
      </x:c>
      <x:c r="V45" s="42" t="n">
        <x:v>180</x:v>
      </x:c>
      <x:c r="W45" s="42" t="n">
        <x:v>18</x:v>
      </x:c>
      <x:c r="X45" s="42" t="n">
        <x:v>54</x:v>
      </x:c>
      <x:c r="Y45" s="42" t="str"/>
    </x:row>
    <x:row r="46">
      <x:c r="A46" s="1">
        <x:v>5</x:v>
      </x:c>
      <x:c r="B46" s="1" t="s">
        <x:v>501</x:v>
      </x:c>
      <x:c r="C46" s="1" t="s">
        <x:v>212</x:v>
      </x:c>
      <x:c r="D46" s="1">
        <x:v>5</x:v>
      </x:c>
      <x:c r="E46" s="1">
        <x:v>3</x:v>
      </x:c>
      <x:c r="F46" s="1">
        <x:v>5</x:v>
      </x:c>
      <x:c r="G46" s="1" t="s">
        <x:v>1048</x:v>
      </x:c>
      <x:c r="H46" s="1">
        <x:v>16</x:v>
      </x:c>
      <x:c r="I46" s="1">
        <x:v>14</x:v>
      </x:c>
      <x:c r="J46" s="1">
        <x:v>0.98</x:v>
      </x:c>
      <x:c r="K46" s="1" t="s">
        <x:v>1070</x:v>
      </x:c>
      <x:c r="L46" s="1">
        <x:v>1.32</x:v>
      </x:c>
      <x:c r="M46" s="1">
        <x:v>1.24</x:v>
      </x:c>
      <x:c r="N46" s="1">
        <x:v>163</x:v>
      </x:c>
      <x:c r="O46" s="1" t="s">
        <x:v>1050</x:v>
      </x:c>
      <x:c r="P46" s="42" t="str">
        <x:v>Lv1~10</x:v>
      </x:c>
      <x:c r="Q46" s="42" t="str">
        <x:v>0</x:v>
      </x:c>
      <x:c r="R46" s="42" t="str">
        <x:v>2~3</x:v>
      </x:c>
      <x:c r="S46" s="42" t="str">
        <x:v>기본 지급으로 무난</x:v>
      </x:c>
      <x:c r="T46" s="42" t="n">
        <x:v>12</x:v>
      </x:c>
      <x:c r="U46" s="42" t="n">
        <x:v>371</x:v>
      </x:c>
      <x:c r="V46" s="42" t="n">
        <x:v>300</x:v>
      </x:c>
      <x:c r="W46" s="42" t="n">
        <x:v>30</x:v>
      </x:c>
      <x:c r="X46" s="42" t="n">
        <x:v>90</x:v>
      </x:c>
      <x:c r="Y46" s="42" t="str">
        <x:v>중간보스 현상금 포함</x:v>
      </x:c>
    </x:row>
    <x:row r="47">
      <x:c r="A47" s="1">
        <x:v>5</x:v>
      </x:c>
      <x:c r="B47" s="1" t="s">
        <x:v>501</x:v>
      </x:c>
      <x:c r="C47" s="1" t="s">
        <x:v>212</x:v>
      </x:c>
      <x:c r="D47" s="1">
        <x:v>5</x:v>
      </x:c>
      <x:c r="E47" s="1">
        <x:v>3</x:v>
      </x:c>
      <x:c r="F47" s="1">
        <x:v>6</x:v>
      </x:c>
      <x:c r="G47" s="1" t="s">
        <x:v>1042</x:v>
      </x:c>
      <x:c r="H47" s="1">
        <x:v>26</x:v>
      </x:c>
      <x:c r="I47" s="1">
        <x:v>15</x:v>
      </x:c>
      <x:c r="J47" s="1">
        <x:v>0.95</x:v>
      </x:c>
      <x:c r="K47" s="1" t="s">
        <x:v>1051</x:v>
      </x:c>
      <x:c r="L47" s="1">
        <x:v>1.35</x:v>
      </x:c>
      <x:c r="M47" s="1">
        <x:v>1.27</x:v>
      </x:c>
      <x:c r="N47" s="1">
        <x:v>163</x:v>
      </x:c>
      <x:c r="O47" s="1" t="s">
        <x:v>1052</x:v>
      </x:c>
      <x:c r="P47" s="42" t="str">
        <x:v>Lv1~10</x:v>
      </x:c>
      <x:c r="Q47" s="42" t="str">
        <x:v>0</x:v>
      </x:c>
      <x:c r="R47" s="42" t="str">
        <x:v>2~3</x:v>
      </x:c>
      <x:c r="S47" s="42" t="str">
        <x:v>기본 지급으로 무난</x:v>
      </x:c>
      <x:c r="T47" s="42" t="n">
        <x:v>12</x:v>
      </x:c>
      <x:c r="U47" s="42" t="n">
        <x:v>312</x:v>
      </x:c>
      <x:c r="V47" s="42" t="n">
        <x:v>220</x:v>
      </x:c>
      <x:c r="W47" s="42" t="n">
        <x:v>22</x:v>
      </x:c>
      <x:c r="X47" s="42" t="n">
        <x:v>66</x:v>
      </x:c>
      <x:c r="Y47" s="42" t="str"/>
    </x:row>
    <x:row r="48">
      <x:c r="A48" s="1">
        <x:v>5</x:v>
      </x:c>
      <x:c r="B48" s="1" t="s">
        <x:v>501</x:v>
      </x:c>
      <x:c r="C48" s="1" t="s">
        <x:v>212</x:v>
      </x:c>
      <x:c r="D48" s="1">
        <x:v>5</x:v>
      </x:c>
      <x:c r="E48" s="1">
        <x:v>3</x:v>
      </x:c>
      <x:c r="F48" s="1">
        <x:v>7</x:v>
      </x:c>
      <x:c r="G48" s="1" t="s">
        <x:v>1042</x:v>
      </x:c>
      <x:c r="H48" s="1">
        <x:v>28</x:v>
      </x:c>
      <x:c r="I48" s="1">
        <x:v>16</x:v>
      </x:c>
      <x:c r="J48" s="1">
        <x:v>0.91</x:v>
      </x:c>
      <x:c r="K48" s="1" t="s">
        <x:v>1062</x:v>
      </x:c>
      <x:c r="L48" s="1">
        <x:v>1.39</x:v>
      </x:c>
      <x:c r="M48" s="1">
        <x:v>1.29</x:v>
      </x:c>
      <x:c r="N48" s="1">
        <x:v>163</x:v>
      </x:c>
      <x:c r="O48" s="1" t="s">
        <x:v>1052</x:v>
      </x:c>
      <x:c r="P48" s="42" t="str">
        <x:v>Lv1~10</x:v>
      </x:c>
      <x:c r="Q48" s="42" t="str">
        <x:v>0</x:v>
      </x:c>
      <x:c r="R48" s="42" t="str">
        <x:v>2~3</x:v>
      </x:c>
      <x:c r="S48" s="42" t="str">
        <x:v>기본 지급으로 무난</x:v>
      </x:c>
      <x:c r="T48" s="42" t="n">
        <x:v>12</x:v>
      </x:c>
      <x:c r="U48" s="42" t="n">
        <x:v>336</x:v>
      </x:c>
      <x:c r="V48" s="42" t="n">
        <x:v>300</x:v>
      </x:c>
      <x:c r="W48" s="42" t="n">
        <x:v>30</x:v>
      </x:c>
      <x:c r="X48" s="42" t="n">
        <x:v>90</x:v>
      </x:c>
      <x:c r="Y48" s="42" t="str"/>
    </x:row>
    <x:row r="49">
      <x:c r="A49" s="1">
        <x:v>5</x:v>
      </x:c>
      <x:c r="B49" s="1" t="s">
        <x:v>501</x:v>
      </x:c>
      <x:c r="C49" s="1" t="s">
        <x:v>212</x:v>
      </x:c>
      <x:c r="D49" s="1">
        <x:v>5</x:v>
      </x:c>
      <x:c r="E49" s="1">
        <x:v>3</x:v>
      </x:c>
      <x:c r="F49" s="1">
        <x:v>8</x:v>
      </x:c>
      <x:c r="G49" s="1" t="s">
        <x:v>1042</x:v>
      </x:c>
      <x:c r="H49" s="1">
        <x:v>30</x:v>
      </x:c>
      <x:c r="I49" s="1">
        <x:v>17</x:v>
      </x:c>
      <x:c r="J49" s="1">
        <x:v>0.88</x:v>
      </x:c>
      <x:c r="K49" s="1" t="s">
        <x:v>1063</x:v>
      </x:c>
      <x:c r="L49" s="1">
        <x:v>1.43</x:v>
      </x:c>
      <x:c r="M49" s="1">
        <x:v>1.32</x:v>
      </x:c>
      <x:c r="N49" s="1">
        <x:v>163</x:v>
      </x:c>
      <x:c r="O49" s="1" t="s">
        <x:v>1052</x:v>
      </x:c>
      <x:c r="P49" s="42" t="str">
        <x:v>Lv1~10</x:v>
      </x:c>
      <x:c r="Q49" s="42" t="str">
        <x:v>0</x:v>
      </x:c>
      <x:c r="R49" s="42" t="str">
        <x:v>2~3</x:v>
      </x:c>
      <x:c r="S49" s="42" t="str">
        <x:v>기본 지급으로 무난</x:v>
      </x:c>
      <x:c r="T49" s="42" t="n">
        <x:v>12</x:v>
      </x:c>
      <x:c r="U49" s="42" t="n">
        <x:v>360</x:v>
      </x:c>
      <x:c r="V49" s="42" t="n">
        <x:v>400</x:v>
      </x:c>
      <x:c r="W49" s="42" t="n">
        <x:v>40</x:v>
      </x:c>
      <x:c r="X49" s="42" t="n">
        <x:v>120</x:v>
      </x:c>
      <x:c r="Y49" s="42" t="str"/>
    </x:row>
    <x:row r="50">
      <x:c r="A50" s="1">
        <x:v>5</x:v>
      </x:c>
      <x:c r="B50" s="1" t="s">
        <x:v>501</x:v>
      </x:c>
      <x:c r="C50" s="1" t="s">
        <x:v>212</x:v>
      </x:c>
      <x:c r="D50" s="1">
        <x:v>5</x:v>
      </x:c>
      <x:c r="E50" s="1">
        <x:v>3</x:v>
      </x:c>
      <x:c r="F50" s="1">
        <x:v>9</x:v>
      </x:c>
      <x:c r="G50" s="1" t="s">
        <x:v>1042</x:v>
      </x:c>
      <x:c r="H50" s="1">
        <x:v>32</x:v>
      </x:c>
      <x:c r="I50" s="1">
        <x:v>19</x:v>
      </x:c>
      <x:c r="J50" s="1">
        <x:v>0.84</x:v>
      </x:c>
      <x:c r="K50" s="1" t="s">
        <x:v>1063</x:v>
      </x:c>
      <x:c r="L50" s="1">
        <x:v>1.46</x:v>
      </x:c>
      <x:c r="M50" s="1">
        <x:v>1.34</x:v>
      </x:c>
      <x:c r="N50" s="1">
        <x:v>163</x:v>
      </x:c>
      <x:c r="O50" s="1" t="s">
        <x:v>1056</x:v>
      </x:c>
      <x:c r="P50" s="42" t="str">
        <x:v>Lv1~10</x:v>
      </x:c>
      <x:c r="Q50" s="42" t="str">
        <x:v>0</x:v>
      </x:c>
      <x:c r="R50" s="42" t="str">
        <x:v>2~3</x:v>
      </x:c>
      <x:c r="S50" s="42" t="str">
        <x:v>기본 지급으로 무난</x:v>
      </x:c>
      <x:c r="T50" s="42" t="n">
        <x:v>12</x:v>
      </x:c>
      <x:c r="U50" s="42" t="n">
        <x:v>384</x:v>
      </x:c>
      <x:c r="V50" s="42" t="n">
        <x:v>500</x:v>
      </x:c>
      <x:c r="W50" s="42" t="n">
        <x:v>50</x:v>
      </x:c>
      <x:c r="X50" s="42" t="n">
        <x:v>150</x:v>
      </x:c>
      <x:c r="Y50" s="42" t="str"/>
    </x:row>
    <x:row r="51">
      <x:c r="A51" s="1">
        <x:v>5</x:v>
      </x:c>
      <x:c r="B51" s="1" t="s">
        <x:v>501</x:v>
      </x:c>
      <x:c r="C51" s="1" t="s">
        <x:v>212</x:v>
      </x:c>
      <x:c r="D51" s="1">
        <x:v>5</x:v>
      </x:c>
      <x:c r="E51" s="1">
        <x:v>3</x:v>
      </x:c>
      <x:c r="F51" s="1">
        <x:v>10</x:v>
      </x:c>
      <x:c r="G51" s="1" t="s">
        <x:v>1057</x:v>
      </x:c>
      <x:c r="H51" s="1">
        <x:v>24</x:v>
      </x:c>
      <x:c r="I51" s="1">
        <x:v>20</x:v>
      </x:c>
      <x:c r="J51" s="1">
        <x:v>0.81</x:v>
      </x:c>
      <x:c r="K51" s="1" t="s">
        <x:v>1071</x:v>
      </x:c>
      <x:c r="L51" s="1">
        <x:v>1.5</x:v>
      </x:c>
      <x:c r="M51" s="1">
        <x:v>1.37</x:v>
      </x:c>
      <x:c r="N51" s="1">
        <x:v>163</x:v>
      </x:c>
      <x:c r="O51" s="1" t="s">
        <x:v>1059</x:v>
      </x:c>
      <x:c r="P51" s="42" t="str">
        <x:v>Lv1~10</x:v>
      </x:c>
      <x:c r="Q51" s="42" t="str">
        <x:v>0</x:v>
      </x:c>
      <x:c r="R51" s="42" t="str">
        <x:v>2~3</x:v>
      </x:c>
      <x:c r="S51" s="42" t="str">
        <x:v>기본 지급으로 무난</x:v>
      </x:c>
      <x:c r="T51" s="42" t="n">
        <x:v>12</x:v>
      </x:c>
      <x:c r="U51" s="42" t="n">
        <x:v>276</x:v>
      </x:c>
      <x:c r="V51" s="42" t="n">
        <x:v>0</x:v>
      </x:c>
      <x:c r="W51" s="42" t="n">
        <x:v>0</x:v>
      </x:c>
      <x:c r="X51" s="42" t="n">
        <x:v>0</x:v>
      </x:c>
      <x:c r="Y51" s="42" t="str">
        <x:v>보스 처치 보상은 로비 보상으로 분리</x:v>
      </x:c>
    </x:row>
    <x:row r="52">
      <x:c r="A52" s="1">
        <x:v>6</x:v>
      </x:c>
      <x:c r="B52" s="1" t="s">
        <x:v>501</x:v>
      </x:c>
      <x:c r="C52" s="1" t="s">
        <x:v>269</x:v>
      </x:c>
      <x:c r="D52" s="1">
        <x:v>1</x:v>
      </x:c>
      <x:c r="E52" s="1">
        <x:v>1</x:v>
      </x:c>
      <x:c r="F52" s="1">
        <x:v>1</x:v>
      </x:c>
      <x:c r="G52" s="1" t="s">
        <x:v>1042</x:v>
      </x:c>
      <x:c r="H52" s="1">
        <x:v>14</x:v>
      </x:c>
      <x:c r="I52" s="1">
        <x:v>10</x:v>
      </x:c>
      <x:c r="J52" s="1">
        <x:v>1.1100000000000001</x:v>
      </x:c>
      <x:c r="K52" s="1" t="s">
        <x:v>1072</x:v>
      </x:c>
      <x:c r="L52" s="1">
        <x:v>1.23</x:v>
      </x:c>
      <x:c r="M52" s="1">
        <x:v>1.18</x:v>
      </x:c>
      <x:c r="N52" s="1">
        <x:v>184</x:v>
      </x:c>
      <x:c r="O52" s="1" t="s">
        <x:v>1044</x:v>
      </x:c>
      <x:c r="P52" s="42" t="str">
        <x:v>Lv10~20</x:v>
      </x:c>
      <x:c r="Q52" s="42" t="str">
        <x:v>0~I</x:v>
      </x:c>
      <x:c r="R52" s="42" t="str">
        <x:v>3</x:v>
      </x:c>
      <x:c r="S52" s="42" t="str">
        <x:v>성급하면 성장 재화 구매 유혹</x:v>
      </x:c>
      <x:c r="T52" s="42" t="n">
        <x:v>12</x:v>
      </x:c>
      <x:c r="U52" s="42" t="n">
        <x:v>168</x:v>
      </x:c>
      <x:c r="V52" s="42" t="n">
        <x:v>100</x:v>
      </x:c>
      <x:c r="W52" s="42" t="n">
        <x:v>10</x:v>
      </x:c>
      <x:c r="X52" s="42" t="n">
        <x:v>30</x:v>
      </x:c>
      <x:c r="Y52" s="42" t="str"/>
    </x:row>
    <x:row r="53">
      <x:c r="A53" s="1">
        <x:v>6</x:v>
      </x:c>
      <x:c r="B53" s="1" t="s">
        <x:v>501</x:v>
      </x:c>
      <x:c r="C53" s="1" t="s">
        <x:v>269</x:v>
      </x:c>
      <x:c r="D53" s="1">
        <x:v>1</x:v>
      </x:c>
      <x:c r="E53" s="1">
        <x:v>1</x:v>
      </x:c>
      <x:c r="F53" s="1">
        <x:v>2</x:v>
      </x:c>
      <x:c r="G53" s="1" t="s">
        <x:v>1042</x:v>
      </x:c>
      <x:c r="H53" s="1">
        <x:v>16</x:v>
      </x:c>
      <x:c r="I53" s="1">
        <x:v>10</x:v>
      </x:c>
      <x:c r="J53" s="1">
        <x:v>1.08</x:v>
      </x:c>
      <x:c r="K53" s="1" t="s">
        <x:v>1073</x:v>
      </x:c>
      <x:c r="L53" s="1">
        <x:v>1.26</x:v>
      </x:c>
      <x:c r="M53" s="1">
        <x:v>1.2</x:v>
      </x:c>
      <x:c r="N53" s="1">
        <x:v>184</x:v>
      </x:c>
      <x:c r="O53" s="1" t="s">
        <x:v>1044</x:v>
      </x:c>
      <x:c r="P53" s="42" t="str">
        <x:v>Lv10~20</x:v>
      </x:c>
      <x:c r="Q53" s="42" t="str">
        <x:v>0~I</x:v>
      </x:c>
      <x:c r="R53" s="42" t="str">
        <x:v>3</x:v>
      </x:c>
      <x:c r="S53" s="42" t="str">
        <x:v>성급하면 성장 재화 구매 유혹</x:v>
      </x:c>
      <x:c r="T53" s="42" t="n">
        <x:v>12</x:v>
      </x:c>
      <x:c r="U53" s="42" t="n">
        <x:v>192</x:v>
      </x:c>
      <x:c r="V53" s="42" t="n">
        <x:v>120</x:v>
      </x:c>
      <x:c r="W53" s="42" t="n">
        <x:v>12</x:v>
      </x:c>
      <x:c r="X53" s="42" t="n">
        <x:v>36</x:v>
      </x:c>
      <x:c r="Y53" s="42" t="str"/>
    </x:row>
    <x:row r="54">
      <x:c r="A54" s="1">
        <x:v>6</x:v>
      </x:c>
      <x:c r="B54" s="1" t="s">
        <x:v>501</x:v>
      </x:c>
      <x:c r="C54" s="1" t="s">
        <x:v>269</x:v>
      </x:c>
      <x:c r="D54" s="1">
        <x:v>1</x:v>
      </x:c>
      <x:c r="E54" s="1">
        <x:v>1</x:v>
      </x:c>
      <x:c r="F54" s="1">
        <x:v>3</x:v>
      </x:c>
      <x:c r="G54" s="1" t="s">
        <x:v>1042</x:v>
      </x:c>
      <x:c r="H54" s="1">
        <x:v>18</x:v>
      </x:c>
      <x:c r="I54" s="1">
        <x:v>10</x:v>
      </x:c>
      <x:c r="J54" s="1">
        <x:v>1.04</x:v>
      </x:c>
      <x:c r="K54" s="1" t="s">
        <x:v>1074</x:v>
      </x:c>
      <x:c r="L54" s="1">
        <x:v>1.3</x:v>
      </x:c>
      <x:c r="M54" s="1">
        <x:v>1.23</x:v>
      </x:c>
      <x:c r="N54" s="1">
        <x:v>184</x:v>
      </x:c>
      <x:c r="O54" s="1" t="s">
        <x:v>1044</x:v>
      </x:c>
      <x:c r="P54" s="42" t="str">
        <x:v>Lv10~20</x:v>
      </x:c>
      <x:c r="Q54" s="42" t="str">
        <x:v>0~I</x:v>
      </x:c>
      <x:c r="R54" s="42" t="str">
        <x:v>3</x:v>
      </x:c>
      <x:c r="S54" s="42" t="str">
        <x:v>성급하면 성장 재화 구매 유혹</x:v>
      </x:c>
      <x:c r="T54" s="42" t="n">
        <x:v>12</x:v>
      </x:c>
      <x:c r="U54" s="42" t="n">
        <x:v>216</x:v>
      </x:c>
      <x:c r="V54" s="42" t="n">
        <x:v>150</x:v>
      </x:c>
      <x:c r="W54" s="42" t="n">
        <x:v>15</x:v>
      </x:c>
      <x:c r="X54" s="42" t="n">
        <x:v>45</x:v>
      </x:c>
      <x:c r="Y54" s="42" t="str"/>
    </x:row>
    <x:row r="55">
      <x:c r="A55" s="1">
        <x:v>6</x:v>
      </x:c>
      <x:c r="B55" s="1" t="s">
        <x:v>501</x:v>
      </x:c>
      <x:c r="C55" s="1" t="s">
        <x:v>269</x:v>
      </x:c>
      <x:c r="D55" s="1">
        <x:v>1</x:v>
      </x:c>
      <x:c r="E55" s="1">
        <x:v>1</x:v>
      </x:c>
      <x:c r="F55" s="1">
        <x:v>4</x:v>
      </x:c>
      <x:c r="G55" s="1" t="s">
        <x:v>1042</x:v>
      </x:c>
      <x:c r="H55" s="1">
        <x:v>20</x:v>
      </x:c>
      <x:c r="I55" s="1">
        <x:v>12</x:v>
      </x:c>
      <x:c r="J55" s="1">
        <x:v>1.01</x:v>
      </x:c>
      <x:c r="K55" s="1" t="s">
        <x:v>1075</x:v>
      </x:c>
      <x:c r="L55" s="1">
        <x:v>1.33</x:v>
      </x:c>
      <x:c r="M55" s="1">
        <x:v>1.25</x:v>
      </x:c>
      <x:c r="N55" s="1">
        <x:v>184</x:v>
      </x:c>
      <x:c r="O55" s="1" t="s">
        <x:v>1047</x:v>
      </x:c>
      <x:c r="P55" s="42" t="str">
        <x:v>Lv10~20</x:v>
      </x:c>
      <x:c r="Q55" s="42" t="str">
        <x:v>0~I</x:v>
      </x:c>
      <x:c r="R55" s="42" t="str">
        <x:v>3</x:v>
      </x:c>
      <x:c r="S55" s="42" t="str">
        <x:v>성급하면 성장 재화 구매 유혹</x:v>
      </x:c>
      <x:c r="T55" s="42" t="n">
        <x:v>12</x:v>
      </x:c>
      <x:c r="U55" s="42" t="n">
        <x:v>240</x:v>
      </x:c>
      <x:c r="V55" s="42" t="n">
        <x:v>180</x:v>
      </x:c>
      <x:c r="W55" s="42" t="n">
        <x:v>18</x:v>
      </x:c>
      <x:c r="X55" s="42" t="n">
        <x:v>54</x:v>
      </x:c>
      <x:c r="Y55" s="42" t="str"/>
    </x:row>
    <x:row r="56">
      <x:c r="A56" s="1">
        <x:v>6</x:v>
      </x:c>
      <x:c r="B56" s="1" t="s">
        <x:v>501</x:v>
      </x:c>
      <x:c r="C56" s="1" t="s">
        <x:v>269</x:v>
      </x:c>
      <x:c r="D56" s="1">
        <x:v>1</x:v>
      </x:c>
      <x:c r="E56" s="1">
        <x:v>1</x:v>
      </x:c>
      <x:c r="F56" s="1">
        <x:v>5</x:v>
      </x:c>
      <x:c r="G56" s="1" t="s">
        <x:v>1048</x:v>
      </x:c>
      <x:c r="H56" s="1">
        <x:v>14</x:v>
      </x:c>
      <x:c r="I56" s="1">
        <x:v>13</x:v>
      </x:c>
      <x:c r="J56" s="1">
        <x:v>0.97</x:v>
      </x:c>
      <x:c r="K56" s="1" t="s">
        <x:v>1076</x:v>
      </x:c>
      <x:c r="L56" s="1">
        <x:v>1.37</x:v>
      </x:c>
      <x:c r="M56" s="1">
        <x:v>1.28</x:v>
      </x:c>
      <x:c r="N56" s="1">
        <x:v>184</x:v>
      </x:c>
      <x:c r="O56" s="1" t="s">
        <x:v>1050</x:v>
      </x:c>
      <x:c r="P56" s="42" t="str">
        <x:v>Lv10~20</x:v>
      </x:c>
      <x:c r="Q56" s="42" t="str">
        <x:v>0~I</x:v>
      </x:c>
      <x:c r="R56" s="42" t="str">
        <x:v>3</x:v>
      </x:c>
      <x:c r="S56" s="42" t="str">
        <x:v>성급하면 성장 재화 구매 유혹</x:v>
      </x:c>
      <x:c r="T56" s="42" t="n">
        <x:v>12</x:v>
      </x:c>
      <x:c r="U56" s="42" t="n">
        <x:v>350</x:v>
      </x:c>
      <x:c r="V56" s="42" t="n">
        <x:v>300</x:v>
      </x:c>
      <x:c r="W56" s="42" t="n">
        <x:v>30</x:v>
      </x:c>
      <x:c r="X56" s="42" t="n">
        <x:v>90</x:v>
      </x:c>
      <x:c r="Y56" s="42" t="str">
        <x:v>중간보스 현상금 포함</x:v>
      </x:c>
    </x:row>
    <x:row r="57">
      <x:c r="A57" s="1">
        <x:v>6</x:v>
      </x:c>
      <x:c r="B57" s="1" t="s">
        <x:v>501</x:v>
      </x:c>
      <x:c r="C57" s="1" t="s">
        <x:v>269</x:v>
      </x:c>
      <x:c r="D57" s="1">
        <x:v>1</x:v>
      </x:c>
      <x:c r="E57" s="1">
        <x:v>1</x:v>
      </x:c>
      <x:c r="F57" s="1">
        <x:v>6</x:v>
      </x:c>
      <x:c r="G57" s="1" t="s">
        <x:v>1042</x:v>
      </x:c>
      <x:c r="H57" s="1">
        <x:v>24</x:v>
      </x:c>
      <x:c r="I57" s="1">
        <x:v>14</x:v>
      </x:c>
      <x:c r="J57" s="1">
        <x:v>0.94</x:v>
      </x:c>
      <x:c r="K57" s="1" t="s">
        <x:v>1077</x:v>
      </x:c>
      <x:c r="L57" s="1">
        <x:v>1.4</x:v>
      </x:c>
      <x:c r="M57" s="1">
        <x:v>1.3</x:v>
      </x:c>
      <x:c r="N57" s="1">
        <x:v>184</x:v>
      </x:c>
      <x:c r="O57" s="1" t="s">
        <x:v>1052</x:v>
      </x:c>
      <x:c r="P57" s="42" t="str">
        <x:v>Lv10~20</x:v>
      </x:c>
      <x:c r="Q57" s="42" t="str">
        <x:v>0~I</x:v>
      </x:c>
      <x:c r="R57" s="42" t="str">
        <x:v>3</x:v>
      </x:c>
      <x:c r="S57" s="42" t="str">
        <x:v>성급하면 성장 재화 구매 유혹</x:v>
      </x:c>
      <x:c r="T57" s="42" t="n">
        <x:v>12</x:v>
      </x:c>
      <x:c r="U57" s="42" t="n">
        <x:v>288</x:v>
      </x:c>
      <x:c r="V57" s="42" t="n">
        <x:v>220</x:v>
      </x:c>
      <x:c r="W57" s="42" t="n">
        <x:v>22</x:v>
      </x:c>
      <x:c r="X57" s="42" t="n">
        <x:v>66</x:v>
      </x:c>
      <x:c r="Y57" s="42" t="str"/>
    </x:row>
    <x:row r="58">
      <x:c r="A58" s="1">
        <x:v>6</x:v>
      </x:c>
      <x:c r="B58" s="1" t="s">
        <x:v>501</x:v>
      </x:c>
      <x:c r="C58" s="1" t="s">
        <x:v>269</x:v>
      </x:c>
      <x:c r="D58" s="1">
        <x:v>1</x:v>
      </x:c>
      <x:c r="E58" s="1">
        <x:v>1</x:v>
      </x:c>
      <x:c r="F58" s="1">
        <x:v>7</x:v>
      </x:c>
      <x:c r="G58" s="1" t="s">
        <x:v>1042</x:v>
      </x:c>
      <x:c r="H58" s="1">
        <x:v>26</x:v>
      </x:c>
      <x:c r="I58" s="1">
        <x:v>15</x:v>
      </x:c>
      <x:c r="J58" s="1">
        <x:v>0.9</x:v>
      </x:c>
      <x:c r="K58" s="1" t="s">
        <x:v>1078</x:v>
      </x:c>
      <x:c r="L58" s="1">
        <x:v>1.44</x:v>
      </x:c>
      <x:c r="M58" s="1">
        <x:v>1.33</x:v>
      </x:c>
      <x:c r="N58" s="1">
        <x:v>184</x:v>
      </x:c>
      <x:c r="O58" s="1" t="s">
        <x:v>1052</x:v>
      </x:c>
      <x:c r="P58" s="42" t="str">
        <x:v>Lv10~20</x:v>
      </x:c>
      <x:c r="Q58" s="42" t="str">
        <x:v>0~I</x:v>
      </x:c>
      <x:c r="R58" s="42" t="str">
        <x:v>3</x:v>
      </x:c>
      <x:c r="S58" s="42" t="str">
        <x:v>성급하면 성장 재화 구매 유혹</x:v>
      </x:c>
      <x:c r="T58" s="42" t="n">
        <x:v>12</x:v>
      </x:c>
      <x:c r="U58" s="42" t="n">
        <x:v>312</x:v>
      </x:c>
      <x:c r="V58" s="42" t="n">
        <x:v>300</x:v>
      </x:c>
      <x:c r="W58" s="42" t="n">
        <x:v>30</x:v>
      </x:c>
      <x:c r="X58" s="42" t="n">
        <x:v>90</x:v>
      </x:c>
      <x:c r="Y58" s="42" t="str"/>
    </x:row>
    <x:row r="59">
      <x:c r="A59" s="1">
        <x:v>6</x:v>
      </x:c>
      <x:c r="B59" s="1" t="s">
        <x:v>501</x:v>
      </x:c>
      <x:c r="C59" s="1" t="s">
        <x:v>269</x:v>
      </x:c>
      <x:c r="D59" s="1">
        <x:v>1</x:v>
      </x:c>
      <x:c r="E59" s="1">
        <x:v>1</x:v>
      </x:c>
      <x:c r="F59" s="1">
        <x:v>8</x:v>
      </x:c>
      <x:c r="G59" s="1" t="s">
        <x:v>1042</x:v>
      </x:c>
      <x:c r="H59" s="1">
        <x:v>28</x:v>
      </x:c>
      <x:c r="I59" s="1">
        <x:v>16</x:v>
      </x:c>
      <x:c r="J59" s="1">
        <x:v>0.87</x:v>
      </x:c>
      <x:c r="K59" s="1" t="s">
        <x:v>1079</x:v>
      </x:c>
      <x:c r="L59" s="1">
        <x:v>1.47</x:v>
      </x:c>
      <x:c r="M59" s="1">
        <x:v>1.35</x:v>
      </x:c>
      <x:c r="N59" s="1">
        <x:v>184</x:v>
      </x:c>
      <x:c r="O59" s="1" t="s">
        <x:v>1052</x:v>
      </x:c>
      <x:c r="P59" s="42" t="str">
        <x:v>Lv10~20</x:v>
      </x:c>
      <x:c r="Q59" s="42" t="str">
        <x:v>0~I</x:v>
      </x:c>
      <x:c r="R59" s="42" t="str">
        <x:v>3</x:v>
      </x:c>
      <x:c r="S59" s="42" t="str">
        <x:v>성급하면 성장 재화 구매 유혹</x:v>
      </x:c>
      <x:c r="T59" s="42" t="n">
        <x:v>12</x:v>
      </x:c>
      <x:c r="U59" s="42" t="n">
        <x:v>336</x:v>
      </x:c>
      <x:c r="V59" s="42" t="n">
        <x:v>400</x:v>
      </x:c>
      <x:c r="W59" s="42" t="n">
        <x:v>40</x:v>
      </x:c>
      <x:c r="X59" s="42" t="n">
        <x:v>120</x:v>
      </x:c>
      <x:c r="Y59" s="42" t="str"/>
    </x:row>
    <x:row r="60">
      <x:c r="A60" s="1">
        <x:v>6</x:v>
      </x:c>
      <x:c r="B60" s="1" t="s">
        <x:v>501</x:v>
      </x:c>
      <x:c r="C60" s="1" t="s">
        <x:v>269</x:v>
      </x:c>
      <x:c r="D60" s="1">
        <x:v>1</x:v>
      </x:c>
      <x:c r="E60" s="1">
        <x:v>1</x:v>
      </x:c>
      <x:c r="F60" s="1">
        <x:v>9</x:v>
      </x:c>
      <x:c r="G60" s="1" t="s">
        <x:v>1042</x:v>
      </x:c>
      <x:c r="H60" s="1">
        <x:v>30</x:v>
      </x:c>
      <x:c r="I60" s="1">
        <x:v>17</x:v>
      </x:c>
      <x:c r="J60" s="1">
        <x:v>0.83</x:v>
      </x:c>
      <x:c r="K60" s="1" t="s">
        <x:v>1080</x:v>
      </x:c>
      <x:c r="L60" s="1">
        <x:v>1.51</x:v>
      </x:c>
      <x:c r="M60" s="1">
        <x:v>1.38</x:v>
      </x:c>
      <x:c r="N60" s="1">
        <x:v>184</x:v>
      </x:c>
      <x:c r="O60" s="1" t="s">
        <x:v>1056</x:v>
      </x:c>
      <x:c r="P60" s="42" t="str">
        <x:v>Lv10~20</x:v>
      </x:c>
      <x:c r="Q60" s="42" t="str">
        <x:v>0~I</x:v>
      </x:c>
      <x:c r="R60" s="42" t="str">
        <x:v>3</x:v>
      </x:c>
      <x:c r="S60" s="42" t="str">
        <x:v>성급하면 성장 재화 구매 유혹</x:v>
      </x:c>
      <x:c r="T60" s="42" t="n">
        <x:v>12</x:v>
      </x:c>
      <x:c r="U60" s="42" t="n">
        <x:v>360</x:v>
      </x:c>
      <x:c r="V60" s="42" t="n">
        <x:v>500</x:v>
      </x:c>
      <x:c r="W60" s="42" t="n">
        <x:v>50</x:v>
      </x:c>
      <x:c r="X60" s="42" t="n">
        <x:v>150</x:v>
      </x:c>
      <x:c r="Y60" s="42" t="str"/>
    </x:row>
    <x:row r="61">
      <x:c r="A61" s="1">
        <x:v>6</x:v>
      </x:c>
      <x:c r="B61" s="1" t="s">
        <x:v>501</x:v>
      </x:c>
      <x:c r="C61" s="1" t="s">
        <x:v>269</x:v>
      </x:c>
      <x:c r="D61" s="1">
        <x:v>1</x:v>
      </x:c>
      <x:c r="E61" s="1">
        <x:v>1</x:v>
      </x:c>
      <x:c r="F61" s="1">
        <x:v>10</x:v>
      </x:c>
      <x:c r="G61" s="1" t="s">
        <x:v>1057</x:v>
      </x:c>
      <x:c r="H61" s="1">
        <x:v>22</x:v>
      </x:c>
      <x:c r="I61" s="1">
        <x:v>19</x:v>
      </x:c>
      <x:c r="J61" s="1">
        <x:v>0.8</x:v>
      </x:c>
      <x:c r="K61" s="1" t="s">
        <x:v>1081</x:v>
      </x:c>
      <x:c r="L61" s="1">
        <x:v>1.54</x:v>
      </x:c>
      <x:c r="M61" s="1">
        <x:v>1.4</x:v>
      </x:c>
      <x:c r="N61" s="1">
        <x:v>184</x:v>
      </x:c>
      <x:c r="O61" s="1" t="s">
        <x:v>1059</x:v>
      </x:c>
      <x:c r="P61" s="42" t="str">
        <x:v>Lv10~20</x:v>
      </x:c>
      <x:c r="Q61" s="42" t="str">
        <x:v>0~I</x:v>
      </x:c>
      <x:c r="R61" s="42" t="str">
        <x:v>3</x:v>
      </x:c>
      <x:c r="S61" s="42" t="str">
        <x:v>성급하면 성장 재화 구매 유혹</x:v>
      </x:c>
      <x:c r="T61" s="42" t="n">
        <x:v>12</x:v>
      </x:c>
      <x:c r="U61" s="42" t="n">
        <x:v>252</x:v>
      </x:c>
      <x:c r="V61" s="42" t="n">
        <x:v>0</x:v>
      </x:c>
      <x:c r="W61" s="42" t="n">
        <x:v>0</x:v>
      </x:c>
      <x:c r="X61" s="42" t="n">
        <x:v>0</x:v>
      </x:c>
      <x:c r="Y61" s="42" t="str">
        <x:v>보스 처치 보상은 로비 보상으로 분리</x:v>
      </x:c>
    </x:row>
    <x:row r="62">
      <x:c r="A62" s="1">
        <x:v>7</x:v>
      </x:c>
      <x:c r="B62" s="1" t="s">
        <x:v>501</x:v>
      </x:c>
      <x:c r="C62" s="1" t="s">
        <x:v>269</x:v>
      </x:c>
      <x:c r="D62" s="1">
        <x:v>2</x:v>
      </x:c>
      <x:c r="E62" s="1">
        <x:v>1</x:v>
      </x:c>
      <x:c r="F62" s="1">
        <x:v>1</x:v>
      </x:c>
      <x:c r="G62" s="1" t="s">
        <x:v>1042</x:v>
      </x:c>
      <x:c r="H62" s="1">
        <x:v>14</x:v>
      </x:c>
      <x:c r="I62" s="1">
        <x:v>10</x:v>
      </x:c>
      <x:c r="J62" s="1">
        <x:v>1.1000000000000001</x:v>
      </x:c>
      <x:c r="K62" s="1" t="s">
        <x:v>1082</x:v>
      </x:c>
      <x:c r="L62" s="1">
        <x:v>1.27</x:v>
      </x:c>
      <x:c r="M62" s="1">
        <x:v>1.21</x:v>
      </x:c>
      <x:c r="N62" s="1">
        <x:v>208</x:v>
      </x:c>
      <x:c r="O62" s="1" t="s">
        <x:v>1044</x:v>
      </x:c>
      <x:c r="P62" s="42" t="str">
        <x:v>Lv10~20</x:v>
      </x:c>
      <x:c r="Q62" s="42" t="str">
        <x:v>0~I</x:v>
      </x:c>
      <x:c r="R62" s="42" t="str">
        <x:v>3</x:v>
      </x:c>
      <x:c r="S62" s="42" t="str">
        <x:v>성급하면 성장 재화 구매 유혹</x:v>
      </x:c>
      <x:c r="T62" s="42" t="n">
        <x:v>12</x:v>
      </x:c>
      <x:c r="U62" s="42" t="n">
        <x:v>168</x:v>
      </x:c>
      <x:c r="V62" s="42" t="n">
        <x:v>100</x:v>
      </x:c>
      <x:c r="W62" s="42" t="n">
        <x:v>10</x:v>
      </x:c>
      <x:c r="X62" s="42" t="n">
        <x:v>30</x:v>
      </x:c>
      <x:c r="Y62" s="42" t="str"/>
    </x:row>
    <x:row r="63">
      <x:c r="A63" s="1">
        <x:v>7</x:v>
      </x:c>
      <x:c r="B63" s="1" t="s">
        <x:v>501</x:v>
      </x:c>
      <x:c r="C63" s="1" t="s">
        <x:v>269</x:v>
      </x:c>
      <x:c r="D63" s="1">
        <x:v>2</x:v>
      </x:c>
      <x:c r="E63" s="1">
        <x:v>1</x:v>
      </x:c>
      <x:c r="F63" s="1">
        <x:v>2</x:v>
      </x:c>
      <x:c r="G63" s="1" t="s">
        <x:v>1042</x:v>
      </x:c>
      <x:c r="H63" s="1">
        <x:v>16</x:v>
      </x:c>
      <x:c r="I63" s="1">
        <x:v>10</x:v>
      </x:c>
      <x:c r="J63" s="1">
        <x:v>1.07</x:v>
      </x:c>
      <x:c r="K63" s="1" t="s">
        <x:v>1074</x:v>
      </x:c>
      <x:c r="L63" s="1">
        <x:v>1.3</x:v>
      </x:c>
      <x:c r="M63" s="1">
        <x:v>1.23</x:v>
      </x:c>
      <x:c r="N63" s="1">
        <x:v>208</x:v>
      </x:c>
      <x:c r="O63" s="1" t="s">
        <x:v>1044</x:v>
      </x:c>
      <x:c r="P63" s="42" t="str">
        <x:v>Lv10~20</x:v>
      </x:c>
      <x:c r="Q63" s="42" t="str">
        <x:v>0~I</x:v>
      </x:c>
      <x:c r="R63" s="42" t="str">
        <x:v>3</x:v>
      </x:c>
      <x:c r="S63" s="42" t="str">
        <x:v>성급하면 성장 재화 구매 유혹</x:v>
      </x:c>
      <x:c r="T63" s="42" t="n">
        <x:v>12</x:v>
      </x:c>
      <x:c r="U63" s="42" t="n">
        <x:v>192</x:v>
      </x:c>
      <x:c r="V63" s="42" t="n">
        <x:v>120</x:v>
      </x:c>
      <x:c r="W63" s="42" t="n">
        <x:v>12</x:v>
      </x:c>
      <x:c r="X63" s="42" t="n">
        <x:v>36</x:v>
      </x:c>
      <x:c r="Y63" s="42" t="str"/>
    </x:row>
    <x:row r="64">
      <x:c r="A64" s="1">
        <x:v>7</x:v>
      </x:c>
      <x:c r="B64" s="1" t="s">
        <x:v>501</x:v>
      </x:c>
      <x:c r="C64" s="1" t="s">
        <x:v>269</x:v>
      </x:c>
      <x:c r="D64" s="1">
        <x:v>2</x:v>
      </x:c>
      <x:c r="E64" s="1">
        <x:v>1</x:v>
      </x:c>
      <x:c r="F64" s="1">
        <x:v>3</x:v>
      </x:c>
      <x:c r="G64" s="1" t="s">
        <x:v>1042</x:v>
      </x:c>
      <x:c r="H64" s="1">
        <x:v>18</x:v>
      </x:c>
      <x:c r="I64" s="1">
        <x:v>10</x:v>
      </x:c>
      <x:c r="J64" s="1">
        <x:v>1.03</x:v>
      </x:c>
      <x:c r="K64" s="1" t="s">
        <x:v>1082</x:v>
      </x:c>
      <x:c r="L64" s="1">
        <x:v>1.34</x:v>
      </x:c>
      <x:c r="M64" s="1">
        <x:v>1.26</x:v>
      </x:c>
      <x:c r="N64" s="1">
        <x:v>208</x:v>
      </x:c>
      <x:c r="O64" s="1" t="s">
        <x:v>1044</x:v>
      </x:c>
      <x:c r="P64" s="42" t="str">
        <x:v>Lv10~20</x:v>
      </x:c>
      <x:c r="Q64" s="42" t="str">
        <x:v>0~I</x:v>
      </x:c>
      <x:c r="R64" s="42" t="str">
        <x:v>3</x:v>
      </x:c>
      <x:c r="S64" s="42" t="str">
        <x:v>성급하면 성장 재화 구매 유혹</x:v>
      </x:c>
      <x:c r="T64" s="42" t="n">
        <x:v>12</x:v>
      </x:c>
      <x:c r="U64" s="42" t="n">
        <x:v>216</x:v>
      </x:c>
      <x:c r="V64" s="42" t="n">
        <x:v>150</x:v>
      </x:c>
      <x:c r="W64" s="42" t="n">
        <x:v>15</x:v>
      </x:c>
      <x:c r="X64" s="42" t="n">
        <x:v>45</x:v>
      </x:c>
      <x:c r="Y64" s="42" t="str"/>
    </x:row>
    <x:row r="65">
      <x:c r="A65" s="1">
        <x:v>7</x:v>
      </x:c>
      <x:c r="B65" s="1" t="s">
        <x:v>501</x:v>
      </x:c>
      <x:c r="C65" s="1" t="s">
        <x:v>269</x:v>
      </x:c>
      <x:c r="D65" s="1">
        <x:v>2</x:v>
      </x:c>
      <x:c r="E65" s="1">
        <x:v>1</x:v>
      </x:c>
      <x:c r="F65" s="1">
        <x:v>4</x:v>
      </x:c>
      <x:c r="G65" s="1" t="s">
        <x:v>1042</x:v>
      </x:c>
      <x:c r="H65" s="1">
        <x:v>20</x:v>
      </x:c>
      <x:c r="I65" s="1">
        <x:v>12</x:v>
      </x:c>
      <x:c r="J65" s="1">
        <x:v>1</x:v>
      </x:c>
      <x:c r="K65" s="1" t="s">
        <x:v>1074</x:v>
      </x:c>
      <x:c r="L65" s="1">
        <x:v>1.38</x:v>
      </x:c>
      <x:c r="M65" s="1">
        <x:v>1.28</x:v>
      </x:c>
      <x:c r="N65" s="1">
        <x:v>208</x:v>
      </x:c>
      <x:c r="O65" s="1" t="s">
        <x:v>1047</x:v>
      </x:c>
      <x:c r="P65" s="42" t="str">
        <x:v>Lv10~20</x:v>
      </x:c>
      <x:c r="Q65" s="42" t="str">
        <x:v>0~I</x:v>
      </x:c>
      <x:c r="R65" s="42" t="str">
        <x:v>3</x:v>
      </x:c>
      <x:c r="S65" s="42" t="str">
        <x:v>성급하면 성장 재화 구매 유혹</x:v>
      </x:c>
      <x:c r="T65" s="42" t="n">
        <x:v>12</x:v>
      </x:c>
      <x:c r="U65" s="42" t="n">
        <x:v>240</x:v>
      </x:c>
      <x:c r="V65" s="42" t="n">
        <x:v>180</x:v>
      </x:c>
      <x:c r="W65" s="42" t="n">
        <x:v>18</x:v>
      </x:c>
      <x:c r="X65" s="42" t="n">
        <x:v>54</x:v>
      </x:c>
      <x:c r="Y65" s="42" t="str"/>
    </x:row>
    <x:row r="66">
      <x:c r="A66" s="1">
        <x:v>7</x:v>
      </x:c>
      <x:c r="B66" s="1" t="s">
        <x:v>501</x:v>
      </x:c>
      <x:c r="C66" s="1" t="s">
        <x:v>269</x:v>
      </x:c>
      <x:c r="D66" s="1">
        <x:v>2</x:v>
      </x:c>
      <x:c r="E66" s="1">
        <x:v>1</x:v>
      </x:c>
      <x:c r="F66" s="1">
        <x:v>5</x:v>
      </x:c>
      <x:c r="G66" s="1" t="s">
        <x:v>1048</x:v>
      </x:c>
      <x:c r="H66" s="1">
        <x:v>14</x:v>
      </x:c>
      <x:c r="I66" s="1">
        <x:v>13</x:v>
      </x:c>
      <x:c r="J66" s="1">
        <x:v>0.96</x:v>
      </x:c>
      <x:c r="K66" s="1" t="s">
        <x:v>1076</x:v>
      </x:c>
      <x:c r="L66" s="1">
        <x:v>1.41</x:v>
      </x:c>
      <x:c r="M66" s="1">
        <x:v>1.31</x:v>
      </x:c>
      <x:c r="N66" s="1">
        <x:v>208</x:v>
      </x:c>
      <x:c r="O66" s="1" t="s">
        <x:v>1050</x:v>
      </x:c>
      <x:c r="P66" s="42" t="str">
        <x:v>Lv10~20</x:v>
      </x:c>
      <x:c r="Q66" s="42" t="str">
        <x:v>0~I</x:v>
      </x:c>
      <x:c r="R66" s="42" t="str">
        <x:v>3</x:v>
      </x:c>
      <x:c r="S66" s="42" t="str">
        <x:v>성급하면 성장 재화 구매 유혹</x:v>
      </x:c>
      <x:c r="T66" s="42" t="n">
        <x:v>12</x:v>
      </x:c>
      <x:c r="U66" s="42" t="n">
        <x:v>352</x:v>
      </x:c>
      <x:c r="V66" s="42" t="n">
        <x:v>300</x:v>
      </x:c>
      <x:c r="W66" s="42" t="n">
        <x:v>30</x:v>
      </x:c>
      <x:c r="X66" s="42" t="n">
        <x:v>90</x:v>
      </x:c>
      <x:c r="Y66" s="42" t="str">
        <x:v>중간보스 현상금 포함</x:v>
      </x:c>
    </x:row>
    <x:row r="67">
      <x:c r="A67" s="1">
        <x:v>7</x:v>
      </x:c>
      <x:c r="B67" s="1" t="s">
        <x:v>501</x:v>
      </x:c>
      <x:c r="C67" s="1" t="s">
        <x:v>269</x:v>
      </x:c>
      <x:c r="D67" s="1">
        <x:v>2</x:v>
      </x:c>
      <x:c r="E67" s="1">
        <x:v>1</x:v>
      </x:c>
      <x:c r="F67" s="1">
        <x:v>6</x:v>
      </x:c>
      <x:c r="G67" s="1" t="s">
        <x:v>1042</x:v>
      </x:c>
      <x:c r="H67" s="1">
        <x:v>24</x:v>
      </x:c>
      <x:c r="I67" s="1">
        <x:v>14</x:v>
      </x:c>
      <x:c r="J67" s="1">
        <x:v>0.93</x:v>
      </x:c>
      <x:c r="K67" s="1" t="s">
        <x:v>1074</x:v>
      </x:c>
      <x:c r="L67" s="1">
        <x:v>1.45</x:v>
      </x:c>
      <x:c r="M67" s="1">
        <x:v>1.33</x:v>
      </x:c>
      <x:c r="N67" s="1">
        <x:v>208</x:v>
      </x:c>
      <x:c r="O67" s="1" t="s">
        <x:v>1052</x:v>
      </x:c>
      <x:c r="P67" s="42" t="str">
        <x:v>Lv10~20</x:v>
      </x:c>
      <x:c r="Q67" s="42" t="str">
        <x:v>0~I</x:v>
      </x:c>
      <x:c r="R67" s="42" t="str">
        <x:v>3</x:v>
      </x:c>
      <x:c r="S67" s="42" t="str">
        <x:v>성급하면 성장 재화 구매 유혹</x:v>
      </x:c>
      <x:c r="T67" s="42" t="n">
        <x:v>12</x:v>
      </x:c>
      <x:c r="U67" s="42" t="n">
        <x:v>288</x:v>
      </x:c>
      <x:c r="V67" s="42" t="n">
        <x:v>220</x:v>
      </x:c>
      <x:c r="W67" s="42" t="n">
        <x:v>22</x:v>
      </x:c>
      <x:c r="X67" s="42" t="n">
        <x:v>66</x:v>
      </x:c>
      <x:c r="Y67" s="42" t="str"/>
    </x:row>
    <x:row r="68">
      <x:c r="A68" s="1">
        <x:v>7</x:v>
      </x:c>
      <x:c r="B68" s="1" t="s">
        <x:v>501</x:v>
      </x:c>
      <x:c r="C68" s="1" t="s">
        <x:v>269</x:v>
      </x:c>
      <x:c r="D68" s="1">
        <x:v>2</x:v>
      </x:c>
      <x:c r="E68" s="1">
        <x:v>1</x:v>
      </x:c>
      <x:c r="F68" s="1">
        <x:v>7</x:v>
      </x:c>
      <x:c r="G68" s="1" t="s">
        <x:v>1042</x:v>
      </x:c>
      <x:c r="H68" s="1">
        <x:v>26</x:v>
      </x:c>
      <x:c r="I68" s="1">
        <x:v>15</x:v>
      </x:c>
      <x:c r="J68" s="1">
        <x:v>0.89</x:v>
      </x:c>
      <x:c r="K68" s="1" t="s">
        <x:v>1077</x:v>
      </x:c>
      <x:c r="L68" s="1">
        <x:v>1.48</x:v>
      </x:c>
      <x:c r="M68" s="1">
        <x:v>1.36</x:v>
      </x:c>
      <x:c r="N68" s="1">
        <x:v>208</x:v>
      </x:c>
      <x:c r="O68" s="1" t="s">
        <x:v>1052</x:v>
      </x:c>
      <x:c r="P68" s="42" t="str">
        <x:v>Lv10~20</x:v>
      </x:c>
      <x:c r="Q68" s="42" t="str">
        <x:v>0~I</x:v>
      </x:c>
      <x:c r="R68" s="42" t="str">
        <x:v>3</x:v>
      </x:c>
      <x:c r="S68" s="42" t="str">
        <x:v>성급하면 성장 재화 구매 유혹</x:v>
      </x:c>
      <x:c r="T68" s="42" t="n">
        <x:v>12</x:v>
      </x:c>
      <x:c r="U68" s="42" t="n">
        <x:v>312</x:v>
      </x:c>
      <x:c r="V68" s="42" t="n">
        <x:v>300</x:v>
      </x:c>
      <x:c r="W68" s="42" t="n">
        <x:v>30</x:v>
      </x:c>
      <x:c r="X68" s="42" t="n">
        <x:v>90</x:v>
      </x:c>
      <x:c r="Y68" s="42" t="str"/>
    </x:row>
    <x:row r="69">
      <x:c r="A69" s="1">
        <x:v>7</x:v>
      </x:c>
      <x:c r="B69" s="1" t="s">
        <x:v>501</x:v>
      </x:c>
      <x:c r="C69" s="1" t="s">
        <x:v>269</x:v>
      </x:c>
      <x:c r="D69" s="1">
        <x:v>2</x:v>
      </x:c>
      <x:c r="E69" s="1">
        <x:v>1</x:v>
      </x:c>
      <x:c r="F69" s="1">
        <x:v>8</x:v>
      </x:c>
      <x:c r="G69" s="1" t="s">
        <x:v>1042</x:v>
      </x:c>
      <x:c r="H69" s="1">
        <x:v>28</x:v>
      </x:c>
      <x:c r="I69" s="1">
        <x:v>16</x:v>
      </x:c>
      <x:c r="J69" s="1">
        <x:v>0.86</x:v>
      </x:c>
      <x:c r="K69" s="1" t="s">
        <x:v>1080</x:v>
      </x:c>
      <x:c r="L69" s="1">
        <x:v>1.52</x:v>
      </x:c>
      <x:c r="M69" s="1">
        <x:v>1.39</x:v>
      </x:c>
      <x:c r="N69" s="1">
        <x:v>208</x:v>
      </x:c>
      <x:c r="O69" s="1" t="s">
        <x:v>1052</x:v>
      </x:c>
      <x:c r="P69" s="42" t="str">
        <x:v>Lv10~20</x:v>
      </x:c>
      <x:c r="Q69" s="42" t="str">
        <x:v>0~I</x:v>
      </x:c>
      <x:c r="R69" s="42" t="str">
        <x:v>3</x:v>
      </x:c>
      <x:c r="S69" s="42" t="str">
        <x:v>성급하면 성장 재화 구매 유혹</x:v>
      </x:c>
      <x:c r="T69" s="42" t="n">
        <x:v>12</x:v>
      </x:c>
      <x:c r="U69" s="42" t="n">
        <x:v>336</x:v>
      </x:c>
      <x:c r="V69" s="42" t="n">
        <x:v>400</x:v>
      </x:c>
      <x:c r="W69" s="42" t="n">
        <x:v>40</x:v>
      </x:c>
      <x:c r="X69" s="42" t="n">
        <x:v>120</x:v>
      </x:c>
      <x:c r="Y69" s="42" t="str"/>
    </x:row>
    <x:row r="70">
      <x:c r="A70" s="1">
        <x:v>7</x:v>
      </x:c>
      <x:c r="B70" s="1" t="s">
        <x:v>501</x:v>
      </x:c>
      <x:c r="C70" s="1" t="s">
        <x:v>269</x:v>
      </x:c>
      <x:c r="D70" s="1">
        <x:v>2</x:v>
      </x:c>
      <x:c r="E70" s="1">
        <x:v>1</x:v>
      </x:c>
      <x:c r="F70" s="1">
        <x:v>9</x:v>
      </x:c>
      <x:c r="G70" s="1" t="s">
        <x:v>1042</x:v>
      </x:c>
      <x:c r="H70" s="1">
        <x:v>30</x:v>
      </x:c>
      <x:c r="I70" s="1">
        <x:v>17</x:v>
      </x:c>
      <x:c r="J70" s="1">
        <x:v>0.82</x:v>
      </x:c>
      <x:c r="K70" s="1" t="s">
        <x:v>1077</x:v>
      </x:c>
      <x:c r="L70" s="1">
        <x:v>1.55</x:v>
      </x:c>
      <x:c r="M70" s="1">
        <x:v>1.41</x:v>
      </x:c>
      <x:c r="N70" s="1">
        <x:v>208</x:v>
      </x:c>
      <x:c r="O70" s="1" t="s">
        <x:v>1056</x:v>
      </x:c>
      <x:c r="P70" s="42" t="str">
        <x:v>Lv10~20</x:v>
      </x:c>
      <x:c r="Q70" s="42" t="str">
        <x:v>0~I</x:v>
      </x:c>
      <x:c r="R70" s="42" t="str">
        <x:v>3</x:v>
      </x:c>
      <x:c r="S70" s="42" t="str">
        <x:v>성급하면 성장 재화 구매 유혹</x:v>
      </x:c>
      <x:c r="T70" s="42" t="n">
        <x:v>12</x:v>
      </x:c>
      <x:c r="U70" s="42" t="n">
        <x:v>360</x:v>
      </x:c>
      <x:c r="V70" s="42" t="n">
        <x:v>500</x:v>
      </x:c>
      <x:c r="W70" s="42" t="n">
        <x:v>50</x:v>
      </x:c>
      <x:c r="X70" s="42" t="n">
        <x:v>150</x:v>
      </x:c>
      <x:c r="Y70" s="42" t="str"/>
    </x:row>
    <x:row r="71">
      <x:c r="A71" s="1">
        <x:v>7</x:v>
      </x:c>
      <x:c r="B71" s="1" t="s">
        <x:v>501</x:v>
      </x:c>
      <x:c r="C71" s="1" t="s">
        <x:v>269</x:v>
      </x:c>
      <x:c r="D71" s="1">
        <x:v>2</x:v>
      </x:c>
      <x:c r="E71" s="1">
        <x:v>1</x:v>
      </x:c>
      <x:c r="F71" s="1">
        <x:v>10</x:v>
      </x:c>
      <x:c r="G71" s="1" t="s">
        <x:v>1057</x:v>
      </x:c>
      <x:c r="H71" s="1">
        <x:v>22</x:v>
      </x:c>
      <x:c r="I71" s="1">
        <x:v>19</x:v>
      </x:c>
      <x:c r="J71" s="1">
        <x:v>0.79</x:v>
      </x:c>
      <x:c r="K71" s="1" t="s">
        <x:v>1083</x:v>
      </x:c>
      <x:c r="L71" s="1">
        <x:v>1.58</x:v>
      </x:c>
      <x:c r="M71" s="1">
        <x:v>1.44</x:v>
      </x:c>
      <x:c r="N71" s="1">
        <x:v>208</x:v>
      </x:c>
      <x:c r="O71" s="1" t="s">
        <x:v>1059</x:v>
      </x:c>
      <x:c r="P71" s="42" t="str">
        <x:v>Lv10~20</x:v>
      </x:c>
      <x:c r="Q71" s="42" t="str">
        <x:v>0~I</x:v>
      </x:c>
      <x:c r="R71" s="42" t="str">
        <x:v>3</x:v>
      </x:c>
      <x:c r="S71" s="42" t="str">
        <x:v>성급하면 성장 재화 구매 유혹</x:v>
      </x:c>
      <x:c r="T71" s="42" t="n">
        <x:v>12</x:v>
      </x:c>
      <x:c r="U71" s="42" t="n">
        <x:v>252</x:v>
      </x:c>
      <x:c r="V71" s="42" t="n">
        <x:v>0</x:v>
      </x:c>
      <x:c r="W71" s="42" t="n">
        <x:v>0</x:v>
      </x:c>
      <x:c r="X71" s="42" t="n">
        <x:v>0</x:v>
      </x:c>
      <x:c r="Y71" s="42" t="str">
        <x:v>보스 처치 보상은 로비 보상으로 분리</x:v>
      </x:c>
    </x:row>
    <x:row r="72">
      <x:c r="A72" s="1">
        <x:v>8</x:v>
      </x:c>
      <x:c r="B72" s="1" t="s">
        <x:v>501</x:v>
      </x:c>
      <x:c r="C72" s="1" t="s">
        <x:v>269</x:v>
      </x:c>
      <x:c r="D72" s="1">
        <x:v>3</x:v>
      </x:c>
      <x:c r="E72" s="1">
        <x:v>2</x:v>
      </x:c>
      <x:c r="F72" s="1">
        <x:v>1</x:v>
      </x:c>
      <x:c r="G72" s="1" t="s">
        <x:v>1042</x:v>
      </x:c>
      <x:c r="H72" s="1">
        <x:v>16</x:v>
      </x:c>
      <x:c r="I72" s="1">
        <x:v>10</x:v>
      </x:c>
      <x:c r="J72" s="1">
        <x:v>1.0900000000000001</x:v>
      </x:c>
      <x:c r="K72" s="1" t="s">
        <x:v>1079</x:v>
      </x:c>
      <x:c r="L72" s="1">
        <x:v>1.31</x:v>
      </x:c>
      <x:c r="M72" s="1">
        <x:v>1.25</x:v>
      </x:c>
      <x:c r="N72" s="1">
        <x:v>235</x:v>
      </x:c>
      <x:c r="O72" s="1" t="s">
        <x:v>1044</x:v>
      </x:c>
      <x:c r="P72" s="42" t="str">
        <x:v>Lv10~20</x:v>
      </x:c>
      <x:c r="Q72" s="42" t="str">
        <x:v>0~I</x:v>
      </x:c>
      <x:c r="R72" s="42" t="str">
        <x:v>3</x:v>
      </x:c>
      <x:c r="S72" s="42" t="str">
        <x:v>성급하면 성장 재화 구매 유혹</x:v>
      </x:c>
      <x:c r="T72" s="42" t="n">
        <x:v>12</x:v>
      </x:c>
      <x:c r="U72" s="42" t="n">
        <x:v>192</x:v>
      </x:c>
      <x:c r="V72" s="42" t="n">
        <x:v>100</x:v>
      </x:c>
      <x:c r="W72" s="42" t="n">
        <x:v>10</x:v>
      </x:c>
      <x:c r="X72" s="42" t="n">
        <x:v>30</x:v>
      </x:c>
      <x:c r="Y72" s="42" t="str"/>
    </x:row>
    <x:row r="73">
      <x:c r="A73" s="1">
        <x:v>8</x:v>
      </x:c>
      <x:c r="B73" s="1" t="s">
        <x:v>501</x:v>
      </x:c>
      <x:c r="C73" s="1" t="s">
        <x:v>269</x:v>
      </x:c>
      <x:c r="D73" s="1">
        <x:v>3</x:v>
      </x:c>
      <x:c r="E73" s="1">
        <x:v>2</x:v>
      </x:c>
      <x:c r="F73" s="1">
        <x:v>2</x:v>
      </x:c>
      <x:c r="G73" s="1" t="s">
        <x:v>1042</x:v>
      </x:c>
      <x:c r="H73" s="1">
        <x:v>18</x:v>
      </x:c>
      <x:c r="I73" s="1">
        <x:v>10</x:v>
      </x:c>
      <x:c r="J73" s="1">
        <x:v>1.05</x:v>
      </x:c>
      <x:c r="K73" s="1" t="s">
        <x:v>1082</x:v>
      </x:c>
      <x:c r="L73" s="1">
        <x:v>1.35</x:v>
      </x:c>
      <x:c r="M73" s="1">
        <x:v>1.27</x:v>
      </x:c>
      <x:c r="N73" s="1">
        <x:v>235</x:v>
      </x:c>
      <x:c r="O73" s="1" t="s">
        <x:v>1044</x:v>
      </x:c>
      <x:c r="P73" s="42" t="str">
        <x:v>Lv10~20</x:v>
      </x:c>
      <x:c r="Q73" s="42" t="str">
        <x:v>0~I</x:v>
      </x:c>
      <x:c r="R73" s="42" t="str">
        <x:v>3</x:v>
      </x:c>
      <x:c r="S73" s="42" t="str">
        <x:v>성급하면 성장 재화 구매 유혹</x:v>
      </x:c>
      <x:c r="T73" s="42" t="n">
        <x:v>12</x:v>
      </x:c>
      <x:c r="U73" s="42" t="n">
        <x:v>216</x:v>
      </x:c>
      <x:c r="V73" s="42" t="n">
        <x:v>120</x:v>
      </x:c>
      <x:c r="W73" s="42" t="n">
        <x:v>12</x:v>
      </x:c>
      <x:c r="X73" s="42" t="n">
        <x:v>36</x:v>
      </x:c>
      <x:c r="Y73" s="42" t="str"/>
    </x:row>
    <x:row r="74">
      <x:c r="A74" s="1">
        <x:v>8</x:v>
      </x:c>
      <x:c r="B74" s="1" t="s">
        <x:v>501</x:v>
      </x:c>
      <x:c r="C74" s="1" t="s">
        <x:v>269</x:v>
      </x:c>
      <x:c r="D74" s="1">
        <x:v>3</x:v>
      </x:c>
      <x:c r="E74" s="1">
        <x:v>2</x:v>
      </x:c>
      <x:c r="F74" s="1">
        <x:v>3</x:v>
      </x:c>
      <x:c r="G74" s="1" t="s">
        <x:v>1042</x:v>
      </x:c>
      <x:c r="H74" s="1">
        <x:v>20</x:v>
      </x:c>
      <x:c r="I74" s="1">
        <x:v>12</x:v>
      </x:c>
      <x:c r="J74" s="1">
        <x:v>1.02</x:v>
      </x:c>
      <x:c r="K74" s="1" t="s">
        <x:v>1084</x:v>
      </x:c>
      <x:c r="L74" s="1">
        <x:v>1.39</x:v>
      </x:c>
      <x:c r="M74" s="1">
        <x:v>1.3</x:v>
      </x:c>
      <x:c r="N74" s="1">
        <x:v>235</x:v>
      </x:c>
      <x:c r="O74" s="1" t="s">
        <x:v>1044</x:v>
      </x:c>
      <x:c r="P74" s="42" t="str">
        <x:v>Lv10~20</x:v>
      </x:c>
      <x:c r="Q74" s="42" t="str">
        <x:v>0~I</x:v>
      </x:c>
      <x:c r="R74" s="42" t="str">
        <x:v>3</x:v>
      </x:c>
      <x:c r="S74" s="42" t="str">
        <x:v>성급하면 성장 재화 구매 유혹</x:v>
      </x:c>
      <x:c r="T74" s="42" t="n">
        <x:v>12</x:v>
      </x:c>
      <x:c r="U74" s="42" t="n">
        <x:v>240</x:v>
      </x:c>
      <x:c r="V74" s="42" t="n">
        <x:v>150</x:v>
      </x:c>
      <x:c r="W74" s="42" t="n">
        <x:v>15</x:v>
      </x:c>
      <x:c r="X74" s="42" t="n">
        <x:v>45</x:v>
      </x:c>
      <x:c r="Y74" s="42" t="str"/>
    </x:row>
    <x:row r="75">
      <x:c r="A75" s="1">
        <x:v>8</x:v>
      </x:c>
      <x:c r="B75" s="1" t="s">
        <x:v>501</x:v>
      </x:c>
      <x:c r="C75" s="1" t="s">
        <x:v>269</x:v>
      </x:c>
      <x:c r="D75" s="1">
        <x:v>3</x:v>
      </x:c>
      <x:c r="E75" s="1">
        <x:v>2</x:v>
      </x:c>
      <x:c r="F75" s="1">
        <x:v>4</x:v>
      </x:c>
      <x:c r="G75" s="1" t="s">
        <x:v>1042</x:v>
      </x:c>
      <x:c r="H75" s="1">
        <x:v>22</x:v>
      </x:c>
      <x:c r="I75" s="1">
        <x:v>13</x:v>
      </x:c>
      <x:c r="J75" s="1">
        <x:v>0.98</x:v>
      </x:c>
      <x:c r="K75" s="1" t="s">
        <x:v>1082</x:v>
      </x:c>
      <x:c r="L75" s="1">
        <x:v>1.42</x:v>
      </x:c>
      <x:c r="M75" s="1">
        <x:v>1.32</x:v>
      </x:c>
      <x:c r="N75" s="1">
        <x:v>235</x:v>
      </x:c>
      <x:c r="O75" s="1" t="s">
        <x:v>1047</x:v>
      </x:c>
      <x:c r="P75" s="42" t="str">
        <x:v>Lv10~20</x:v>
      </x:c>
      <x:c r="Q75" s="42" t="str">
        <x:v>0~I</x:v>
      </x:c>
      <x:c r="R75" s="42" t="str">
        <x:v>3</x:v>
      </x:c>
      <x:c r="S75" s="42" t="str">
        <x:v>성급하면 성장 재화 구매 유혹</x:v>
      </x:c>
      <x:c r="T75" s="42" t="n">
        <x:v>12</x:v>
      </x:c>
      <x:c r="U75" s="42" t="n">
        <x:v>264</x:v>
      </x:c>
      <x:c r="V75" s="42" t="n">
        <x:v>180</x:v>
      </x:c>
      <x:c r="W75" s="42" t="n">
        <x:v>18</x:v>
      </x:c>
      <x:c r="X75" s="42" t="n">
        <x:v>54</x:v>
      </x:c>
      <x:c r="Y75" s="42" t="str"/>
    </x:row>
    <x:row r="76">
      <x:c r="A76" s="1">
        <x:v>8</x:v>
      </x:c>
      <x:c r="B76" s="1" t="s">
        <x:v>501</x:v>
      </x:c>
      <x:c r="C76" s="1" t="s">
        <x:v>269</x:v>
      </x:c>
      <x:c r="D76" s="1">
        <x:v>3</x:v>
      </x:c>
      <x:c r="E76" s="1">
        <x:v>2</x:v>
      </x:c>
      <x:c r="F76" s="1">
        <x:v>5</x:v>
      </x:c>
      <x:c r="G76" s="1" t="s">
        <x:v>1048</x:v>
      </x:c>
      <x:c r="H76" s="1">
        <x:v>16</x:v>
      </x:c>
      <x:c r="I76" s="1">
        <x:v>14</x:v>
      </x:c>
      <x:c r="J76" s="1">
        <x:v>0.95</x:v>
      </x:c>
      <x:c r="K76" s="1" t="s">
        <x:v>1085</x:v>
      </x:c>
      <x:c r="L76" s="1">
        <x:v>1.46</x:v>
      </x:c>
      <x:c r="M76" s="1">
        <x:v>1.35</x:v>
      </x:c>
      <x:c r="N76" s="1">
        <x:v>235</x:v>
      </x:c>
      <x:c r="O76" s="1" t="s">
        <x:v>1050</x:v>
      </x:c>
      <x:c r="P76" s="42" t="str">
        <x:v>Lv10~20</x:v>
      </x:c>
      <x:c r="Q76" s="42" t="str">
        <x:v>0~I</x:v>
      </x:c>
      <x:c r="R76" s="42" t="str">
        <x:v>3</x:v>
      </x:c>
      <x:c r="S76" s="42" t="str">
        <x:v>성급하면 성장 재화 구매 유혹</x:v>
      </x:c>
      <x:c r="T76" s="42" t="n">
        <x:v>12</x:v>
      </x:c>
      <x:c r="U76" s="42" t="n">
        <x:v>379</x:v>
      </x:c>
      <x:c r="V76" s="42" t="n">
        <x:v>300</x:v>
      </x:c>
      <x:c r="W76" s="42" t="n">
        <x:v>30</x:v>
      </x:c>
      <x:c r="X76" s="42" t="n">
        <x:v>90</x:v>
      </x:c>
      <x:c r="Y76" s="42" t="str">
        <x:v>중간보스 현상금 포함</x:v>
      </x:c>
    </x:row>
    <x:row r="77">
      <x:c r="A77" s="1">
        <x:v>8</x:v>
      </x:c>
      <x:c r="B77" s="1" t="s">
        <x:v>501</x:v>
      </x:c>
      <x:c r="C77" s="1" t="s">
        <x:v>269</x:v>
      </x:c>
      <x:c r="D77" s="1">
        <x:v>3</x:v>
      </x:c>
      <x:c r="E77" s="1">
        <x:v>2</x:v>
      </x:c>
      <x:c r="F77" s="1">
        <x:v>6</x:v>
      </x:c>
      <x:c r="G77" s="1" t="s">
        <x:v>1042</x:v>
      </x:c>
      <x:c r="H77" s="1">
        <x:v>26</x:v>
      </x:c>
      <x:c r="I77" s="1">
        <x:v>15</x:v>
      </x:c>
      <x:c r="J77" s="1">
        <x:v>0.91</x:v>
      </x:c>
      <x:c r="K77" s="1" t="s">
        <x:v>1082</x:v>
      </x:c>
      <x:c r="L77" s="1">
        <x:v>1.49</x:v>
      </x:c>
      <x:c r="M77" s="1">
        <x:v>1.37</x:v>
      </x:c>
      <x:c r="N77" s="1">
        <x:v>235</x:v>
      </x:c>
      <x:c r="O77" s="1" t="s">
        <x:v>1052</x:v>
      </x:c>
      <x:c r="P77" s="42" t="str">
        <x:v>Lv10~20</x:v>
      </x:c>
      <x:c r="Q77" s="42" t="str">
        <x:v>0~I</x:v>
      </x:c>
      <x:c r="R77" s="42" t="str">
        <x:v>3</x:v>
      </x:c>
      <x:c r="S77" s="42" t="str">
        <x:v>성급하면 성장 재화 구매 유혹</x:v>
      </x:c>
      <x:c r="T77" s="42" t="n">
        <x:v>12</x:v>
      </x:c>
      <x:c r="U77" s="42" t="n">
        <x:v>312</x:v>
      </x:c>
      <x:c r="V77" s="42" t="n">
        <x:v>220</x:v>
      </x:c>
      <x:c r="W77" s="42" t="n">
        <x:v>22</x:v>
      </x:c>
      <x:c r="X77" s="42" t="n">
        <x:v>66</x:v>
      </x:c>
      <x:c r="Y77" s="42" t="str"/>
    </x:row>
    <x:row r="78">
      <x:c r="A78" s="1">
        <x:v>8</x:v>
      </x:c>
      <x:c r="B78" s="1" t="s">
        <x:v>501</x:v>
      </x:c>
      <x:c r="C78" s="1" t="s">
        <x:v>269</x:v>
      </x:c>
      <x:c r="D78" s="1">
        <x:v>3</x:v>
      </x:c>
      <x:c r="E78" s="1">
        <x:v>2</x:v>
      </x:c>
      <x:c r="F78" s="1">
        <x:v>7</x:v>
      </x:c>
      <x:c r="G78" s="1" t="s">
        <x:v>1042</x:v>
      </x:c>
      <x:c r="H78" s="1">
        <x:v>28</x:v>
      </x:c>
      <x:c r="I78" s="1">
        <x:v>16</x:v>
      </x:c>
      <x:c r="J78" s="1">
        <x:v>0.88</x:v>
      </x:c>
      <x:c r="K78" s="1" t="s">
        <x:v>1074</x:v>
      </x:c>
      <x:c r="L78" s="1">
        <x:v>1.52</x:v>
      </x:c>
      <x:c r="M78" s="1">
        <x:v>1.4</x:v>
      </x:c>
      <x:c r="N78" s="1">
        <x:v>235</x:v>
      </x:c>
      <x:c r="O78" s="1" t="s">
        <x:v>1052</x:v>
      </x:c>
      <x:c r="P78" s="42" t="str">
        <x:v>Lv10~20</x:v>
      </x:c>
      <x:c r="Q78" s="42" t="str">
        <x:v>0~I</x:v>
      </x:c>
      <x:c r="R78" s="42" t="str">
        <x:v>3</x:v>
      </x:c>
      <x:c r="S78" s="42" t="str">
        <x:v>성급하면 성장 재화 구매 유혹</x:v>
      </x:c>
      <x:c r="T78" s="42" t="n">
        <x:v>12</x:v>
      </x:c>
      <x:c r="U78" s="42" t="n">
        <x:v>336</x:v>
      </x:c>
      <x:c r="V78" s="42" t="n">
        <x:v>300</x:v>
      </x:c>
      <x:c r="W78" s="42" t="n">
        <x:v>30</x:v>
      </x:c>
      <x:c r="X78" s="42" t="n">
        <x:v>90</x:v>
      </x:c>
      <x:c r="Y78" s="42" t="str"/>
    </x:row>
    <x:row r="79">
      <x:c r="A79" s="1">
        <x:v>8</x:v>
      </x:c>
      <x:c r="B79" s="1" t="s">
        <x:v>501</x:v>
      </x:c>
      <x:c r="C79" s="1" t="s">
        <x:v>269</x:v>
      </x:c>
      <x:c r="D79" s="1">
        <x:v>3</x:v>
      </x:c>
      <x:c r="E79" s="1">
        <x:v>2</x:v>
      </x:c>
      <x:c r="F79" s="1">
        <x:v>8</x:v>
      </x:c>
      <x:c r="G79" s="1" t="s">
        <x:v>1042</x:v>
      </x:c>
      <x:c r="H79" s="1">
        <x:v>30</x:v>
      </x:c>
      <x:c r="I79" s="1">
        <x:v>17</x:v>
      </x:c>
      <x:c r="J79" s="1">
        <x:v>0.84</x:v>
      </x:c>
      <x:c r="K79" s="1" t="s">
        <x:v>1077</x:v>
      </x:c>
      <x:c r="L79" s="1">
        <x:v>1.56</x:v>
      </x:c>
      <x:c r="M79" s="1">
        <x:v>1.42</x:v>
      </x:c>
      <x:c r="N79" s="1">
        <x:v>235</x:v>
      </x:c>
      <x:c r="O79" s="1" t="s">
        <x:v>1052</x:v>
      </x:c>
      <x:c r="P79" s="42" t="str">
        <x:v>Lv10~20</x:v>
      </x:c>
      <x:c r="Q79" s="42" t="str">
        <x:v>0~I</x:v>
      </x:c>
      <x:c r="R79" s="42" t="str">
        <x:v>3</x:v>
      </x:c>
      <x:c r="S79" s="42" t="str">
        <x:v>성급하면 성장 재화 구매 유혹</x:v>
      </x:c>
      <x:c r="T79" s="42" t="n">
        <x:v>12</x:v>
      </x:c>
      <x:c r="U79" s="42" t="n">
        <x:v>360</x:v>
      </x:c>
      <x:c r="V79" s="42" t="n">
        <x:v>400</x:v>
      </x:c>
      <x:c r="W79" s="42" t="n">
        <x:v>40</x:v>
      </x:c>
      <x:c r="X79" s="42" t="n">
        <x:v>120</x:v>
      </x:c>
      <x:c r="Y79" s="42" t="str"/>
    </x:row>
    <x:row r="80">
      <x:c r="A80" s="1">
        <x:v>8</x:v>
      </x:c>
      <x:c r="B80" s="1" t="s">
        <x:v>501</x:v>
      </x:c>
      <x:c r="C80" s="1" t="s">
        <x:v>269</x:v>
      </x:c>
      <x:c r="D80" s="1">
        <x:v>3</x:v>
      </x:c>
      <x:c r="E80" s="1">
        <x:v>2</x:v>
      </x:c>
      <x:c r="F80" s="1">
        <x:v>9</x:v>
      </x:c>
      <x:c r="G80" s="1" t="s">
        <x:v>1042</x:v>
      </x:c>
      <x:c r="H80" s="1">
        <x:v>32</x:v>
      </x:c>
      <x:c r="I80" s="1">
        <x:v>19</x:v>
      </x:c>
      <x:c r="J80" s="1">
        <x:v>0.81</x:v>
      </x:c>
      <x:c r="K80" s="1" t="s">
        <x:v>1074</x:v>
      </x:c>
      <x:c r="L80" s="1">
        <x:v>1.59</x:v>
      </x:c>
      <x:c r="M80" s="1">
        <x:v>1.45</x:v>
      </x:c>
      <x:c r="N80" s="1">
        <x:v>235</x:v>
      </x:c>
      <x:c r="O80" s="1" t="s">
        <x:v>1056</x:v>
      </x:c>
      <x:c r="P80" s="42" t="str">
        <x:v>Lv10~20</x:v>
      </x:c>
      <x:c r="Q80" s="42" t="str">
        <x:v>0~I</x:v>
      </x:c>
      <x:c r="R80" s="42" t="str">
        <x:v>3</x:v>
      </x:c>
      <x:c r="S80" s="42" t="str">
        <x:v>성급하면 성장 재화 구매 유혹</x:v>
      </x:c>
      <x:c r="T80" s="42" t="n">
        <x:v>12</x:v>
      </x:c>
      <x:c r="U80" s="42" t="n">
        <x:v>384</x:v>
      </x:c>
      <x:c r="V80" s="42" t="n">
        <x:v>500</x:v>
      </x:c>
      <x:c r="W80" s="42" t="n">
        <x:v>50</x:v>
      </x:c>
      <x:c r="X80" s="42" t="n">
        <x:v>150</x:v>
      </x:c>
      <x:c r="Y80" s="42" t="str"/>
    </x:row>
    <x:row r="81">
      <x:c r="A81" s="1">
        <x:v>8</x:v>
      </x:c>
      <x:c r="B81" s="1" t="s">
        <x:v>501</x:v>
      </x:c>
      <x:c r="C81" s="1" t="s">
        <x:v>269</x:v>
      </x:c>
      <x:c r="D81" s="1">
        <x:v>3</x:v>
      </x:c>
      <x:c r="E81" s="1">
        <x:v>2</x:v>
      </x:c>
      <x:c r="F81" s="1">
        <x:v>10</x:v>
      </x:c>
      <x:c r="G81" s="1" t="s">
        <x:v>1057</x:v>
      </x:c>
      <x:c r="H81" s="1">
        <x:v>24</x:v>
      </x:c>
      <x:c r="I81" s="1">
        <x:v>20</x:v>
      </x:c>
      <x:c r="J81" s="1">
        <x:v>0.77</x:v>
      </x:c>
      <x:c r="K81" s="1" t="s">
        <x:v>1086</x:v>
      </x:c>
      <x:c r="L81" s="1">
        <x:v>1.63</x:v>
      </x:c>
      <x:c r="M81" s="1">
        <x:v>1.47</x:v>
      </x:c>
      <x:c r="N81" s="1">
        <x:v>235</x:v>
      </x:c>
      <x:c r="O81" s="1" t="s">
        <x:v>1059</x:v>
      </x:c>
      <x:c r="P81" s="42" t="str">
        <x:v>Lv10~20</x:v>
      </x:c>
      <x:c r="Q81" s="42" t="str">
        <x:v>0~I</x:v>
      </x:c>
      <x:c r="R81" s="42" t="str">
        <x:v>3</x:v>
      </x:c>
      <x:c r="S81" s="42" t="str">
        <x:v>성급하면 성장 재화 구매 유혹</x:v>
      </x:c>
      <x:c r="T81" s="42" t="n">
        <x:v>12</x:v>
      </x:c>
      <x:c r="U81" s="42" t="n">
        <x:v>276</x:v>
      </x:c>
      <x:c r="V81" s="42" t="n">
        <x:v>0</x:v>
      </x:c>
      <x:c r="W81" s="42" t="n">
        <x:v>0</x:v>
      </x:c>
      <x:c r="X81" s="42" t="n">
        <x:v>0</x:v>
      </x:c>
      <x:c r="Y81" s="42" t="str">
        <x:v>보스 처치 보상은 로비 보상으로 분리</x:v>
      </x:c>
    </x:row>
    <x:row r="82">
      <x:c r="A82" s="1">
        <x:v>9</x:v>
      </x:c>
      <x:c r="B82" s="1" t="s">
        <x:v>501</x:v>
      </x:c>
      <x:c r="C82" s="1" t="s">
        <x:v>269</x:v>
      </x:c>
      <x:c r="D82" s="1">
        <x:v>4</x:v>
      </x:c>
      <x:c r="E82" s="1">
        <x:v>2</x:v>
      </x:c>
      <x:c r="F82" s="1">
        <x:v>1</x:v>
      </x:c>
      <x:c r="G82" s="1" t="s">
        <x:v>1042</x:v>
      </x:c>
      <x:c r="H82" s="1">
        <x:v>17</x:v>
      </x:c>
      <x:c r="I82" s="1">
        <x:v>10</x:v>
      </x:c>
      <x:c r="J82" s="1">
        <x:v>1.08</x:v>
      </x:c>
      <x:c r="K82" s="1" t="s">
        <x:v>1087</x:v>
      </x:c>
      <x:c r="L82" s="1">
        <x:v>1.36</x:v>
      </x:c>
      <x:c r="M82" s="1">
        <x:v>1.28</x:v>
      </x:c>
      <x:c r="N82" s="1">
        <x:v>266</x:v>
      </x:c>
      <x:c r="O82" s="1" t="s">
        <x:v>1044</x:v>
      </x:c>
      <x:c r="P82" s="42" t="str">
        <x:v>Lv10~20</x:v>
      </x:c>
      <x:c r="Q82" s="42" t="str">
        <x:v>0~I</x:v>
      </x:c>
      <x:c r="R82" s="42" t="str">
        <x:v>3</x:v>
      </x:c>
      <x:c r="S82" s="42" t="str">
        <x:v>성급하면 성장 재화 구매 유혹</x:v>
      </x:c>
      <x:c r="T82" s="42" t="n">
        <x:v>12</x:v>
      </x:c>
      <x:c r="U82" s="42" t="n">
        <x:v>204</x:v>
      </x:c>
      <x:c r="V82" s="42" t="n">
        <x:v>100</x:v>
      </x:c>
      <x:c r="W82" s="42" t="n">
        <x:v>10</x:v>
      </x:c>
      <x:c r="X82" s="42" t="n">
        <x:v>30</x:v>
      </x:c>
      <x:c r="Y82" s="42" t="str"/>
    </x:row>
    <x:row r="83">
      <x:c r="A83" s="1">
        <x:v>9</x:v>
      </x:c>
      <x:c r="B83" s="1" t="s">
        <x:v>501</x:v>
      </x:c>
      <x:c r="C83" s="1" t="s">
        <x:v>269</x:v>
      </x:c>
      <x:c r="D83" s="1">
        <x:v>4</x:v>
      </x:c>
      <x:c r="E83" s="1">
        <x:v>2</x:v>
      </x:c>
      <x:c r="F83" s="1">
        <x:v>2</x:v>
      </x:c>
      <x:c r="G83" s="1" t="s">
        <x:v>1042</x:v>
      </x:c>
      <x:c r="H83" s="1">
        <x:v>19</x:v>
      </x:c>
      <x:c r="I83" s="1">
        <x:v>11</x:v>
      </x:c>
      <x:c r="J83" s="1">
        <x:v>1.04</x:v>
      </x:c>
      <x:c r="K83" s="1" t="s">
        <x:v>1084</x:v>
      </x:c>
      <x:c r="L83" s="1">
        <x:v>1.39</x:v>
      </x:c>
      <x:c r="M83" s="1">
        <x:v>1.3</x:v>
      </x:c>
      <x:c r="N83" s="1">
        <x:v>266</x:v>
      </x:c>
      <x:c r="O83" s="1" t="s">
        <x:v>1044</x:v>
      </x:c>
      <x:c r="P83" s="42" t="str">
        <x:v>Lv10~20</x:v>
      </x:c>
      <x:c r="Q83" s="42" t="str">
        <x:v>0~I</x:v>
      </x:c>
      <x:c r="R83" s="42" t="str">
        <x:v>3</x:v>
      </x:c>
      <x:c r="S83" s="42" t="str">
        <x:v>성급하면 성장 재화 구매 유혹</x:v>
      </x:c>
      <x:c r="T83" s="42" t="n">
        <x:v>12</x:v>
      </x:c>
      <x:c r="U83" s="42" t="n">
        <x:v>228</x:v>
      </x:c>
      <x:c r="V83" s="42" t="n">
        <x:v>120</x:v>
      </x:c>
      <x:c r="W83" s="42" t="n">
        <x:v>12</x:v>
      </x:c>
      <x:c r="X83" s="42" t="n">
        <x:v>36</x:v>
      </x:c>
      <x:c r="Y83" s="42" t="str"/>
    </x:row>
    <x:row r="84">
      <x:c r="A84" s="1">
        <x:v>9</x:v>
      </x:c>
      <x:c r="B84" s="1" t="s">
        <x:v>501</x:v>
      </x:c>
      <x:c r="C84" s="1" t="s">
        <x:v>269</x:v>
      </x:c>
      <x:c r="D84" s="1">
        <x:v>4</x:v>
      </x:c>
      <x:c r="E84" s="1">
        <x:v>2</x:v>
      </x:c>
      <x:c r="F84" s="1">
        <x:v>3</x:v>
      </x:c>
      <x:c r="G84" s="1" t="s">
        <x:v>1042</x:v>
      </x:c>
      <x:c r="H84" s="1">
        <x:v>21</x:v>
      </x:c>
      <x:c r="I84" s="1">
        <x:v>12</x:v>
      </x:c>
      <x:c r="J84" s="1">
        <x:v>1.01</x:v>
      </x:c>
      <x:c r="K84" s="1" t="s">
        <x:v>1088</x:v>
      </x:c>
      <x:c r="L84" s="1">
        <x:v>1.43</x:v>
      </x:c>
      <x:c r="M84" s="1">
        <x:v>1.33</x:v>
      </x:c>
      <x:c r="N84" s="1">
        <x:v>266</x:v>
      </x:c>
      <x:c r="O84" s="1" t="s">
        <x:v>1044</x:v>
      </x:c>
      <x:c r="P84" s="42" t="str">
        <x:v>Lv10~20</x:v>
      </x:c>
      <x:c r="Q84" s="42" t="str">
        <x:v>0~I</x:v>
      </x:c>
      <x:c r="R84" s="42" t="str">
        <x:v>3</x:v>
      </x:c>
      <x:c r="S84" s="42" t="str">
        <x:v>성급하면 성장 재화 구매 유혹</x:v>
      </x:c>
      <x:c r="T84" s="42" t="n">
        <x:v>12</x:v>
      </x:c>
      <x:c r="U84" s="42" t="n">
        <x:v>252</x:v>
      </x:c>
      <x:c r="V84" s="42" t="n">
        <x:v>150</x:v>
      </x:c>
      <x:c r="W84" s="42" t="n">
        <x:v>15</x:v>
      </x:c>
      <x:c r="X84" s="42" t="n">
        <x:v>45</x:v>
      </x:c>
      <x:c r="Y84" s="42" t="str"/>
    </x:row>
    <x:row r="85">
      <x:c r="A85" s="1">
        <x:v>9</x:v>
      </x:c>
      <x:c r="B85" s="1" t="s">
        <x:v>501</x:v>
      </x:c>
      <x:c r="C85" s="1" t="s">
        <x:v>269</x:v>
      </x:c>
      <x:c r="D85" s="1">
        <x:v>4</x:v>
      </x:c>
      <x:c r="E85" s="1">
        <x:v>2</x:v>
      </x:c>
      <x:c r="F85" s="1">
        <x:v>4</x:v>
      </x:c>
      <x:c r="G85" s="1" t="s">
        <x:v>1042</x:v>
      </x:c>
      <x:c r="H85" s="1">
        <x:v>23</x:v>
      </x:c>
      <x:c r="I85" s="1">
        <x:v>13</x:v>
      </x:c>
      <x:c r="J85" s="1">
        <x:v>0.97</x:v>
      </x:c>
      <x:c r="K85" s="1" t="s">
        <x:v>1089</x:v>
      </x:c>
      <x:c r="L85" s="1">
        <x:v>1.46</x:v>
      </x:c>
      <x:c r="M85" s="1">
        <x:v>1.35</x:v>
      </x:c>
      <x:c r="N85" s="1">
        <x:v>266</x:v>
      </x:c>
      <x:c r="O85" s="1" t="s">
        <x:v>1047</x:v>
      </x:c>
      <x:c r="P85" s="42" t="str">
        <x:v>Lv10~20</x:v>
      </x:c>
      <x:c r="Q85" s="42" t="str">
        <x:v>0~I</x:v>
      </x:c>
      <x:c r="R85" s="42" t="str">
        <x:v>3</x:v>
      </x:c>
      <x:c r="S85" s="42" t="str">
        <x:v>성급하면 성장 재화 구매 유혹</x:v>
      </x:c>
      <x:c r="T85" s="42" t="n">
        <x:v>12</x:v>
      </x:c>
      <x:c r="U85" s="42" t="n">
        <x:v>276</x:v>
      </x:c>
      <x:c r="V85" s="42" t="n">
        <x:v>180</x:v>
      </x:c>
      <x:c r="W85" s="42" t="n">
        <x:v>18</x:v>
      </x:c>
      <x:c r="X85" s="42" t="n">
        <x:v>54</x:v>
      </x:c>
      <x:c r="Y85" s="42" t="str"/>
    </x:row>
    <x:row r="86">
      <x:c r="A86" s="1">
        <x:v>9</x:v>
      </x:c>
      <x:c r="B86" s="1" t="s">
        <x:v>501</x:v>
      </x:c>
      <x:c r="C86" s="1" t="s">
        <x:v>269</x:v>
      </x:c>
      <x:c r="D86" s="1">
        <x:v>4</x:v>
      </x:c>
      <x:c r="E86" s="1">
        <x:v>2</x:v>
      </x:c>
      <x:c r="F86" s="1">
        <x:v>5</x:v>
      </x:c>
      <x:c r="G86" s="1" t="s">
        <x:v>1048</x:v>
      </x:c>
      <x:c r="H86" s="1">
        <x:v>17</x:v>
      </x:c>
      <x:c r="I86" s="1">
        <x:v>14</x:v>
      </x:c>
      <x:c r="J86" s="1">
        <x:v>0.94</x:v>
      </x:c>
      <x:c r="K86" s="1" t="s">
        <x:v>1090</x:v>
      </x:c>
      <x:c r="L86" s="1">
        <x:v>1.5</x:v>
      </x:c>
      <x:c r="M86" s="1">
        <x:v>1.38</x:v>
      </x:c>
      <x:c r="N86" s="1">
        <x:v>266</x:v>
      </x:c>
      <x:c r="O86" s="1" t="s">
        <x:v>1050</x:v>
      </x:c>
      <x:c r="P86" s="42" t="str">
        <x:v>Lv10~20</x:v>
      </x:c>
      <x:c r="Q86" s="42" t="str">
        <x:v>0~I</x:v>
      </x:c>
      <x:c r="R86" s="42" t="str">
        <x:v>3</x:v>
      </x:c>
      <x:c r="S86" s="42" t="str">
        <x:v>성급하면 성장 재화 구매 유혹</x:v>
      </x:c>
      <x:c r="T86" s="42" t="n">
        <x:v>12</x:v>
      </x:c>
      <x:c r="U86" s="42" t="n">
        <x:v>394</x:v>
      </x:c>
      <x:c r="V86" s="42" t="n">
        <x:v>300</x:v>
      </x:c>
      <x:c r="W86" s="42" t="n">
        <x:v>30</x:v>
      </x:c>
      <x:c r="X86" s="42" t="n">
        <x:v>90</x:v>
      </x:c>
      <x:c r="Y86" s="42" t="str">
        <x:v>중간보스 현상금 포함</x:v>
      </x:c>
    </x:row>
    <x:row r="87">
      <x:c r="A87" s="1">
        <x:v>9</x:v>
      </x:c>
      <x:c r="B87" s="1" t="s">
        <x:v>501</x:v>
      </x:c>
      <x:c r="C87" s="1" t="s">
        <x:v>269</x:v>
      </x:c>
      <x:c r="D87" s="1">
        <x:v>4</x:v>
      </x:c>
      <x:c r="E87" s="1">
        <x:v>2</x:v>
      </x:c>
      <x:c r="F87" s="1">
        <x:v>6</x:v>
      </x:c>
      <x:c r="G87" s="1" t="s">
        <x:v>1042</x:v>
      </x:c>
      <x:c r="H87" s="1">
        <x:v>27</x:v>
      </x:c>
      <x:c r="I87" s="1">
        <x:v>16</x:v>
      </x:c>
      <x:c r="J87" s="1">
        <x:v>0.9</x:v>
      </x:c>
      <x:c r="K87" s="1" t="s">
        <x:v>1091</x:v>
      </x:c>
      <x:c r="L87" s="1">
        <x:v>1.53</x:v>
      </x:c>
      <x:c r="M87" s="1">
        <x:v>1.41</x:v>
      </x:c>
      <x:c r="N87" s="1">
        <x:v>266</x:v>
      </x:c>
      <x:c r="O87" s="1" t="s">
        <x:v>1052</x:v>
      </x:c>
      <x:c r="P87" s="42" t="str">
        <x:v>Lv10~20</x:v>
      </x:c>
      <x:c r="Q87" s="42" t="str">
        <x:v>0~I</x:v>
      </x:c>
      <x:c r="R87" s="42" t="str">
        <x:v>3</x:v>
      </x:c>
      <x:c r="S87" s="42" t="str">
        <x:v>성급하면 성장 재화 구매 유혹</x:v>
      </x:c>
      <x:c r="T87" s="42" t="n">
        <x:v>12</x:v>
      </x:c>
      <x:c r="U87" s="42" t="n">
        <x:v>324</x:v>
      </x:c>
      <x:c r="V87" s="42" t="n">
        <x:v>220</x:v>
      </x:c>
      <x:c r="W87" s="42" t="n">
        <x:v>22</x:v>
      </x:c>
      <x:c r="X87" s="42" t="n">
        <x:v>66</x:v>
      </x:c>
      <x:c r="Y87" s="42" t="str"/>
    </x:row>
    <x:row r="88">
      <x:c r="A88" s="1">
        <x:v>9</x:v>
      </x:c>
      <x:c r="B88" s="1" t="s">
        <x:v>501</x:v>
      </x:c>
      <x:c r="C88" s="1" t="s">
        <x:v>269</x:v>
      </x:c>
      <x:c r="D88" s="1">
        <x:v>4</x:v>
      </x:c>
      <x:c r="E88" s="1">
        <x:v>2</x:v>
      </x:c>
      <x:c r="F88" s="1">
        <x:v>7</x:v>
      </x:c>
      <x:c r="G88" s="1" t="s">
        <x:v>1042</x:v>
      </x:c>
      <x:c r="H88" s="1">
        <x:v>29</x:v>
      </x:c>
      <x:c r="I88" s="1">
        <x:v>17</x:v>
      </x:c>
      <x:c r="J88" s="1">
        <x:v>0.87</x:v>
      </x:c>
      <x:c r="K88" s="1" t="s">
        <x:v>1082</x:v>
      </x:c>
      <x:c r="L88" s="1">
        <x:v>1.57</x:v>
      </x:c>
      <x:c r="M88" s="1">
        <x:v>1.43</x:v>
      </x:c>
      <x:c r="N88" s="1">
        <x:v>266</x:v>
      </x:c>
      <x:c r="O88" s="1" t="s">
        <x:v>1052</x:v>
      </x:c>
      <x:c r="P88" s="42" t="str">
        <x:v>Lv10~20</x:v>
      </x:c>
      <x:c r="Q88" s="42" t="str">
        <x:v>0~I</x:v>
      </x:c>
      <x:c r="R88" s="42" t="str">
        <x:v>3</x:v>
      </x:c>
      <x:c r="S88" s="42" t="str">
        <x:v>성급하면 성장 재화 구매 유혹</x:v>
      </x:c>
      <x:c r="T88" s="42" t="n">
        <x:v>12</x:v>
      </x:c>
      <x:c r="U88" s="42" t="n">
        <x:v>348</x:v>
      </x:c>
      <x:c r="V88" s="42" t="n">
        <x:v>300</x:v>
      </x:c>
      <x:c r="W88" s="42" t="n">
        <x:v>30</x:v>
      </x:c>
      <x:c r="X88" s="42" t="n">
        <x:v>90</x:v>
      </x:c>
      <x:c r="Y88" s="42" t="str"/>
    </x:row>
    <x:row r="89">
      <x:c r="A89" s="1">
        <x:v>9</x:v>
      </x:c>
      <x:c r="B89" s="1" t="s">
        <x:v>501</x:v>
      </x:c>
      <x:c r="C89" s="1" t="s">
        <x:v>269</x:v>
      </x:c>
      <x:c r="D89" s="1">
        <x:v>4</x:v>
      </x:c>
      <x:c r="E89" s="1">
        <x:v>2</x:v>
      </x:c>
      <x:c r="F89" s="1">
        <x:v>8</x:v>
      </x:c>
      <x:c r="G89" s="1" t="s">
        <x:v>1042</x:v>
      </x:c>
      <x:c r="H89" s="1">
        <x:v>31</x:v>
      </x:c>
      <x:c r="I89" s="1">
        <x:v>18</x:v>
      </x:c>
      <x:c r="J89" s="1">
        <x:v>0.83</x:v>
      </x:c>
      <x:c r="K89" s="1" t="s">
        <x:v>1074</x:v>
      </x:c>
      <x:c r="L89" s="1">
        <x:v>1.6</x:v>
      </x:c>
      <x:c r="M89" s="1">
        <x:v>1.46</x:v>
      </x:c>
      <x:c r="N89" s="1">
        <x:v>266</x:v>
      </x:c>
      <x:c r="O89" s="1" t="s">
        <x:v>1052</x:v>
      </x:c>
      <x:c r="P89" s="42" t="str">
        <x:v>Lv10~20</x:v>
      </x:c>
      <x:c r="Q89" s="42" t="str">
        <x:v>0~I</x:v>
      </x:c>
      <x:c r="R89" s="42" t="str">
        <x:v>3</x:v>
      </x:c>
      <x:c r="S89" s="42" t="str">
        <x:v>성급하면 성장 재화 구매 유혹</x:v>
      </x:c>
      <x:c r="T89" s="42" t="n">
        <x:v>12</x:v>
      </x:c>
      <x:c r="U89" s="42" t="n">
        <x:v>372</x:v>
      </x:c>
      <x:c r="V89" s="42" t="n">
        <x:v>400</x:v>
      </x:c>
      <x:c r="W89" s="42" t="n">
        <x:v>40</x:v>
      </x:c>
      <x:c r="X89" s="42" t="n">
        <x:v>120</x:v>
      </x:c>
      <x:c r="Y89" s="42" t="str"/>
    </x:row>
    <x:row r="90">
      <x:c r="A90" s="1">
        <x:v>9</x:v>
      </x:c>
      <x:c r="B90" s="1" t="s">
        <x:v>501</x:v>
      </x:c>
      <x:c r="C90" s="1" t="s">
        <x:v>269</x:v>
      </x:c>
      <x:c r="D90" s="1">
        <x:v>4</x:v>
      </x:c>
      <x:c r="E90" s="1">
        <x:v>2</x:v>
      </x:c>
      <x:c r="F90" s="1">
        <x:v>9</x:v>
      </x:c>
      <x:c r="G90" s="1" t="s">
        <x:v>1042</x:v>
      </x:c>
      <x:c r="H90" s="1">
        <x:v>33</x:v>
      </x:c>
      <x:c r="I90" s="1">
        <x:v>19</x:v>
      </x:c>
      <x:c r="J90" s="1">
        <x:v>0.8</x:v>
      </x:c>
      <x:c r="K90" s="1" t="s">
        <x:v>1082</x:v>
      </x:c>
      <x:c r="L90" s="1">
        <x:v>1.64</x:v>
      </x:c>
      <x:c r="M90" s="1">
        <x:v>1.48</x:v>
      </x:c>
      <x:c r="N90" s="1">
        <x:v>266</x:v>
      </x:c>
      <x:c r="O90" s="1" t="s">
        <x:v>1056</x:v>
      </x:c>
      <x:c r="P90" s="42" t="str">
        <x:v>Lv10~20</x:v>
      </x:c>
      <x:c r="Q90" s="42" t="str">
        <x:v>0~I</x:v>
      </x:c>
      <x:c r="R90" s="42" t="str">
        <x:v>3</x:v>
      </x:c>
      <x:c r="S90" s="42" t="str">
        <x:v>성급하면 성장 재화 구매 유혹</x:v>
      </x:c>
      <x:c r="T90" s="42" t="n">
        <x:v>12</x:v>
      </x:c>
      <x:c r="U90" s="42" t="n">
        <x:v>396</x:v>
      </x:c>
      <x:c r="V90" s="42" t="n">
        <x:v>500</x:v>
      </x:c>
      <x:c r="W90" s="42" t="n">
        <x:v>50</x:v>
      </x:c>
      <x:c r="X90" s="42" t="n">
        <x:v>150</x:v>
      </x:c>
      <x:c r="Y90" s="42" t="str"/>
    </x:row>
    <x:row r="91">
      <x:c r="A91" s="1">
        <x:v>9</x:v>
      </x:c>
      <x:c r="B91" s="1" t="s">
        <x:v>501</x:v>
      </x:c>
      <x:c r="C91" s="1" t="s">
        <x:v>269</x:v>
      </x:c>
      <x:c r="D91" s="1">
        <x:v>4</x:v>
      </x:c>
      <x:c r="E91" s="1">
        <x:v>2</x:v>
      </x:c>
      <x:c r="F91" s="1">
        <x:v>10</x:v>
      </x:c>
      <x:c r="G91" s="1" t="s">
        <x:v>1057</x:v>
      </x:c>
      <x:c r="H91" s="1">
        <x:v>25</x:v>
      </x:c>
      <x:c r="I91" s="1">
        <x:v>20</x:v>
      </x:c>
      <x:c r="J91" s="1">
        <x:v>0.76</x:v>
      </x:c>
      <x:c r="K91" s="1" t="s">
        <x:v>1092</x:v>
      </x:c>
      <x:c r="L91" s="1">
        <x:v>1.67</x:v>
      </x:c>
      <x:c r="M91" s="1">
        <x:v>1.51</x:v>
      </x:c>
      <x:c r="N91" s="1">
        <x:v>266</x:v>
      </x:c>
      <x:c r="O91" s="1" t="s">
        <x:v>1059</x:v>
      </x:c>
      <x:c r="P91" s="42" t="str">
        <x:v>Lv10~20</x:v>
      </x:c>
      <x:c r="Q91" s="42" t="str">
        <x:v>0~I</x:v>
      </x:c>
      <x:c r="R91" s="42" t="str">
        <x:v>3</x:v>
      </x:c>
      <x:c r="S91" s="42" t="str">
        <x:v>성급하면 성장 재화 구매 유혹</x:v>
      </x:c>
      <x:c r="T91" s="42" t="n">
        <x:v>12</x:v>
      </x:c>
      <x:c r="U91" s="42" t="n">
        <x:v>288</x:v>
      </x:c>
      <x:c r="V91" s="42" t="n">
        <x:v>0</x:v>
      </x:c>
      <x:c r="W91" s="42" t="n">
        <x:v>0</x:v>
      </x:c>
      <x:c r="X91" s="42" t="n">
        <x:v>0</x:v>
      </x:c>
      <x:c r="Y91" s="42" t="str">
        <x:v>보스 처치 보상은 로비 보상으로 분리</x:v>
      </x:c>
    </x:row>
    <x:row r="92">
      <x:c r="A92" s="1">
        <x:v>10</x:v>
      </x:c>
      <x:c r="B92" s="1" t="s">
        <x:v>501</x:v>
      </x:c>
      <x:c r="C92" s="1" t="s">
        <x:v>269</x:v>
      </x:c>
      <x:c r="D92" s="1">
        <x:v>5</x:v>
      </x:c>
      <x:c r="E92" s="1">
        <x:v>3</x:v>
      </x:c>
      <x:c r="F92" s="1">
        <x:v>1</x:v>
      </x:c>
      <x:c r="G92" s="1" t="s">
        <x:v>1042</x:v>
      </x:c>
      <x:c r="H92" s="1">
        <x:v>19</x:v>
      </x:c>
      <x:c r="I92" s="1">
        <x:v>11</x:v>
      </x:c>
      <x:c r="J92" s="1">
        <x:v>1.07</x:v>
      </x:c>
      <x:c r="K92" s="1" t="s">
        <x:v>1093</x:v>
      </x:c>
      <x:c r="L92" s="1">
        <x:v>1.41</x:v>
      </x:c>
      <x:c r="M92" s="1">
        <x:v>1.31</x:v>
      </x:c>
      <x:c r="N92" s="1">
        <x:v>300</x:v>
      </x:c>
      <x:c r="O92" s="1" t="s">
        <x:v>1044</x:v>
      </x:c>
      <x:c r="P92" s="42" t="str">
        <x:v>Lv10~20</x:v>
      </x:c>
      <x:c r="Q92" s="42" t="str">
        <x:v>0~I</x:v>
      </x:c>
      <x:c r="R92" s="42" t="str">
        <x:v>3</x:v>
      </x:c>
      <x:c r="S92" s="42" t="str">
        <x:v>성급하면 성장 재화 구매 유혹</x:v>
      </x:c>
      <x:c r="T92" s="42" t="n">
        <x:v>12</x:v>
      </x:c>
      <x:c r="U92" s="42" t="n">
        <x:v>228</x:v>
      </x:c>
      <x:c r="V92" s="42" t="n">
        <x:v>100</x:v>
      </x:c>
      <x:c r="W92" s="42" t="n">
        <x:v>10</x:v>
      </x:c>
      <x:c r="X92" s="42" t="n">
        <x:v>30</x:v>
      </x:c>
      <x:c r="Y92" s="42" t="str"/>
    </x:row>
    <x:row r="93">
      <x:c r="A93" s="1">
        <x:v>10</x:v>
      </x:c>
      <x:c r="B93" s="1" t="s">
        <x:v>501</x:v>
      </x:c>
      <x:c r="C93" s="1" t="s">
        <x:v>269</x:v>
      </x:c>
      <x:c r="D93" s="1">
        <x:v>5</x:v>
      </x:c>
      <x:c r="E93" s="1">
        <x:v>3</x:v>
      </x:c>
      <x:c r="F93" s="1">
        <x:v>2</x:v>
      </x:c>
      <x:c r="G93" s="1" t="s">
        <x:v>1042</x:v>
      </x:c>
      <x:c r="H93" s="1">
        <x:v>21</x:v>
      </x:c>
      <x:c r="I93" s="1">
        <x:v>12</x:v>
      </x:c>
      <x:c r="J93" s="1">
        <x:v>1.03</x:v>
      </x:c>
      <x:c r="K93" s="1" t="s">
        <x:v>1088</x:v>
      </x:c>
      <x:c r="L93" s="1">
        <x:v>1.44</x:v>
      </x:c>
      <x:c r="M93" s="1">
        <x:v>1.34</x:v>
      </x:c>
      <x:c r="N93" s="1">
        <x:v>300</x:v>
      </x:c>
      <x:c r="O93" s="1" t="s">
        <x:v>1044</x:v>
      </x:c>
      <x:c r="P93" s="42" t="str">
        <x:v>Lv10~20</x:v>
      </x:c>
      <x:c r="Q93" s="42" t="str">
        <x:v>0~I</x:v>
      </x:c>
      <x:c r="R93" s="42" t="str">
        <x:v>3</x:v>
      </x:c>
      <x:c r="S93" s="42" t="str">
        <x:v>성급하면 성장 재화 구매 유혹</x:v>
      </x:c>
      <x:c r="T93" s="42" t="n">
        <x:v>12</x:v>
      </x:c>
      <x:c r="U93" s="42" t="n">
        <x:v>252</x:v>
      </x:c>
      <x:c r="V93" s="42" t="n">
        <x:v>120</x:v>
      </x:c>
      <x:c r="W93" s="42" t="n">
        <x:v>12</x:v>
      </x:c>
      <x:c r="X93" s="42" t="n">
        <x:v>36</x:v>
      </x:c>
      <x:c r="Y93" s="42" t="str"/>
    </x:row>
    <x:row r="94">
      <x:c r="A94" s="1">
        <x:v>10</x:v>
      </x:c>
      <x:c r="B94" s="1" t="s">
        <x:v>501</x:v>
      </x:c>
      <x:c r="C94" s="1" t="s">
        <x:v>269</x:v>
      </x:c>
      <x:c r="D94" s="1">
        <x:v>5</x:v>
      </x:c>
      <x:c r="E94" s="1">
        <x:v>3</x:v>
      </x:c>
      <x:c r="F94" s="1">
        <x:v>3</x:v>
      </x:c>
      <x:c r="G94" s="1" t="s">
        <x:v>1042</x:v>
      </x:c>
      <x:c r="H94" s="1">
        <x:v>23</x:v>
      </x:c>
      <x:c r="I94" s="1">
        <x:v>13</x:v>
      </x:c>
      <x:c r="J94" s="1">
        <x:v>1</x:v>
      </x:c>
      <x:c r="K94" s="1" t="s">
        <x:v>1094</x:v>
      </x:c>
      <x:c r="L94" s="1">
        <x:v>1.48</x:v>
      </x:c>
      <x:c r="M94" s="1">
        <x:v>1.36</x:v>
      </x:c>
      <x:c r="N94" s="1">
        <x:v>300</x:v>
      </x:c>
      <x:c r="O94" s="1" t="s">
        <x:v>1044</x:v>
      </x:c>
      <x:c r="P94" s="42" t="str">
        <x:v>Lv10~20</x:v>
      </x:c>
      <x:c r="Q94" s="42" t="str">
        <x:v>0~I</x:v>
      </x:c>
      <x:c r="R94" s="42" t="str">
        <x:v>3</x:v>
      </x:c>
      <x:c r="S94" s="42" t="str">
        <x:v>성급하면 성장 재화 구매 유혹</x:v>
      </x:c>
      <x:c r="T94" s="42" t="n">
        <x:v>12</x:v>
      </x:c>
      <x:c r="U94" s="42" t="n">
        <x:v>276</x:v>
      </x:c>
      <x:c r="V94" s="42" t="n">
        <x:v>150</x:v>
      </x:c>
      <x:c r="W94" s="42" t="n">
        <x:v>15</x:v>
      </x:c>
      <x:c r="X94" s="42" t="n">
        <x:v>45</x:v>
      </x:c>
      <x:c r="Y94" s="42" t="str"/>
    </x:row>
    <x:row r="95">
      <x:c r="A95" s="1">
        <x:v>10</x:v>
      </x:c>
      <x:c r="B95" s="1" t="s">
        <x:v>501</x:v>
      </x:c>
      <x:c r="C95" s="1" t="s">
        <x:v>269</x:v>
      </x:c>
      <x:c r="D95" s="1">
        <x:v>5</x:v>
      </x:c>
      <x:c r="E95" s="1">
        <x:v>3</x:v>
      </x:c>
      <x:c r="F95" s="1">
        <x:v>4</x:v>
      </x:c>
      <x:c r="G95" s="1" t="s">
        <x:v>1042</x:v>
      </x:c>
      <x:c r="H95" s="1">
        <x:v>25</x:v>
      </x:c>
      <x:c r="I95" s="1">
        <x:v>14</x:v>
      </x:c>
      <x:c r="J95" s="1">
        <x:v>0.96</x:v>
      </x:c>
      <x:c r="K95" s="1" t="s">
        <x:v>1095</x:v>
      </x:c>
      <x:c r="L95" s="1">
        <x:v>1.51</x:v>
      </x:c>
      <x:c r="M95" s="1">
        <x:v>1.39</x:v>
      </x:c>
      <x:c r="N95" s="1">
        <x:v>300</x:v>
      </x:c>
      <x:c r="O95" s="1" t="s">
        <x:v>1047</x:v>
      </x:c>
      <x:c r="P95" s="42" t="str">
        <x:v>Lv10~20</x:v>
      </x:c>
      <x:c r="Q95" s="42" t="str">
        <x:v>0~I</x:v>
      </x:c>
      <x:c r="R95" s="42" t="str">
        <x:v>3</x:v>
      </x:c>
      <x:c r="S95" s="42" t="str">
        <x:v>성급하면 성장 재화 구매 유혹</x:v>
      </x:c>
      <x:c r="T95" s="42" t="n">
        <x:v>12</x:v>
      </x:c>
      <x:c r="U95" s="42" t="n">
        <x:v>300</x:v>
      </x:c>
      <x:c r="V95" s="42" t="n">
        <x:v>180</x:v>
      </x:c>
      <x:c r="W95" s="42" t="n">
        <x:v>18</x:v>
      </x:c>
      <x:c r="X95" s="42" t="n">
        <x:v>54</x:v>
      </x:c>
      <x:c r="Y95" s="42" t="str"/>
    </x:row>
    <x:row r="96">
      <x:c r="A96" s="1">
        <x:v>10</x:v>
      </x:c>
      <x:c r="B96" s="1" t="s">
        <x:v>501</x:v>
      </x:c>
      <x:c r="C96" s="1" t="s">
        <x:v>269</x:v>
      </x:c>
      <x:c r="D96" s="1">
        <x:v>5</x:v>
      </x:c>
      <x:c r="E96" s="1">
        <x:v>3</x:v>
      </x:c>
      <x:c r="F96" s="1">
        <x:v>5</x:v>
      </x:c>
      <x:c r="G96" s="1" t="s">
        <x:v>1048</x:v>
      </x:c>
      <x:c r="H96" s="1">
        <x:v>19</x:v>
      </x:c>
      <x:c r="I96" s="1">
        <x:v>16</x:v>
      </x:c>
      <x:c r="J96" s="1">
        <x:v>0.93</x:v>
      </x:c>
      <x:c r="K96" s="1" t="s">
        <x:v>1096</x:v>
      </x:c>
      <x:c r="L96" s="1">
        <x:v>1.54</x:v>
      </x:c>
      <x:c r="M96" s="1">
        <x:v>1.42</x:v>
      </x:c>
      <x:c r="N96" s="1">
        <x:v>300</x:v>
      </x:c>
      <x:c r="O96" s="1" t="s">
        <x:v>1050</x:v>
      </x:c>
      <x:c r="P96" s="42" t="str">
        <x:v>Lv10~20</x:v>
      </x:c>
      <x:c r="Q96" s="42" t="str">
        <x:v>0~I</x:v>
      </x:c>
      <x:c r="R96" s="42" t="str">
        <x:v>3</x:v>
      </x:c>
      <x:c r="S96" s="42" t="str">
        <x:v>성급하면 성장 재화 구매 유혹</x:v>
      </x:c>
      <x:c r="T96" s="42" t="n">
        <x:v>12</x:v>
      </x:c>
      <x:c r="U96" s="42" t="n">
        <x:v>420</x:v>
      </x:c>
      <x:c r="V96" s="42" t="n">
        <x:v>300</x:v>
      </x:c>
      <x:c r="W96" s="42" t="n">
        <x:v>30</x:v>
      </x:c>
      <x:c r="X96" s="42" t="n">
        <x:v>90</x:v>
      </x:c>
      <x:c r="Y96" s="42" t="str">
        <x:v>중간보스 현상금 포함</x:v>
      </x:c>
    </x:row>
    <x:row r="97">
      <x:c r="A97" s="1">
        <x:v>10</x:v>
      </x:c>
      <x:c r="B97" s="1" t="s">
        <x:v>501</x:v>
      </x:c>
      <x:c r="C97" s="1" t="s">
        <x:v>269</x:v>
      </x:c>
      <x:c r="D97" s="1">
        <x:v>5</x:v>
      </x:c>
      <x:c r="E97" s="1">
        <x:v>3</x:v>
      </x:c>
      <x:c r="F97" s="1">
        <x:v>6</x:v>
      </x:c>
      <x:c r="G97" s="1" t="s">
        <x:v>1042</x:v>
      </x:c>
      <x:c r="H97" s="1">
        <x:v>29</x:v>
      </x:c>
      <x:c r="I97" s="1">
        <x:v>17</x:v>
      </x:c>
      <x:c r="J97" s="1">
        <x:v>0.89</x:v>
      </x:c>
      <x:c r="K97" s="1" t="s">
        <x:v>1097</x:v>
      </x:c>
      <x:c r="L97" s="1">
        <x:v>1.58</x:v>
      </x:c>
      <x:c r="M97" s="1">
        <x:v>1.44</x:v>
      </x:c>
      <x:c r="N97" s="1">
        <x:v>300</x:v>
      </x:c>
      <x:c r="O97" s="1" t="s">
        <x:v>1052</x:v>
      </x:c>
      <x:c r="P97" s="42" t="str">
        <x:v>Lv10~20</x:v>
      </x:c>
      <x:c r="Q97" s="42" t="str">
        <x:v>0~I</x:v>
      </x:c>
      <x:c r="R97" s="42" t="str">
        <x:v>3</x:v>
      </x:c>
      <x:c r="S97" s="42" t="str">
        <x:v>성급하면 성장 재화 구매 유혹</x:v>
      </x:c>
      <x:c r="T97" s="42" t="n">
        <x:v>12</x:v>
      </x:c>
      <x:c r="U97" s="42" t="n">
        <x:v>348</x:v>
      </x:c>
      <x:c r="V97" s="42" t="n">
        <x:v>220</x:v>
      </x:c>
      <x:c r="W97" s="42" t="n">
        <x:v>22</x:v>
      </x:c>
      <x:c r="X97" s="42" t="n">
        <x:v>66</x:v>
      </x:c>
      <x:c r="Y97" s="42" t="str"/>
    </x:row>
    <x:row r="98">
      <x:c r="A98" s="1">
        <x:v>10</x:v>
      </x:c>
      <x:c r="B98" s="1" t="s">
        <x:v>501</x:v>
      </x:c>
      <x:c r="C98" s="1" t="s">
        <x:v>269</x:v>
      </x:c>
      <x:c r="D98" s="1">
        <x:v>5</x:v>
      </x:c>
      <x:c r="E98" s="1">
        <x:v>3</x:v>
      </x:c>
      <x:c r="F98" s="1">
        <x:v>7</x:v>
      </x:c>
      <x:c r="G98" s="1" t="s">
        <x:v>1042</x:v>
      </x:c>
      <x:c r="H98" s="1">
        <x:v>31</x:v>
      </x:c>
      <x:c r="I98" s="1">
        <x:v>18</x:v>
      </x:c>
      <x:c r="J98" s="1">
        <x:v>0.86</x:v>
      </x:c>
      <x:c r="K98" s="1" t="s">
        <x:v>1098</x:v>
      </x:c>
      <x:c r="L98" s="1">
        <x:v>1.61</x:v>
      </x:c>
      <x:c r="M98" s="1">
        <x:v>1.46</x:v>
      </x:c>
      <x:c r="N98" s="1">
        <x:v>300</x:v>
      </x:c>
      <x:c r="O98" s="1" t="s">
        <x:v>1052</x:v>
      </x:c>
      <x:c r="P98" s="42" t="str">
        <x:v>Lv10~20</x:v>
      </x:c>
      <x:c r="Q98" s="42" t="str">
        <x:v>0~I</x:v>
      </x:c>
      <x:c r="R98" s="42" t="str">
        <x:v>3</x:v>
      </x:c>
      <x:c r="S98" s="42" t="str">
        <x:v>성급하면 성장 재화 구매 유혹</x:v>
      </x:c>
      <x:c r="T98" s="42" t="n">
        <x:v>12</x:v>
      </x:c>
      <x:c r="U98" s="42" t="n">
        <x:v>372</x:v>
      </x:c>
      <x:c r="V98" s="42" t="n">
        <x:v>300</x:v>
      </x:c>
      <x:c r="W98" s="42" t="n">
        <x:v>30</x:v>
      </x:c>
      <x:c r="X98" s="42" t="n">
        <x:v>90</x:v>
      </x:c>
      <x:c r="Y98" s="42" t="str"/>
    </x:row>
    <x:row r="99">
      <x:c r="A99" s="1">
        <x:v>10</x:v>
      </x:c>
      <x:c r="B99" s="1" t="s">
        <x:v>501</x:v>
      </x:c>
      <x:c r="C99" s="1" t="s">
        <x:v>269</x:v>
      </x:c>
      <x:c r="D99" s="1">
        <x:v>5</x:v>
      </x:c>
      <x:c r="E99" s="1">
        <x:v>3</x:v>
      </x:c>
      <x:c r="F99" s="1">
        <x:v>8</x:v>
      </x:c>
      <x:c r="G99" s="1" t="s">
        <x:v>1042</x:v>
      </x:c>
      <x:c r="H99" s="1">
        <x:v>33</x:v>
      </x:c>
      <x:c r="I99" s="1">
        <x:v>19</x:v>
      </x:c>
      <x:c r="J99" s="1">
        <x:v>0.82</x:v>
      </x:c>
      <x:c r="K99" s="1" t="s">
        <x:v>1082</x:v>
      </x:c>
      <x:c r="L99" s="1">
        <x:v>1.65</x:v>
      </x:c>
      <x:c r="M99" s="1">
        <x:v>1.49</x:v>
      </x:c>
      <x:c r="N99" s="1">
        <x:v>300</x:v>
      </x:c>
      <x:c r="O99" s="1" t="s">
        <x:v>1052</x:v>
      </x:c>
      <x:c r="P99" s="42" t="str">
        <x:v>Lv10~20</x:v>
      </x:c>
      <x:c r="Q99" s="42" t="str">
        <x:v>0~I</x:v>
      </x:c>
      <x:c r="R99" s="42" t="str">
        <x:v>3</x:v>
      </x:c>
      <x:c r="S99" s="42" t="str">
        <x:v>성급하면 성장 재화 구매 유혹</x:v>
      </x:c>
      <x:c r="T99" s="42" t="n">
        <x:v>12</x:v>
      </x:c>
      <x:c r="U99" s="42" t="n">
        <x:v>396</x:v>
      </x:c>
      <x:c r="V99" s="42" t="n">
        <x:v>400</x:v>
      </x:c>
      <x:c r="W99" s="42" t="n">
        <x:v>40</x:v>
      </x:c>
      <x:c r="X99" s="42" t="n">
        <x:v>120</x:v>
      </x:c>
      <x:c r="Y99" s="42" t="str"/>
    </x:row>
    <x:row r="100">
      <x:c r="A100" s="1">
        <x:v>10</x:v>
      </x:c>
      <x:c r="B100" s="1" t="s">
        <x:v>501</x:v>
      </x:c>
      <x:c r="C100" s="1" t="s">
        <x:v>269</x:v>
      </x:c>
      <x:c r="D100" s="1">
        <x:v>5</x:v>
      </x:c>
      <x:c r="E100" s="1">
        <x:v>3</x:v>
      </x:c>
      <x:c r="F100" s="1">
        <x:v>9</x:v>
      </x:c>
      <x:c r="G100" s="1" t="s">
        <x:v>1042</x:v>
      </x:c>
      <x:c r="H100" s="1">
        <x:v>35</x:v>
      </x:c>
      <x:c r="I100" s="1">
        <x:v>20</x:v>
      </x:c>
      <x:c r="J100" s="1">
        <x:v>0.79</x:v>
      </x:c>
      <x:c r="K100" s="1" t="s">
        <x:v>1074</x:v>
      </x:c>
      <x:c r="L100" s="1">
        <x:v>1.69</x:v>
      </x:c>
      <x:c r="M100" s="1">
        <x:v>1.51</x:v>
      </x:c>
      <x:c r="N100" s="1">
        <x:v>300</x:v>
      </x:c>
      <x:c r="O100" s="1" t="s">
        <x:v>1056</x:v>
      </x:c>
      <x:c r="P100" s="42" t="str">
        <x:v>Lv10~20</x:v>
      </x:c>
      <x:c r="Q100" s="42" t="str">
        <x:v>0~I</x:v>
      </x:c>
      <x:c r="R100" s="42" t="str">
        <x:v>3</x:v>
      </x:c>
      <x:c r="S100" s="42" t="str">
        <x:v>성급하면 성장 재화 구매 유혹</x:v>
      </x:c>
      <x:c r="T100" s="42" t="n">
        <x:v>12</x:v>
      </x:c>
      <x:c r="U100" s="42" t="n">
        <x:v>420</x:v>
      </x:c>
      <x:c r="V100" s="42" t="n">
        <x:v>500</x:v>
      </x:c>
      <x:c r="W100" s="42" t="n">
        <x:v>50</x:v>
      </x:c>
      <x:c r="X100" s="42" t="n">
        <x:v>150</x:v>
      </x:c>
      <x:c r="Y100" s="42" t="str"/>
    </x:row>
    <x:row r="101">
      <x:c r="A101" s="1">
        <x:v>10</x:v>
      </x:c>
      <x:c r="B101" s="1" t="s">
        <x:v>501</x:v>
      </x:c>
      <x:c r="C101" s="1" t="s">
        <x:v>269</x:v>
      </x:c>
      <x:c r="D101" s="1">
        <x:v>5</x:v>
      </x:c>
      <x:c r="E101" s="1">
        <x:v>3</x:v>
      </x:c>
      <x:c r="F101" s="1">
        <x:v>10</x:v>
      </x:c>
      <x:c r="G101" s="1" t="s">
        <x:v>1057</x:v>
      </x:c>
      <x:c r="H101" s="1">
        <x:v>27</x:v>
      </x:c>
      <x:c r="I101" s="1">
        <x:v>21</x:v>
      </x:c>
      <x:c r="J101" s="1">
        <x:v>0.75</x:v>
      </x:c>
      <x:c r="K101" s="1" t="s">
        <x:v>1099</x:v>
      </x:c>
      <x:c r="L101" s="1">
        <x:v>1.72</x:v>
      </x:c>
      <x:c r="M101" s="1">
        <x:v>1.54</x:v>
      </x:c>
      <x:c r="N101" s="1">
        <x:v>300</x:v>
      </x:c>
      <x:c r="O101" s="1" t="s">
        <x:v>1059</x:v>
      </x:c>
      <x:c r="P101" s="42" t="str">
        <x:v>Lv10~20</x:v>
      </x:c>
      <x:c r="Q101" s="42" t="str">
        <x:v>0~I</x:v>
      </x:c>
      <x:c r="R101" s="42" t="str">
        <x:v>3</x:v>
      </x:c>
      <x:c r="S101" s="42" t="str">
        <x:v>성급하면 성장 재화 구매 유혹</x:v>
      </x:c>
      <x:c r="T101" s="42" t="n">
        <x:v>12</x:v>
      </x:c>
      <x:c r="U101" s="42" t="n">
        <x:v>312</x:v>
      </x:c>
      <x:c r="V101" s="42" t="n">
        <x:v>0</x:v>
      </x:c>
      <x:c r="W101" s="42" t="n">
        <x:v>0</x:v>
      </x:c>
      <x:c r="X101" s="42" t="n">
        <x:v>0</x:v>
      </x:c>
      <x:c r="Y101" s="42" t="str">
        <x:v>보스 처치 보상은 로비 보상으로 분리</x:v>
      </x:c>
    </x:row>
    <x:row r="102">
      <x:c r="A102" s="1">
        <x:v>11</x:v>
      </x:c>
      <x:c r="B102" s="1" t="s">
        <x:v>501</x:v>
      </x:c>
      <x:c r="C102" s="1" t="s">
        <x:v>314</x:v>
      </x:c>
      <x:c r="D102" s="1">
        <x:v>1</x:v>
      </x:c>
      <x:c r="E102" s="1">
        <x:v>1</x:v>
      </x:c>
      <x:c r="F102" s="1">
        <x:v>1</x:v>
      </x:c>
      <x:c r="G102" s="1" t="s">
        <x:v>1042</x:v>
      </x:c>
      <x:c r="H102" s="1">
        <x:v>17</x:v>
      </x:c>
      <x:c r="I102" s="1">
        <x:v>10</x:v>
      </x:c>
      <x:c r="J102" s="1">
        <x:v>1.05</x:v>
      </x:c>
      <x:c r="K102" s="1" t="s">
        <x:v>1100</x:v>
      </x:c>
      <x:c r="L102" s="1">
        <x:v>1.45</x:v>
      </x:c>
      <x:c r="M102" s="1">
        <x:v>1.35</x:v>
      </x:c>
      <x:c r="N102" s="1">
        <x:v>339</x:v>
      </x:c>
      <x:c r="O102" s="1" t="s">
        <x:v>1044</x:v>
      </x:c>
      <x:c r="P102" s="42" t="str">
        <x:v>Lv20~30</x:v>
      </x:c>
      <x:c r="Q102" s="42" t="str">
        <x:v>I</x:v>
      </x:c>
      <x:c r="R102" s="42" t="str">
        <x:v>3~4</x:v>
      </x:c>
      <x:c r="S102" s="42" t="str">
        <x:v>조합 이해로 극복</x:v>
      </x:c>
      <x:c r="T102" s="42" t="n">
        <x:v>13</x:v>
      </x:c>
      <x:c r="U102" s="42" t="n">
        <x:v>221</x:v>
      </x:c>
      <x:c r="V102" s="42" t="n">
        <x:v>105</x:v>
      </x:c>
      <x:c r="W102" s="42" t="n">
        <x:v>10</x:v>
      </x:c>
      <x:c r="X102" s="42" t="n">
        <x:v>32</x:v>
      </x:c>
      <x:c r="Y102" s="42" t="str"/>
    </x:row>
    <x:row r="103">
      <x:c r="A103" s="1">
        <x:v>11</x:v>
      </x:c>
      <x:c r="B103" s="1" t="s">
        <x:v>501</x:v>
      </x:c>
      <x:c r="C103" s="1" t="s">
        <x:v>314</x:v>
      </x:c>
      <x:c r="D103" s="1">
        <x:v>1</x:v>
      </x:c>
      <x:c r="E103" s="1">
        <x:v>1</x:v>
      </x:c>
      <x:c r="F103" s="1">
        <x:v>2</x:v>
      </x:c>
      <x:c r="G103" s="1" t="s">
        <x:v>1042</x:v>
      </x:c>
      <x:c r="H103" s="1">
        <x:v>19</x:v>
      </x:c>
      <x:c r="I103" s="1">
        <x:v>11</x:v>
      </x:c>
      <x:c r="J103" s="1">
        <x:v>1.02</x:v>
      </x:c>
      <x:c r="K103" s="1" t="s">
        <x:v>1101</x:v>
      </x:c>
      <x:c r="L103" s="1">
        <x:v>1.48</x:v>
      </x:c>
      <x:c r="M103" s="1">
        <x:v>1.38</x:v>
      </x:c>
      <x:c r="N103" s="1">
        <x:v>339</x:v>
      </x:c>
      <x:c r="O103" s="1" t="s">
        <x:v>1044</x:v>
      </x:c>
      <x:c r="P103" s="42" t="str">
        <x:v>Lv20~30</x:v>
      </x:c>
      <x:c r="Q103" s="42" t="str">
        <x:v>I</x:v>
      </x:c>
      <x:c r="R103" s="42" t="str">
        <x:v>3~4</x:v>
      </x:c>
      <x:c r="S103" s="42" t="str">
        <x:v>조합 이해로 극복</x:v>
      </x:c>
      <x:c r="T103" s="42" t="n">
        <x:v>13</x:v>
      </x:c>
      <x:c r="U103" s="42" t="n">
        <x:v>247</x:v>
      </x:c>
      <x:c r="V103" s="42" t="n">
        <x:v>126</x:v>
      </x:c>
      <x:c r="W103" s="42" t="n">
        <x:v>13</x:v>
      </x:c>
      <x:c r="X103" s="42" t="n">
        <x:v>38</x:v>
      </x:c>
      <x:c r="Y103" s="42" t="str"/>
    </x:row>
    <x:row r="104">
      <x:c r="A104" s="1">
        <x:v>11</x:v>
      </x:c>
      <x:c r="B104" s="1" t="s">
        <x:v>501</x:v>
      </x:c>
      <x:c r="C104" s="1" t="s">
        <x:v>314</x:v>
      </x:c>
      <x:c r="D104" s="1">
        <x:v>1</x:v>
      </x:c>
      <x:c r="E104" s="1">
        <x:v>1</x:v>
      </x:c>
      <x:c r="F104" s="1">
        <x:v>3</x:v>
      </x:c>
      <x:c r="G104" s="1" t="s">
        <x:v>1042</x:v>
      </x:c>
      <x:c r="H104" s="1">
        <x:v>21</x:v>
      </x:c>
      <x:c r="I104" s="1">
        <x:v>12</x:v>
      </x:c>
      <x:c r="J104" s="1">
        <x:v>0.98</x:v>
      </x:c>
      <x:c r="K104" s="1" t="s">
        <x:v>1102</x:v>
      </x:c>
      <x:c r="L104" s="1">
        <x:v>1.52</x:v>
      </x:c>
      <x:c r="M104" s="1">
        <x:v>1.4</x:v>
      </x:c>
      <x:c r="N104" s="1">
        <x:v>339</x:v>
      </x:c>
      <x:c r="O104" s="1" t="s">
        <x:v>1044</x:v>
      </x:c>
      <x:c r="P104" s="42" t="str">
        <x:v>Lv20~30</x:v>
      </x:c>
      <x:c r="Q104" s="42" t="str">
        <x:v>I</x:v>
      </x:c>
      <x:c r="R104" s="42" t="str">
        <x:v>3~4</x:v>
      </x:c>
      <x:c r="S104" s="42" t="str">
        <x:v>조합 이해로 극복</x:v>
      </x:c>
      <x:c r="T104" s="42" t="n">
        <x:v>13</x:v>
      </x:c>
      <x:c r="U104" s="42" t="n">
        <x:v>273</x:v>
      </x:c>
      <x:c r="V104" s="42" t="n">
        <x:v>158</x:v>
      </x:c>
      <x:c r="W104" s="42" t="n">
        <x:v>16</x:v>
      </x:c>
      <x:c r="X104" s="42" t="n">
        <x:v>47</x:v>
      </x:c>
      <x:c r="Y104" s="42" t="str"/>
    </x:row>
    <x:row r="105">
      <x:c r="A105" s="1">
        <x:v>11</x:v>
      </x:c>
      <x:c r="B105" s="1" t="s">
        <x:v>501</x:v>
      </x:c>
      <x:c r="C105" s="1" t="s">
        <x:v>314</x:v>
      </x:c>
      <x:c r="D105" s="1">
        <x:v>1</x:v>
      </x:c>
      <x:c r="E105" s="1">
        <x:v>1</x:v>
      </x:c>
      <x:c r="F105" s="1">
        <x:v>4</x:v>
      </x:c>
      <x:c r="G105" s="1" t="s">
        <x:v>1042</x:v>
      </x:c>
      <x:c r="H105" s="1">
        <x:v>23</x:v>
      </x:c>
      <x:c r="I105" s="1">
        <x:v>13</x:v>
      </x:c>
      <x:c r="J105" s="1">
        <x:v>0.95</x:v>
      </x:c>
      <x:c r="K105" s="1" t="s">
        <x:v>1103</x:v>
      </x:c>
      <x:c r="L105" s="1">
        <x:v>1.55</x:v>
      </x:c>
      <x:c r="M105" s="1">
        <x:v>1.43</x:v>
      </x:c>
      <x:c r="N105" s="1">
        <x:v>339</x:v>
      </x:c>
      <x:c r="O105" s="1" t="s">
        <x:v>1047</x:v>
      </x:c>
      <x:c r="P105" s="42" t="str">
        <x:v>Lv20~30</x:v>
      </x:c>
      <x:c r="Q105" s="42" t="str">
        <x:v>I</x:v>
      </x:c>
      <x:c r="R105" s="42" t="str">
        <x:v>3~4</x:v>
      </x:c>
      <x:c r="S105" s="42" t="str">
        <x:v>조합 이해로 극복</x:v>
      </x:c>
      <x:c r="T105" s="42" t="n">
        <x:v>13</x:v>
      </x:c>
      <x:c r="U105" s="42" t="n">
        <x:v>299</x:v>
      </x:c>
      <x:c r="V105" s="42" t="n">
        <x:v>189</x:v>
      </x:c>
      <x:c r="W105" s="42" t="n">
        <x:v>19</x:v>
      </x:c>
      <x:c r="X105" s="42" t="n">
        <x:v>57</x:v>
      </x:c>
      <x:c r="Y105" s="42" t="str"/>
    </x:row>
    <x:row r="106">
      <x:c r="A106" s="1">
        <x:v>11</x:v>
      </x:c>
      <x:c r="B106" s="1" t="s">
        <x:v>501</x:v>
      </x:c>
      <x:c r="C106" s="1" t="s">
        <x:v>314</x:v>
      </x:c>
      <x:c r="D106" s="1">
        <x:v>1</x:v>
      </x:c>
      <x:c r="E106" s="1">
        <x:v>1</x:v>
      </x:c>
      <x:c r="F106" s="1">
        <x:v>5</x:v>
      </x:c>
      <x:c r="G106" s="1" t="s">
        <x:v>1048</x:v>
      </x:c>
      <x:c r="H106" s="1">
        <x:v>17</x:v>
      </x:c>
      <x:c r="I106" s="1">
        <x:v>14</x:v>
      </x:c>
      <x:c r="J106" s="1">
        <x:v>0.91</x:v>
      </x:c>
      <x:c r="K106" s="1" t="s">
        <x:v>1104</x:v>
      </x:c>
      <x:c r="L106" s="1">
        <x:v>1.59</x:v>
      </x:c>
      <x:c r="M106" s="1">
        <x:v>1.45</x:v>
      </x:c>
      <x:c r="N106" s="1">
        <x:v>339</x:v>
      </x:c>
      <x:c r="O106" s="1" t="s">
        <x:v>1050</x:v>
      </x:c>
      <x:c r="P106" s="42" t="str">
        <x:v>Lv20~30</x:v>
      </x:c>
      <x:c r="Q106" s="42" t="str">
        <x:v>I</x:v>
      </x:c>
      <x:c r="R106" s="42" t="str">
        <x:v>3~4</x:v>
      </x:c>
      <x:c r="S106" s="42" t="str">
        <x:v>조합 이해로 극복</x:v>
      </x:c>
      <x:c r="T106" s="42" t="n">
        <x:v>13</x:v>
      </x:c>
      <x:c r="U106" s="42" t="n">
        <x:v>415</x:v>
      </x:c>
      <x:c r="V106" s="42" t="n">
        <x:v>315</x:v>
      </x:c>
      <x:c r="W106" s="42" t="n">
        <x:v>32</x:v>
      </x:c>
      <x:c r="X106" s="42" t="n">
        <x:v>94</x:v>
      </x:c>
      <x:c r="Y106" s="42" t="str">
        <x:v>중간보스 현상금 포함</x:v>
      </x:c>
    </x:row>
    <x:row r="107">
      <x:c r="A107" s="1">
        <x:v>11</x:v>
      </x:c>
      <x:c r="B107" s="1" t="s">
        <x:v>501</x:v>
      </x:c>
      <x:c r="C107" s="1" t="s">
        <x:v>314</x:v>
      </x:c>
      <x:c r="D107" s="1">
        <x:v>1</x:v>
      </x:c>
      <x:c r="E107" s="1">
        <x:v>1</x:v>
      </x:c>
      <x:c r="F107" s="1">
        <x:v>6</x:v>
      </x:c>
      <x:c r="G107" s="1" t="s">
        <x:v>1042</x:v>
      </x:c>
      <x:c r="H107" s="1">
        <x:v>27</x:v>
      </x:c>
      <x:c r="I107" s="1">
        <x:v>16</x:v>
      </x:c>
      <x:c r="J107" s="1">
        <x:v>0.88</x:v>
      </x:c>
      <x:c r="K107" s="1" t="s">
        <x:v>1105</x:v>
      </x:c>
      <x:c r="L107" s="1">
        <x:v>1.62</x:v>
      </x:c>
      <x:c r="M107" s="1">
        <x:v>1.48</x:v>
      </x:c>
      <x:c r="N107" s="1">
        <x:v>339</x:v>
      </x:c>
      <x:c r="O107" s="1" t="s">
        <x:v>1052</x:v>
      </x:c>
      <x:c r="P107" s="42" t="str">
        <x:v>Lv20~30</x:v>
      </x:c>
      <x:c r="Q107" s="42" t="str">
        <x:v>I</x:v>
      </x:c>
      <x:c r="R107" s="42" t="str">
        <x:v>3~4</x:v>
      </x:c>
      <x:c r="S107" s="42" t="str">
        <x:v>조합 이해로 극복</x:v>
      </x:c>
      <x:c r="T107" s="42" t="n">
        <x:v>13</x:v>
      </x:c>
      <x:c r="U107" s="42" t="n">
        <x:v>351</x:v>
      </x:c>
      <x:c r="V107" s="42" t="n">
        <x:v>231</x:v>
      </x:c>
      <x:c r="W107" s="42" t="n">
        <x:v>23</x:v>
      </x:c>
      <x:c r="X107" s="42" t="n">
        <x:v>69</x:v>
      </x:c>
      <x:c r="Y107" s="42" t="str"/>
    </x:row>
    <x:row r="108">
      <x:c r="A108" s="1">
        <x:v>11</x:v>
      </x:c>
      <x:c r="B108" s="1" t="s">
        <x:v>501</x:v>
      </x:c>
      <x:c r="C108" s="1" t="s">
        <x:v>314</x:v>
      </x:c>
      <x:c r="D108" s="1">
        <x:v>1</x:v>
      </x:c>
      <x:c r="E108" s="1">
        <x:v>1</x:v>
      </x:c>
      <x:c r="F108" s="1">
        <x:v>7</x:v>
      </x:c>
      <x:c r="G108" s="1" t="s">
        <x:v>1042</x:v>
      </x:c>
      <x:c r="H108" s="1">
        <x:v>29</x:v>
      </x:c>
      <x:c r="I108" s="1">
        <x:v>17</x:v>
      </x:c>
      <x:c r="J108" s="1">
        <x:v>0.84</x:v>
      </x:c>
      <x:c r="K108" s="1" t="s">
        <x:v>1106</x:v>
      </x:c>
      <x:c r="L108" s="1">
        <x:v>1.66</x:v>
      </x:c>
      <x:c r="M108" s="1">
        <x:v>1.5</x:v>
      </x:c>
      <x:c r="N108" s="1">
        <x:v>339</x:v>
      </x:c>
      <x:c r="O108" s="1" t="s">
        <x:v>1052</x:v>
      </x:c>
      <x:c r="P108" s="42" t="str">
        <x:v>Lv20~30</x:v>
      </x:c>
      <x:c r="Q108" s="42" t="str">
        <x:v>I</x:v>
      </x:c>
      <x:c r="R108" s="42" t="str">
        <x:v>3~4</x:v>
      </x:c>
      <x:c r="S108" s="42" t="str">
        <x:v>조합 이해로 극복</x:v>
      </x:c>
      <x:c r="T108" s="42" t="n">
        <x:v>13</x:v>
      </x:c>
      <x:c r="U108" s="42" t="n">
        <x:v>377</x:v>
      </x:c>
      <x:c r="V108" s="42" t="n">
        <x:v>315</x:v>
      </x:c>
      <x:c r="W108" s="42" t="n">
        <x:v>32</x:v>
      </x:c>
      <x:c r="X108" s="42" t="n">
        <x:v>94</x:v>
      </x:c>
      <x:c r="Y108" s="42" t="str"/>
    </x:row>
    <x:row r="109">
      <x:c r="A109" s="1">
        <x:v>11</x:v>
      </x:c>
      <x:c r="B109" s="1" t="s">
        <x:v>501</x:v>
      </x:c>
      <x:c r="C109" s="1" t="s">
        <x:v>314</x:v>
      </x:c>
      <x:c r="D109" s="1">
        <x:v>1</x:v>
      </x:c>
      <x:c r="E109" s="1">
        <x:v>1</x:v>
      </x:c>
      <x:c r="F109" s="1">
        <x:v>8</x:v>
      </x:c>
      <x:c r="G109" s="1" t="s">
        <x:v>1042</x:v>
      </x:c>
      <x:c r="H109" s="1">
        <x:v>31</x:v>
      </x:c>
      <x:c r="I109" s="1">
        <x:v>18</x:v>
      </x:c>
      <x:c r="J109" s="1">
        <x:v>0.81</x:v>
      </x:c>
      <x:c r="K109" s="1" t="s">
        <x:v>1107</x:v>
      </x:c>
      <x:c r="L109" s="1">
        <x:v>1.7</x:v>
      </x:c>
      <x:c r="M109" s="1">
        <x:v>1.53</x:v>
      </x:c>
      <x:c r="N109" s="1">
        <x:v>339</x:v>
      </x:c>
      <x:c r="O109" s="1" t="s">
        <x:v>1052</x:v>
      </x:c>
      <x:c r="P109" s="42" t="str">
        <x:v>Lv20~30</x:v>
      </x:c>
      <x:c r="Q109" s="42" t="str">
        <x:v>I</x:v>
      </x:c>
      <x:c r="R109" s="42" t="str">
        <x:v>3~4</x:v>
      </x:c>
      <x:c r="S109" s="42" t="str">
        <x:v>조합 이해로 극복</x:v>
      </x:c>
      <x:c r="T109" s="42" t="n">
        <x:v>13</x:v>
      </x:c>
      <x:c r="U109" s="42" t="n">
        <x:v>403</x:v>
      </x:c>
      <x:c r="V109" s="42" t="n">
        <x:v>420</x:v>
      </x:c>
      <x:c r="W109" s="42" t="n">
        <x:v>42</x:v>
      </x:c>
      <x:c r="X109" s="42" t="n">
        <x:v>126</x:v>
      </x:c>
      <x:c r="Y109" s="42" t="str"/>
    </x:row>
    <x:row r="110">
      <x:c r="A110" s="1">
        <x:v>11</x:v>
      </x:c>
      <x:c r="B110" s="1" t="s">
        <x:v>501</x:v>
      </x:c>
      <x:c r="C110" s="1" t="s">
        <x:v>314</x:v>
      </x:c>
      <x:c r="D110" s="1">
        <x:v>1</x:v>
      </x:c>
      <x:c r="E110" s="1">
        <x:v>1</x:v>
      </x:c>
      <x:c r="F110" s="1">
        <x:v>9</x:v>
      </x:c>
      <x:c r="G110" s="1" t="s">
        <x:v>1042</x:v>
      </x:c>
      <x:c r="H110" s="1">
        <x:v>33</x:v>
      </x:c>
      <x:c r="I110" s="1">
        <x:v>19</x:v>
      </x:c>
      <x:c r="J110" s="1">
        <x:v>0.77</x:v>
      </x:c>
      <x:c r="K110" s="1" t="s">
        <x:v>1105</x:v>
      </x:c>
      <x:c r="L110" s="1">
        <x:v>1.73</x:v>
      </x:c>
      <x:c r="M110" s="1">
        <x:v>1.55</x:v>
      </x:c>
      <x:c r="N110" s="1">
        <x:v>339</x:v>
      </x:c>
      <x:c r="O110" s="1" t="s">
        <x:v>1056</x:v>
      </x:c>
      <x:c r="P110" s="42" t="str">
        <x:v>Lv20~30</x:v>
      </x:c>
      <x:c r="Q110" s="42" t="str">
        <x:v>I</x:v>
      </x:c>
      <x:c r="R110" s="42" t="str">
        <x:v>3~4</x:v>
      </x:c>
      <x:c r="S110" s="42" t="str">
        <x:v>조합 이해로 극복</x:v>
      </x:c>
      <x:c r="T110" s="42" t="n">
        <x:v>13</x:v>
      </x:c>
      <x:c r="U110" s="42" t="n">
        <x:v>429</x:v>
      </x:c>
      <x:c r="V110" s="42" t="n">
        <x:v>525</x:v>
      </x:c>
      <x:c r="W110" s="42" t="n">
        <x:v>52</x:v>
      </x:c>
      <x:c r="X110" s="42" t="n">
        <x:v>158</x:v>
      </x:c>
      <x:c r="Y110" s="42" t="str"/>
    </x:row>
    <x:row r="111">
      <x:c r="A111" s="1">
        <x:v>11</x:v>
      </x:c>
      <x:c r="B111" s="1" t="s">
        <x:v>501</x:v>
      </x:c>
      <x:c r="C111" s="1" t="s">
        <x:v>314</x:v>
      </x:c>
      <x:c r="D111" s="1">
        <x:v>1</x:v>
      </x:c>
      <x:c r="E111" s="1">
        <x:v>1</x:v>
      </x:c>
      <x:c r="F111" s="1">
        <x:v>10</x:v>
      </x:c>
      <x:c r="G111" s="1" t="s">
        <x:v>1057</x:v>
      </x:c>
      <x:c r="H111" s="1">
        <x:v>25</x:v>
      </x:c>
      <x:c r="I111" s="1">
        <x:v>20</x:v>
      </x:c>
      <x:c r="J111" s="1">
        <x:v>0.74</x:v>
      </x:c>
      <x:c r="K111" s="1" t="s">
        <x:v>1108</x:v>
      </x:c>
      <x:c r="L111" s="1">
        <x:v>1.77</x:v>
      </x:c>
      <x:c r="M111" s="1">
        <x:v>1.58</x:v>
      </x:c>
      <x:c r="N111" s="1">
        <x:v>339</x:v>
      </x:c>
      <x:c r="O111" s="1" t="s">
        <x:v>1059</x:v>
      </x:c>
      <x:c r="P111" s="42" t="str">
        <x:v>Lv20~30</x:v>
      </x:c>
      <x:c r="Q111" s="42" t="str">
        <x:v>I</x:v>
      </x:c>
      <x:c r="R111" s="42" t="str">
        <x:v>3~4</x:v>
      </x:c>
      <x:c r="S111" s="42" t="str">
        <x:v>조합 이해로 극복</x:v>
      </x:c>
      <x:c r="T111" s="42" t="n">
        <x:v>13</x:v>
      </x:c>
      <x:c r="U111" s="42" t="n">
        <x:v>312</x:v>
      </x:c>
      <x:c r="V111" s="42" t="n">
        <x:v>0</x:v>
      </x:c>
      <x:c r="W111" s="42" t="n">
        <x:v>0</x:v>
      </x:c>
      <x:c r="X111" s="42" t="n">
        <x:v>0</x:v>
      </x:c>
      <x:c r="Y111" s="42" t="str">
        <x:v>보스 처치 보상은 로비 보상으로 분리</x:v>
      </x:c>
    </x:row>
    <x:row r="112">
      <x:c r="A112" s="1">
        <x:v>12</x:v>
      </x:c>
      <x:c r="B112" s="1" t="s">
        <x:v>501</x:v>
      </x:c>
      <x:c r="C112" s="1" t="s">
        <x:v>314</x:v>
      </x:c>
      <x:c r="D112" s="1">
        <x:v>2</x:v>
      </x:c>
      <x:c r="E112" s="1">
        <x:v>1</x:v>
      </x:c>
      <x:c r="F112" s="1">
        <x:v>1</x:v>
      </x:c>
      <x:c r="G112" s="1" t="s">
        <x:v>1042</x:v>
      </x:c>
      <x:c r="H112" s="1">
        <x:v>17</x:v>
      </x:c>
      <x:c r="I112" s="1">
        <x:v>10</x:v>
      </x:c>
      <x:c r="J112" s="1">
        <x:v>1.04</x:v>
      </x:c>
      <x:c r="K112" s="1" t="s">
        <x:v>1109</x:v>
      </x:c>
      <x:c r="L112" s="1">
        <x:v>1.5</x:v>
      </x:c>
      <x:c r="M112" s="1">
        <x:v>1.39</x:v>
      </x:c>
      <x:c r="N112" s="1">
        <x:v>384</x:v>
      </x:c>
      <x:c r="O112" s="1" t="s">
        <x:v>1044</x:v>
      </x:c>
      <x:c r="P112" s="42" t="str">
        <x:v>Lv20~30</x:v>
      </x:c>
      <x:c r="Q112" s="42" t="str">
        <x:v>I</x:v>
      </x:c>
      <x:c r="R112" s="42" t="str">
        <x:v>3~4</x:v>
      </x:c>
      <x:c r="S112" s="42" t="str">
        <x:v>조합 이해로 극복</x:v>
      </x:c>
      <x:c r="T112" s="42" t="n">
        <x:v>13</x:v>
      </x:c>
      <x:c r="U112" s="42" t="n">
        <x:v>221</x:v>
      </x:c>
      <x:c r="V112" s="42" t="n">
        <x:v>105</x:v>
      </x:c>
      <x:c r="W112" s="42" t="n">
        <x:v>10</x:v>
      </x:c>
      <x:c r="X112" s="42" t="n">
        <x:v>32</x:v>
      </x:c>
      <x:c r="Y112" s="42" t="str"/>
    </x:row>
    <x:row r="113">
      <x:c r="A113" s="1">
        <x:v>12</x:v>
      </x:c>
      <x:c r="B113" s="1" t="s">
        <x:v>501</x:v>
      </x:c>
      <x:c r="C113" s="1" t="s">
        <x:v>314</x:v>
      </x:c>
      <x:c r="D113" s="1">
        <x:v>2</x:v>
      </x:c>
      <x:c r="E113" s="1">
        <x:v>1</x:v>
      </x:c>
      <x:c r="F113" s="1">
        <x:v>2</x:v>
      </x:c>
      <x:c r="G113" s="1" t="s">
        <x:v>1042</x:v>
      </x:c>
      <x:c r="H113" s="1">
        <x:v>19</x:v>
      </x:c>
      <x:c r="I113" s="1">
        <x:v>11</x:v>
      </x:c>
      <x:c r="J113" s="1">
        <x:v>1.01</x:v>
      </x:c>
      <x:c r="K113" s="1" t="s">
        <x:v>1102</x:v>
      </x:c>
      <x:c r="L113" s="1">
        <x:v>1.53</x:v>
      </x:c>
      <x:c r="M113" s="1">
        <x:v>1.41</x:v>
      </x:c>
      <x:c r="N113" s="1">
        <x:v>384</x:v>
      </x:c>
      <x:c r="O113" s="1" t="s">
        <x:v>1044</x:v>
      </x:c>
      <x:c r="P113" s="42" t="str">
        <x:v>Lv20~30</x:v>
      </x:c>
      <x:c r="Q113" s="42" t="str">
        <x:v>I</x:v>
      </x:c>
      <x:c r="R113" s="42" t="str">
        <x:v>3~4</x:v>
      </x:c>
      <x:c r="S113" s="42" t="str">
        <x:v>조합 이해로 극복</x:v>
      </x:c>
      <x:c r="T113" s="42" t="n">
        <x:v>13</x:v>
      </x:c>
      <x:c r="U113" s="42" t="n">
        <x:v>247</x:v>
      </x:c>
      <x:c r="V113" s="42" t="n">
        <x:v>126</x:v>
      </x:c>
      <x:c r="W113" s="42" t="n">
        <x:v>13</x:v>
      </x:c>
      <x:c r="X113" s="42" t="n">
        <x:v>38</x:v>
      </x:c>
      <x:c r="Y113" s="42" t="str"/>
    </x:row>
    <x:row r="114">
      <x:c r="A114" s="1">
        <x:v>12</x:v>
      </x:c>
      <x:c r="B114" s="1" t="s">
        <x:v>501</x:v>
      </x:c>
      <x:c r="C114" s="1" t="s">
        <x:v>314</x:v>
      </x:c>
      <x:c r="D114" s="1">
        <x:v>2</x:v>
      </x:c>
      <x:c r="E114" s="1">
        <x:v>1</x:v>
      </x:c>
      <x:c r="F114" s="1">
        <x:v>3</x:v>
      </x:c>
      <x:c r="G114" s="1" t="s">
        <x:v>1042</x:v>
      </x:c>
      <x:c r="H114" s="1">
        <x:v>21</x:v>
      </x:c>
      <x:c r="I114" s="1">
        <x:v>12</x:v>
      </x:c>
      <x:c r="J114" s="1">
        <x:v>0.97</x:v>
      </x:c>
      <x:c r="K114" s="1" t="s">
        <x:v>1100</x:v>
      </x:c>
      <x:c r="L114" s="1">
        <x:v>1.57</x:v>
      </x:c>
      <x:c r="M114" s="1">
        <x:v>1.44</x:v>
      </x:c>
      <x:c r="N114" s="1">
        <x:v>384</x:v>
      </x:c>
      <x:c r="O114" s="1" t="s">
        <x:v>1044</x:v>
      </x:c>
      <x:c r="P114" s="42" t="str">
        <x:v>Lv20~30</x:v>
      </x:c>
      <x:c r="Q114" s="42" t="str">
        <x:v>I</x:v>
      </x:c>
      <x:c r="R114" s="42" t="str">
        <x:v>3~4</x:v>
      </x:c>
      <x:c r="S114" s="42" t="str">
        <x:v>조합 이해로 극복</x:v>
      </x:c>
      <x:c r="T114" s="42" t="n">
        <x:v>13</x:v>
      </x:c>
      <x:c r="U114" s="42" t="n">
        <x:v>273</x:v>
      </x:c>
      <x:c r="V114" s="42" t="n">
        <x:v>158</x:v>
      </x:c>
      <x:c r="W114" s="42" t="n">
        <x:v>16</x:v>
      </x:c>
      <x:c r="X114" s="42" t="n">
        <x:v>47</x:v>
      </x:c>
      <x:c r="Y114" s="42" t="str"/>
    </x:row>
    <x:row r="115">
      <x:c r="A115" s="1">
        <x:v>12</x:v>
      </x:c>
      <x:c r="B115" s="1" t="s">
        <x:v>501</x:v>
      </x:c>
      <x:c r="C115" s="1" t="s">
        <x:v>314</x:v>
      </x:c>
      <x:c r="D115" s="1">
        <x:v>2</x:v>
      </x:c>
      <x:c r="E115" s="1">
        <x:v>1</x:v>
      </x:c>
      <x:c r="F115" s="1">
        <x:v>4</x:v>
      </x:c>
      <x:c r="G115" s="1" t="s">
        <x:v>1042</x:v>
      </x:c>
      <x:c r="H115" s="1">
        <x:v>23</x:v>
      </x:c>
      <x:c r="I115" s="1">
        <x:v>13</x:v>
      </x:c>
      <x:c r="J115" s="1">
        <x:v>0.94</x:v>
      </x:c>
      <x:c r="K115" s="1" t="s">
        <x:v>1109</x:v>
      </x:c>
      <x:c r="L115" s="1">
        <x:v>1.6</x:v>
      </x:c>
      <x:c r="M115" s="1">
        <x:v>1.46</x:v>
      </x:c>
      <x:c r="N115" s="1">
        <x:v>384</x:v>
      </x:c>
      <x:c r="O115" s="1" t="s">
        <x:v>1047</x:v>
      </x:c>
      <x:c r="P115" s="42" t="str">
        <x:v>Lv20~30</x:v>
      </x:c>
      <x:c r="Q115" s="42" t="str">
        <x:v>I</x:v>
      </x:c>
      <x:c r="R115" s="42" t="str">
        <x:v>3~4</x:v>
      </x:c>
      <x:c r="S115" s="42" t="str">
        <x:v>조합 이해로 극복</x:v>
      </x:c>
      <x:c r="T115" s="42" t="n">
        <x:v>13</x:v>
      </x:c>
      <x:c r="U115" s="42" t="n">
        <x:v>299</x:v>
      </x:c>
      <x:c r="V115" s="42" t="n">
        <x:v>189</x:v>
      </x:c>
      <x:c r="W115" s="42" t="n">
        <x:v>19</x:v>
      </x:c>
      <x:c r="X115" s="42" t="n">
        <x:v>57</x:v>
      </x:c>
      <x:c r="Y115" s="42" t="str"/>
    </x:row>
    <x:row r="116">
      <x:c r="A116" s="1">
        <x:v>12</x:v>
      </x:c>
      <x:c r="B116" s="1" t="s">
        <x:v>501</x:v>
      </x:c>
      <x:c r="C116" s="1" t="s">
        <x:v>314</x:v>
      </x:c>
      <x:c r="D116" s="1">
        <x:v>2</x:v>
      </x:c>
      <x:c r="E116" s="1">
        <x:v>1</x:v>
      </x:c>
      <x:c r="F116" s="1">
        <x:v>5</x:v>
      </x:c>
      <x:c r="G116" s="1" t="s">
        <x:v>1048</x:v>
      </x:c>
      <x:c r="H116" s="1">
        <x:v>17</x:v>
      </x:c>
      <x:c r="I116" s="1">
        <x:v>14</x:v>
      </x:c>
      <x:c r="J116" s="1">
        <x:v>0.9</x:v>
      </x:c>
      <x:c r="K116" s="1" t="s">
        <x:v>1104</x:v>
      </x:c>
      <x:c r="L116" s="1">
        <x:v>1.64</x:v>
      </x:c>
      <x:c r="M116" s="1">
        <x:v>1.49</x:v>
      </x:c>
      <x:c r="N116" s="1">
        <x:v>384</x:v>
      </x:c>
      <x:c r="O116" s="1" t="s">
        <x:v>1050</x:v>
      </x:c>
      <x:c r="P116" s="42" t="str">
        <x:v>Lv20~30</x:v>
      </x:c>
      <x:c r="Q116" s="42" t="str">
        <x:v>I</x:v>
      </x:c>
      <x:c r="R116" s="42" t="str">
        <x:v>3~4</x:v>
      </x:c>
      <x:c r="S116" s="42" t="str">
        <x:v>조합 이해로 극복</x:v>
      </x:c>
      <x:c r="T116" s="42" t="n">
        <x:v>13</x:v>
      </x:c>
      <x:c r="U116" s="42" t="n">
        <x:v>418</x:v>
      </x:c>
      <x:c r="V116" s="42" t="n">
        <x:v>315</x:v>
      </x:c>
      <x:c r="W116" s="42" t="n">
        <x:v>32</x:v>
      </x:c>
      <x:c r="X116" s="42" t="n">
        <x:v>94</x:v>
      </x:c>
      <x:c r="Y116" s="42" t="str">
        <x:v>중간보스 현상금 포함</x:v>
      </x:c>
    </x:row>
    <x:row r="117">
      <x:c r="A117" s="1">
        <x:v>12</x:v>
      </x:c>
      <x:c r="B117" s="1" t="s">
        <x:v>501</x:v>
      </x:c>
      <x:c r="C117" s="1" t="s">
        <x:v>314</x:v>
      </x:c>
      <x:c r="D117" s="1">
        <x:v>2</x:v>
      </x:c>
      <x:c r="E117" s="1">
        <x:v>1</x:v>
      </x:c>
      <x:c r="F117" s="1">
        <x:v>6</x:v>
      </x:c>
      <x:c r="G117" s="1" t="s">
        <x:v>1042</x:v>
      </x:c>
      <x:c r="H117" s="1">
        <x:v>27</x:v>
      </x:c>
      <x:c r="I117" s="1">
        <x:v>16</x:v>
      </x:c>
      <x:c r="J117" s="1">
        <x:v>0.87</x:v>
      </x:c>
      <x:c r="K117" s="1" t="s">
        <x:v>1100</x:v>
      </x:c>
      <x:c r="L117" s="1">
        <x:v>1.67</x:v>
      </x:c>
      <x:c r="M117" s="1">
        <x:v>1.51</x:v>
      </x:c>
      <x:c r="N117" s="1">
        <x:v>384</x:v>
      </x:c>
      <x:c r="O117" s="1" t="s">
        <x:v>1052</x:v>
      </x:c>
      <x:c r="P117" s="42" t="str">
        <x:v>Lv20~30</x:v>
      </x:c>
      <x:c r="Q117" s="42" t="str">
        <x:v>I</x:v>
      </x:c>
      <x:c r="R117" s="42" t="str">
        <x:v>3~4</x:v>
      </x:c>
      <x:c r="S117" s="42" t="str">
        <x:v>조합 이해로 극복</x:v>
      </x:c>
      <x:c r="T117" s="42" t="n">
        <x:v>13</x:v>
      </x:c>
      <x:c r="U117" s="42" t="n">
        <x:v>351</x:v>
      </x:c>
      <x:c r="V117" s="42" t="n">
        <x:v>231</x:v>
      </x:c>
      <x:c r="W117" s="42" t="n">
        <x:v>23</x:v>
      </x:c>
      <x:c r="X117" s="42" t="n">
        <x:v>69</x:v>
      </x:c>
      <x:c r="Y117" s="42" t="str"/>
    </x:row>
    <x:row r="118">
      <x:c r="A118" s="1">
        <x:v>12</x:v>
      </x:c>
      <x:c r="B118" s="1" t="s">
        <x:v>501</x:v>
      </x:c>
      <x:c r="C118" s="1" t="s">
        <x:v>314</x:v>
      </x:c>
      <x:c r="D118" s="1">
        <x:v>2</x:v>
      </x:c>
      <x:c r="E118" s="1">
        <x:v>1</x:v>
      </x:c>
      <x:c r="F118" s="1">
        <x:v>7</x:v>
      </x:c>
      <x:c r="G118" s="1" t="s">
        <x:v>1042</x:v>
      </x:c>
      <x:c r="H118" s="1">
        <x:v>29</x:v>
      </x:c>
      <x:c r="I118" s="1">
        <x:v>17</x:v>
      </x:c>
      <x:c r="J118" s="1">
        <x:v>0.83</x:v>
      </x:c>
      <x:c r="K118" s="1" t="s">
        <x:v>1109</x:v>
      </x:c>
      <x:c r="L118" s="1">
        <x:v>1.71</x:v>
      </x:c>
      <x:c r="M118" s="1">
        <x:v>1.54</x:v>
      </x:c>
      <x:c r="N118" s="1">
        <x:v>384</x:v>
      </x:c>
      <x:c r="O118" s="1" t="s">
        <x:v>1052</x:v>
      </x:c>
      <x:c r="P118" s="42" t="str">
        <x:v>Lv20~30</x:v>
      </x:c>
      <x:c r="Q118" s="42" t="str">
        <x:v>I</x:v>
      </x:c>
      <x:c r="R118" s="42" t="str">
        <x:v>3~4</x:v>
      </x:c>
      <x:c r="S118" s="42" t="str">
        <x:v>조합 이해로 극복</x:v>
      </x:c>
      <x:c r="T118" s="42" t="n">
        <x:v>13</x:v>
      </x:c>
      <x:c r="U118" s="42" t="n">
        <x:v>377</x:v>
      </x:c>
      <x:c r="V118" s="42" t="n">
        <x:v>315</x:v>
      </x:c>
      <x:c r="W118" s="42" t="n">
        <x:v>32</x:v>
      </x:c>
      <x:c r="X118" s="42" t="n">
        <x:v>94</x:v>
      </x:c>
      <x:c r="Y118" s="42" t="str"/>
    </x:row>
    <x:row r="119">
      <x:c r="A119" s="1">
        <x:v>12</x:v>
      </x:c>
      <x:c r="B119" s="1" t="s">
        <x:v>501</x:v>
      </x:c>
      <x:c r="C119" s="1" t="s">
        <x:v>314</x:v>
      </x:c>
      <x:c r="D119" s="1">
        <x:v>2</x:v>
      </x:c>
      <x:c r="E119" s="1">
        <x:v>1</x:v>
      </x:c>
      <x:c r="F119" s="1">
        <x:v>8</x:v>
      </x:c>
      <x:c r="G119" s="1" t="s">
        <x:v>1042</x:v>
      </x:c>
      <x:c r="H119" s="1">
        <x:v>31</x:v>
      </x:c>
      <x:c r="I119" s="1">
        <x:v>18</x:v>
      </x:c>
      <x:c r="J119" s="1">
        <x:v>0.8</x:v>
      </x:c>
      <x:c r="K119" s="1" t="s">
        <x:v>1105</x:v>
      </x:c>
      <x:c r="L119" s="1">
        <x:v>1.74</x:v>
      </x:c>
      <x:c r="M119" s="1">
        <x:v>1.56</x:v>
      </x:c>
      <x:c r="N119" s="1">
        <x:v>384</x:v>
      </x:c>
      <x:c r="O119" s="1" t="s">
        <x:v>1052</x:v>
      </x:c>
      <x:c r="P119" s="42" t="str">
        <x:v>Lv20~30</x:v>
      </x:c>
      <x:c r="Q119" s="42" t="str">
        <x:v>I</x:v>
      </x:c>
      <x:c r="R119" s="42" t="str">
        <x:v>3~4</x:v>
      </x:c>
      <x:c r="S119" s="42" t="str">
        <x:v>조합 이해로 극복</x:v>
      </x:c>
      <x:c r="T119" s="42" t="n">
        <x:v>13</x:v>
      </x:c>
      <x:c r="U119" s="42" t="n">
        <x:v>403</x:v>
      </x:c>
      <x:c r="V119" s="42" t="n">
        <x:v>420</x:v>
      </x:c>
      <x:c r="W119" s="42" t="n">
        <x:v>42</x:v>
      </x:c>
      <x:c r="X119" s="42" t="n">
        <x:v>126</x:v>
      </x:c>
      <x:c r="Y119" s="42" t="str"/>
    </x:row>
    <x:row r="120">
      <x:c r="A120" s="1">
        <x:v>12</x:v>
      </x:c>
      <x:c r="B120" s="1" t="s">
        <x:v>501</x:v>
      </x:c>
      <x:c r="C120" s="1" t="s">
        <x:v>314</x:v>
      </x:c>
      <x:c r="D120" s="1">
        <x:v>2</x:v>
      </x:c>
      <x:c r="E120" s="1">
        <x:v>1</x:v>
      </x:c>
      <x:c r="F120" s="1">
        <x:v>9</x:v>
      </x:c>
      <x:c r="G120" s="1" t="s">
        <x:v>1042</x:v>
      </x:c>
      <x:c r="H120" s="1">
        <x:v>33</x:v>
      </x:c>
      <x:c r="I120" s="1">
        <x:v>19</x:v>
      </x:c>
      <x:c r="J120" s="1">
        <x:v>0.76</x:v>
      </x:c>
      <x:c r="K120" s="1" t="s">
        <x:v>1100</x:v>
      </x:c>
      <x:c r="L120" s="1">
        <x:v>1.78</x:v>
      </x:c>
      <x:c r="M120" s="1">
        <x:v>1.58</x:v>
      </x:c>
      <x:c r="N120" s="1">
        <x:v>384</x:v>
      </x:c>
      <x:c r="O120" s="1" t="s">
        <x:v>1056</x:v>
      </x:c>
      <x:c r="P120" s="42" t="str">
        <x:v>Lv20~30</x:v>
      </x:c>
      <x:c r="Q120" s="42" t="str">
        <x:v>I</x:v>
      </x:c>
      <x:c r="R120" s="42" t="str">
        <x:v>3~4</x:v>
      </x:c>
      <x:c r="S120" s="42" t="str">
        <x:v>조합 이해로 극복</x:v>
      </x:c>
      <x:c r="T120" s="42" t="n">
        <x:v>13</x:v>
      </x:c>
      <x:c r="U120" s="42" t="n">
        <x:v>429</x:v>
      </x:c>
      <x:c r="V120" s="42" t="n">
        <x:v>525</x:v>
      </x:c>
      <x:c r="W120" s="42" t="n">
        <x:v>52</x:v>
      </x:c>
      <x:c r="X120" s="42" t="n">
        <x:v>158</x:v>
      </x:c>
      <x:c r="Y120" s="42" t="str"/>
    </x:row>
    <x:row r="121">
      <x:c r="A121" s="1">
        <x:v>12</x:v>
      </x:c>
      <x:c r="B121" s="1" t="s">
        <x:v>501</x:v>
      </x:c>
      <x:c r="C121" s="1" t="s">
        <x:v>314</x:v>
      </x:c>
      <x:c r="D121" s="1">
        <x:v>2</x:v>
      </x:c>
      <x:c r="E121" s="1">
        <x:v>1</x:v>
      </x:c>
      <x:c r="F121" s="1">
        <x:v>10</x:v>
      </x:c>
      <x:c r="G121" s="1" t="s">
        <x:v>1057</x:v>
      </x:c>
      <x:c r="H121" s="1">
        <x:v>25</x:v>
      </x:c>
      <x:c r="I121" s="1">
        <x:v>20</x:v>
      </x:c>
      <x:c r="J121" s="1">
        <x:v>0.73</x:v>
      </x:c>
      <x:c r="K121" s="1" t="s">
        <x:v>1110</x:v>
      </x:c>
      <x:c r="L121" s="1">
        <x:v>1.81</x:v>
      </x:c>
      <x:c r="M121" s="1">
        <x:v>1.61</x:v>
      </x:c>
      <x:c r="N121" s="1">
        <x:v>384</x:v>
      </x:c>
      <x:c r="O121" s="1" t="s">
        <x:v>1059</x:v>
      </x:c>
      <x:c r="P121" s="42" t="str">
        <x:v>Lv20~30</x:v>
      </x:c>
      <x:c r="Q121" s="42" t="str">
        <x:v>I</x:v>
      </x:c>
      <x:c r="R121" s="42" t="str">
        <x:v>3~4</x:v>
      </x:c>
      <x:c r="S121" s="42" t="str">
        <x:v>조합 이해로 극복</x:v>
      </x:c>
      <x:c r="T121" s="42" t="n">
        <x:v>13</x:v>
      </x:c>
      <x:c r="U121" s="42" t="n">
        <x:v>312</x:v>
      </x:c>
      <x:c r="V121" s="42" t="n">
        <x:v>0</x:v>
      </x:c>
      <x:c r="W121" s="42" t="n">
        <x:v>0</x:v>
      </x:c>
      <x:c r="X121" s="42" t="n">
        <x:v>0</x:v>
      </x:c>
      <x:c r="Y121" s="42" t="str">
        <x:v>보스 처치 보상은 로비 보상으로 분리</x:v>
      </x:c>
    </x:row>
    <x:row r="122">
      <x:c r="A122" s="1">
        <x:v>13</x:v>
      </x:c>
      <x:c r="B122" s="1" t="s">
        <x:v>501</x:v>
      </x:c>
      <x:c r="C122" s="1" t="s">
        <x:v>314</x:v>
      </x:c>
      <x:c r="D122" s="1">
        <x:v>3</x:v>
      </x:c>
      <x:c r="E122" s="1">
        <x:v>2</x:v>
      </x:c>
      <x:c r="F122" s="1">
        <x:v>1</x:v>
      </x:c>
      <x:c r="G122" s="1" t="s">
        <x:v>1042</x:v>
      </x:c>
      <x:c r="H122" s="1">
        <x:v>19</x:v>
      </x:c>
      <x:c r="I122" s="1">
        <x:v>11</x:v>
      </x:c>
      <x:c r="J122" s="1">
        <x:v>1.03</x:v>
      </x:c>
      <x:c r="K122" s="1" t="s">
        <x:v>1107</x:v>
      </x:c>
      <x:c r="L122" s="1">
        <x:v>1.54</x:v>
      </x:c>
      <x:c r="M122" s="1">
        <x:v>1.42</x:v>
      </x:c>
      <x:c r="N122" s="1">
        <x:v>433</x:v>
      </x:c>
      <x:c r="O122" s="1" t="s">
        <x:v>1044</x:v>
      </x:c>
      <x:c r="P122" s="42" t="str">
        <x:v>Lv20~30</x:v>
      </x:c>
      <x:c r="Q122" s="42" t="str">
        <x:v>I</x:v>
      </x:c>
      <x:c r="R122" s="42" t="str">
        <x:v>3~4</x:v>
      </x:c>
      <x:c r="S122" s="42" t="str">
        <x:v>조합 이해로 극복</x:v>
      </x:c>
      <x:c r="T122" s="42" t="n">
        <x:v>13</x:v>
      </x:c>
      <x:c r="U122" s="42" t="n">
        <x:v>247</x:v>
      </x:c>
      <x:c r="V122" s="42" t="n">
        <x:v>105</x:v>
      </x:c>
      <x:c r="W122" s="42" t="n">
        <x:v>10</x:v>
      </x:c>
      <x:c r="X122" s="42" t="n">
        <x:v>32</x:v>
      </x:c>
      <x:c r="Y122" s="42" t="str"/>
    </x:row>
    <x:row r="123">
      <x:c r="A123" s="1">
        <x:v>13</x:v>
      </x:c>
      <x:c r="B123" s="1" t="s">
        <x:v>501</x:v>
      </x:c>
      <x:c r="C123" s="1" t="s">
        <x:v>314</x:v>
      </x:c>
      <x:c r="D123" s="1">
        <x:v>3</x:v>
      </x:c>
      <x:c r="E123" s="1">
        <x:v>2</x:v>
      </x:c>
      <x:c r="F123" s="1">
        <x:v>2</x:v>
      </x:c>
      <x:c r="G123" s="1" t="s">
        <x:v>1042</x:v>
      </x:c>
      <x:c r="H123" s="1">
        <x:v>21</x:v>
      </x:c>
      <x:c r="I123" s="1">
        <x:v>12</x:v>
      </x:c>
      <x:c r="J123" s="1">
        <x:v>0.99</x:v>
      </x:c>
      <x:c r="K123" s="1" t="s">
        <x:v>1100</x:v>
      </x:c>
      <x:c r="L123" s="1">
        <x:v>1.57</x:v>
      </x:c>
      <x:c r="M123" s="1">
        <x:v>1.44</x:v>
      </x:c>
      <x:c r="N123" s="1">
        <x:v>433</x:v>
      </x:c>
      <x:c r="O123" s="1" t="s">
        <x:v>1044</x:v>
      </x:c>
      <x:c r="P123" s="42" t="str">
        <x:v>Lv20~30</x:v>
      </x:c>
      <x:c r="Q123" s="42" t="str">
        <x:v>I</x:v>
      </x:c>
      <x:c r="R123" s="42" t="str">
        <x:v>3~4</x:v>
      </x:c>
      <x:c r="S123" s="42" t="str">
        <x:v>조합 이해로 극복</x:v>
      </x:c>
      <x:c r="T123" s="42" t="n">
        <x:v>13</x:v>
      </x:c>
      <x:c r="U123" s="42" t="n">
        <x:v>273</x:v>
      </x:c>
      <x:c r="V123" s="42" t="n">
        <x:v>126</x:v>
      </x:c>
      <x:c r="W123" s="42" t="n">
        <x:v>13</x:v>
      </x:c>
      <x:c r="X123" s="42" t="n">
        <x:v>38</x:v>
      </x:c>
      <x:c r="Y123" s="42" t="str"/>
    </x:row>
    <x:row r="124">
      <x:c r="A124" s="1">
        <x:v>13</x:v>
      </x:c>
      <x:c r="B124" s="1" t="s">
        <x:v>501</x:v>
      </x:c>
      <x:c r="C124" s="1" t="s">
        <x:v>314</x:v>
      </x:c>
      <x:c r="D124" s="1">
        <x:v>3</x:v>
      </x:c>
      <x:c r="E124" s="1">
        <x:v>2</x:v>
      </x:c>
      <x:c r="F124" s="1">
        <x:v>3</x:v>
      </x:c>
      <x:c r="G124" s="1" t="s">
        <x:v>1042</x:v>
      </x:c>
      <x:c r="H124" s="1">
        <x:v>23</x:v>
      </x:c>
      <x:c r="I124" s="1">
        <x:v>13</x:v>
      </x:c>
      <x:c r="J124" s="1">
        <x:v>0.96</x:v>
      </x:c>
      <x:c r="K124" s="1" t="s">
        <x:v>1111</x:v>
      </x:c>
      <x:c r="L124" s="1">
        <x:v>1.61</x:v>
      </x:c>
      <x:c r="M124" s="1">
        <x:v>1.47</x:v>
      </x:c>
      <x:c r="N124" s="1">
        <x:v>433</x:v>
      </x:c>
      <x:c r="O124" s="1" t="s">
        <x:v>1044</x:v>
      </x:c>
      <x:c r="P124" s="42" t="str">
        <x:v>Lv20~30</x:v>
      </x:c>
      <x:c r="Q124" s="42" t="str">
        <x:v>I</x:v>
      </x:c>
      <x:c r="R124" s="42" t="str">
        <x:v>3~4</x:v>
      </x:c>
      <x:c r="S124" s="42" t="str">
        <x:v>조합 이해로 극복</x:v>
      </x:c>
      <x:c r="T124" s="42" t="n">
        <x:v>13</x:v>
      </x:c>
      <x:c r="U124" s="42" t="n">
        <x:v>299</x:v>
      </x:c>
      <x:c r="V124" s="42" t="n">
        <x:v>158</x:v>
      </x:c>
      <x:c r="W124" s="42" t="n">
        <x:v>16</x:v>
      </x:c>
      <x:c r="X124" s="42" t="n">
        <x:v>47</x:v>
      </x:c>
      <x:c r="Y124" s="42" t="str"/>
    </x:row>
    <x:row r="125">
      <x:c r="A125" s="1">
        <x:v>13</x:v>
      </x:c>
      <x:c r="B125" s="1" t="s">
        <x:v>501</x:v>
      </x:c>
      <x:c r="C125" s="1" t="s">
        <x:v>314</x:v>
      </x:c>
      <x:c r="D125" s="1">
        <x:v>3</x:v>
      </x:c>
      <x:c r="E125" s="1">
        <x:v>2</x:v>
      </x:c>
      <x:c r="F125" s="1">
        <x:v>4</x:v>
      </x:c>
      <x:c r="G125" s="1" t="s">
        <x:v>1042</x:v>
      </x:c>
      <x:c r="H125" s="1">
        <x:v>25</x:v>
      </x:c>
      <x:c r="I125" s="1">
        <x:v>14</x:v>
      </x:c>
      <x:c r="J125" s="1">
        <x:v>0.92</x:v>
      </x:c>
      <x:c r="K125" s="1" t="s">
        <x:v>1112</x:v>
      </x:c>
      <x:c r="L125" s="1">
        <x:v>1.65</x:v>
      </x:c>
      <x:c r="M125" s="1">
        <x:v>1.49</x:v>
      </x:c>
      <x:c r="N125" s="1">
        <x:v>433</x:v>
      </x:c>
      <x:c r="O125" s="1" t="s">
        <x:v>1047</x:v>
      </x:c>
      <x:c r="P125" s="42" t="str">
        <x:v>Lv20~30</x:v>
      </x:c>
      <x:c r="Q125" s="42" t="str">
        <x:v>I</x:v>
      </x:c>
      <x:c r="R125" s="42" t="str">
        <x:v>3~4</x:v>
      </x:c>
      <x:c r="S125" s="42" t="str">
        <x:v>조합 이해로 극복</x:v>
      </x:c>
      <x:c r="T125" s="42" t="n">
        <x:v>13</x:v>
      </x:c>
      <x:c r="U125" s="42" t="n">
        <x:v>325</x:v>
      </x:c>
      <x:c r="V125" s="42" t="n">
        <x:v>189</x:v>
      </x:c>
      <x:c r="W125" s="42" t="n">
        <x:v>19</x:v>
      </x:c>
      <x:c r="X125" s="42" t="n">
        <x:v>57</x:v>
      </x:c>
      <x:c r="Y125" s="42" t="str"/>
    </x:row>
    <x:row r="126">
      <x:c r="A126" s="1">
        <x:v>13</x:v>
      </x:c>
      <x:c r="B126" s="1" t="s">
        <x:v>501</x:v>
      </x:c>
      <x:c r="C126" s="1" t="s">
        <x:v>314</x:v>
      </x:c>
      <x:c r="D126" s="1">
        <x:v>3</x:v>
      </x:c>
      <x:c r="E126" s="1">
        <x:v>2</x:v>
      </x:c>
      <x:c r="F126" s="1">
        <x:v>5</x:v>
      </x:c>
      <x:c r="G126" s="1" t="s">
        <x:v>1048</x:v>
      </x:c>
      <x:c r="H126" s="1">
        <x:v>19</x:v>
      </x:c>
      <x:c r="I126" s="1">
        <x:v>16</x:v>
      </x:c>
      <x:c r="J126" s="1">
        <x:v>0.89</x:v>
      </x:c>
      <x:c r="K126" s="1" t="s">
        <x:v>1113</x:v>
      </x:c>
      <x:c r="L126" s="1">
        <x:v>1.68</x:v>
      </x:c>
      <x:c r="M126" s="1">
        <x:v>1.52</x:v>
      </x:c>
      <x:c r="N126" s="1">
        <x:v>433</x:v>
      </x:c>
      <x:c r="O126" s="1" t="s">
        <x:v>1050</x:v>
      </x:c>
      <x:c r="P126" s="42" t="str">
        <x:v>Lv20~30</x:v>
      </x:c>
      <x:c r="Q126" s="42" t="str">
        <x:v>I</x:v>
      </x:c>
      <x:c r="R126" s="42" t="str">
        <x:v>3~4</x:v>
      </x:c>
      <x:c r="S126" s="42" t="str">
        <x:v>조합 이해로 극복</x:v>
      </x:c>
      <x:c r="T126" s="42" t="n">
        <x:v>13</x:v>
      </x:c>
      <x:c r="U126" s="42" t="n">
        <x:v>446</x:v>
      </x:c>
      <x:c r="V126" s="42" t="n">
        <x:v>315</x:v>
      </x:c>
      <x:c r="W126" s="42" t="n">
        <x:v>32</x:v>
      </x:c>
      <x:c r="X126" s="42" t="n">
        <x:v>94</x:v>
      </x:c>
      <x:c r="Y126" s="42" t="str">
        <x:v>중간보스 현상금 포함</x:v>
      </x:c>
    </x:row>
    <x:row r="127">
      <x:c r="A127" s="1">
        <x:v>13</x:v>
      </x:c>
      <x:c r="B127" s="1" t="s">
        <x:v>501</x:v>
      </x:c>
      <x:c r="C127" s="1" t="s">
        <x:v>314</x:v>
      </x:c>
      <x:c r="D127" s="1">
        <x:v>3</x:v>
      </x:c>
      <x:c r="E127" s="1">
        <x:v>2</x:v>
      </x:c>
      <x:c r="F127" s="1">
        <x:v>6</x:v>
      </x:c>
      <x:c r="G127" s="1" t="s">
        <x:v>1042</x:v>
      </x:c>
      <x:c r="H127" s="1">
        <x:v>29</x:v>
      </x:c>
      <x:c r="I127" s="1">
        <x:v>17</x:v>
      </x:c>
      <x:c r="J127" s="1">
        <x:v>0.85</x:v>
      </x:c>
      <x:c r="K127" s="1" t="s">
        <x:v>1114</x:v>
      </x:c>
      <x:c r="L127" s="1">
        <x:v>1.72</x:v>
      </x:c>
      <x:c r="M127" s="1">
        <x:v>1.54</x:v>
      </x:c>
      <x:c r="N127" s="1">
        <x:v>433</x:v>
      </x:c>
      <x:c r="O127" s="1" t="s">
        <x:v>1052</x:v>
      </x:c>
      <x:c r="P127" s="42" t="str">
        <x:v>Lv20~30</x:v>
      </x:c>
      <x:c r="Q127" s="42" t="str">
        <x:v>I</x:v>
      </x:c>
      <x:c r="R127" s="42" t="str">
        <x:v>3~4</x:v>
      </x:c>
      <x:c r="S127" s="42" t="str">
        <x:v>조합 이해로 극복</x:v>
      </x:c>
      <x:c r="T127" s="42" t="n">
        <x:v>13</x:v>
      </x:c>
      <x:c r="U127" s="42" t="n">
        <x:v>377</x:v>
      </x:c>
      <x:c r="V127" s="42" t="n">
        <x:v>231</x:v>
      </x:c>
      <x:c r="W127" s="42" t="n">
        <x:v>23</x:v>
      </x:c>
      <x:c r="X127" s="42" t="n">
        <x:v>69</x:v>
      </x:c>
      <x:c r="Y127" s="42" t="str"/>
    </x:row>
    <x:row r="128">
      <x:c r="A128" s="1">
        <x:v>13</x:v>
      </x:c>
      <x:c r="B128" s="1" t="s">
        <x:v>501</x:v>
      </x:c>
      <x:c r="C128" s="1" t="s">
        <x:v>314</x:v>
      </x:c>
      <x:c r="D128" s="1">
        <x:v>3</x:v>
      </x:c>
      <x:c r="E128" s="1">
        <x:v>2</x:v>
      </x:c>
      <x:c r="F128" s="1">
        <x:v>7</x:v>
      </x:c>
      <x:c r="G128" s="1" t="s">
        <x:v>1042</x:v>
      </x:c>
      <x:c r="H128" s="1">
        <x:v>31</x:v>
      </x:c>
      <x:c r="I128" s="1">
        <x:v>18</x:v>
      </x:c>
      <x:c r="J128" s="1">
        <x:v>0.82</x:v>
      </x:c>
      <x:c r="K128" s="1" t="s">
        <x:v>1115</x:v>
      </x:c>
      <x:c r="L128" s="1">
        <x:v>1.75</x:v>
      </x:c>
      <x:c r="M128" s="1">
        <x:v>1.57</x:v>
      </x:c>
      <x:c r="N128" s="1">
        <x:v>433</x:v>
      </x:c>
      <x:c r="O128" s="1" t="s">
        <x:v>1052</x:v>
      </x:c>
      <x:c r="P128" s="42" t="str">
        <x:v>Lv20~30</x:v>
      </x:c>
      <x:c r="Q128" s="42" t="str">
        <x:v>I</x:v>
      </x:c>
      <x:c r="R128" s="42" t="str">
        <x:v>3~4</x:v>
      </x:c>
      <x:c r="S128" s="42" t="str">
        <x:v>조합 이해로 극복</x:v>
      </x:c>
      <x:c r="T128" s="42" t="n">
        <x:v>13</x:v>
      </x:c>
      <x:c r="U128" s="42" t="n">
        <x:v>403</x:v>
      </x:c>
      <x:c r="V128" s="42" t="n">
        <x:v>315</x:v>
      </x:c>
      <x:c r="W128" s="42" t="n">
        <x:v>32</x:v>
      </x:c>
      <x:c r="X128" s="42" t="n">
        <x:v>94</x:v>
      </x:c>
      <x:c r="Y128" s="42" t="str"/>
    </x:row>
    <x:row r="129">
      <x:c r="A129" s="1">
        <x:v>13</x:v>
      </x:c>
      <x:c r="B129" s="1" t="s">
        <x:v>501</x:v>
      </x:c>
      <x:c r="C129" s="1" t="s">
        <x:v>314</x:v>
      </x:c>
      <x:c r="D129" s="1">
        <x:v>3</x:v>
      </x:c>
      <x:c r="E129" s="1">
        <x:v>2</x:v>
      </x:c>
      <x:c r="F129" s="1">
        <x:v>8</x:v>
      </x:c>
      <x:c r="G129" s="1" t="s">
        <x:v>1042</x:v>
      </x:c>
      <x:c r="H129" s="1">
        <x:v>33</x:v>
      </x:c>
      <x:c r="I129" s="1">
        <x:v>19</x:v>
      </x:c>
      <x:c r="J129" s="1">
        <x:v>0.78</x:v>
      </x:c>
      <x:c r="K129" s="1" t="s">
        <x:v>1100</x:v>
      </x:c>
      <x:c r="L129" s="1">
        <x:v>1.79</x:v>
      </x:c>
      <x:c r="M129" s="1">
        <x:v>1.59</x:v>
      </x:c>
      <x:c r="N129" s="1">
        <x:v>433</x:v>
      </x:c>
      <x:c r="O129" s="1" t="s">
        <x:v>1052</x:v>
      </x:c>
      <x:c r="P129" s="42" t="str">
        <x:v>Lv20~30</x:v>
      </x:c>
      <x:c r="Q129" s="42" t="str">
        <x:v>I</x:v>
      </x:c>
      <x:c r="R129" s="42" t="str">
        <x:v>3~4</x:v>
      </x:c>
      <x:c r="S129" s="42" t="str">
        <x:v>조합 이해로 극복</x:v>
      </x:c>
      <x:c r="T129" s="42" t="n">
        <x:v>13</x:v>
      </x:c>
      <x:c r="U129" s="42" t="n">
        <x:v>429</x:v>
      </x:c>
      <x:c r="V129" s="42" t="n">
        <x:v>420</x:v>
      </x:c>
      <x:c r="W129" s="42" t="n">
        <x:v>42</x:v>
      </x:c>
      <x:c r="X129" s="42" t="n">
        <x:v>126</x:v>
      </x:c>
      <x:c r="Y129" s="42" t="str"/>
    </x:row>
    <x:row r="130">
      <x:c r="A130" s="1">
        <x:v>13</x:v>
      </x:c>
      <x:c r="B130" s="1" t="s">
        <x:v>501</x:v>
      </x:c>
      <x:c r="C130" s="1" t="s">
        <x:v>314</x:v>
      </x:c>
      <x:c r="D130" s="1">
        <x:v>3</x:v>
      </x:c>
      <x:c r="E130" s="1">
        <x:v>2</x:v>
      </x:c>
      <x:c r="F130" s="1">
        <x:v>9</x:v>
      </x:c>
      <x:c r="G130" s="1" t="s">
        <x:v>1042</x:v>
      </x:c>
      <x:c r="H130" s="1">
        <x:v>35</x:v>
      </x:c>
      <x:c r="I130" s="1">
        <x:v>20</x:v>
      </x:c>
      <x:c r="J130" s="1">
        <x:v>0.75</x:v>
      </x:c>
      <x:c r="K130" s="1" t="s">
        <x:v>1116</x:v>
      </x:c>
      <x:c r="L130" s="1">
        <x:v>1.82</x:v>
      </x:c>
      <x:c r="M130" s="1">
        <x:v>1.62</x:v>
      </x:c>
      <x:c r="N130" s="1">
        <x:v>433</x:v>
      </x:c>
      <x:c r="O130" s="1" t="s">
        <x:v>1056</x:v>
      </x:c>
      <x:c r="P130" s="42" t="str">
        <x:v>Lv20~30</x:v>
      </x:c>
      <x:c r="Q130" s="42" t="str">
        <x:v>I</x:v>
      </x:c>
      <x:c r="R130" s="42" t="str">
        <x:v>3~4</x:v>
      </x:c>
      <x:c r="S130" s="42" t="str">
        <x:v>조합 이해로 극복</x:v>
      </x:c>
      <x:c r="T130" s="42" t="n">
        <x:v>13</x:v>
      </x:c>
      <x:c r="U130" s="42" t="n">
        <x:v>455</x:v>
      </x:c>
      <x:c r="V130" s="42" t="n">
        <x:v>525</x:v>
      </x:c>
      <x:c r="W130" s="42" t="n">
        <x:v>52</x:v>
      </x:c>
      <x:c r="X130" s="42" t="n">
        <x:v>158</x:v>
      </x:c>
      <x:c r="Y130" s="42" t="str"/>
    </x:row>
    <x:row r="131">
      <x:c r="A131" s="1">
        <x:v>13</x:v>
      </x:c>
      <x:c r="B131" s="1" t="s">
        <x:v>501</x:v>
      </x:c>
      <x:c r="C131" s="1" t="s">
        <x:v>314</x:v>
      </x:c>
      <x:c r="D131" s="1">
        <x:v>3</x:v>
      </x:c>
      <x:c r="E131" s="1">
        <x:v>2</x:v>
      </x:c>
      <x:c r="F131" s="1">
        <x:v>10</x:v>
      </x:c>
      <x:c r="G131" s="1" t="s">
        <x:v>1057</x:v>
      </x:c>
      <x:c r="H131" s="1">
        <x:v>27</x:v>
      </x:c>
      <x:c r="I131" s="1">
        <x:v>21</x:v>
      </x:c>
      <x:c r="J131" s="1">
        <x:v>0.71</x:v>
      </x:c>
      <x:c r="K131" s="1" t="s">
        <x:v>1117</x:v>
      </x:c>
      <x:c r="L131" s="1">
        <x:v>1.85</x:v>
      </x:c>
      <x:c r="M131" s="1">
        <x:v>1.65</x:v>
      </x:c>
      <x:c r="N131" s="1">
        <x:v>433</x:v>
      </x:c>
      <x:c r="O131" s="1" t="s">
        <x:v>1059</x:v>
      </x:c>
      <x:c r="P131" s="42" t="str">
        <x:v>Lv20~30</x:v>
      </x:c>
      <x:c r="Q131" s="42" t="str">
        <x:v>I</x:v>
      </x:c>
      <x:c r="R131" s="42" t="str">
        <x:v>3~4</x:v>
      </x:c>
      <x:c r="S131" s="42" t="str">
        <x:v>조합 이해로 극복</x:v>
      </x:c>
      <x:c r="T131" s="42" t="n">
        <x:v>13</x:v>
      </x:c>
      <x:c r="U131" s="42" t="n">
        <x:v>338</x:v>
      </x:c>
      <x:c r="V131" s="42" t="n">
        <x:v>0</x:v>
      </x:c>
      <x:c r="W131" s="42" t="n">
        <x:v>0</x:v>
      </x:c>
      <x:c r="X131" s="42" t="n">
        <x:v>0</x:v>
      </x:c>
      <x:c r="Y131" s="42" t="str">
        <x:v>보스 처치 보상은 로비 보상으로 분리</x:v>
      </x:c>
    </x:row>
    <x:row r="132">
      <x:c r="A132" s="1">
        <x:v>14</x:v>
      </x:c>
      <x:c r="B132" s="1" t="s">
        <x:v>501</x:v>
      </x:c>
      <x:c r="C132" s="1" t="s">
        <x:v>314</x:v>
      </x:c>
      <x:c r="D132" s="1">
        <x:v>4</x:v>
      </x:c>
      <x:c r="E132" s="1">
        <x:v>2</x:v>
      </x:c>
      <x:c r="F132" s="1">
        <x:v>1</x:v>
      </x:c>
      <x:c r="G132" s="1" t="s">
        <x:v>1042</x:v>
      </x:c>
      <x:c r="H132" s="1">
        <x:v>20</x:v>
      </x:c>
      <x:c r="I132" s="1">
        <x:v>12</x:v>
      </x:c>
      <x:c r="J132" s="1">
        <x:v>1.02</x:v>
      </x:c>
      <x:c r="K132" s="1" t="s">
        <x:v>1118</x:v>
      </x:c>
      <x:c r="L132" s="1">
        <x:v>1.58</x:v>
      </x:c>
      <x:c r="M132" s="1">
        <x:v>1.46</x:v>
      </x:c>
      <x:c r="N132" s="1">
        <x:v>490</x:v>
      </x:c>
      <x:c r="O132" s="1" t="s">
        <x:v>1044</x:v>
      </x:c>
      <x:c r="P132" s="42" t="str">
        <x:v>Lv20~30</x:v>
      </x:c>
      <x:c r="Q132" s="42" t="str">
        <x:v>I</x:v>
      </x:c>
      <x:c r="R132" s="42" t="str">
        <x:v>3~4</x:v>
      </x:c>
      <x:c r="S132" s="42" t="str">
        <x:v>조합 이해로 극복</x:v>
      </x:c>
      <x:c r="T132" s="42" t="n">
        <x:v>13</x:v>
      </x:c>
      <x:c r="U132" s="42" t="n">
        <x:v>260</x:v>
      </x:c>
      <x:c r="V132" s="42" t="n">
        <x:v>105</x:v>
      </x:c>
      <x:c r="W132" s="42" t="n">
        <x:v>10</x:v>
      </x:c>
      <x:c r="X132" s="42" t="n">
        <x:v>32</x:v>
      </x:c>
      <x:c r="Y132" s="42" t="str"/>
    </x:row>
    <x:row r="133">
      <x:c r="A133" s="1">
        <x:v>14</x:v>
      </x:c>
      <x:c r="B133" s="1" t="s">
        <x:v>501</x:v>
      </x:c>
      <x:c r="C133" s="1" t="s">
        <x:v>314</x:v>
      </x:c>
      <x:c r="D133" s="1">
        <x:v>4</x:v>
      </x:c>
      <x:c r="E133" s="1">
        <x:v>2</x:v>
      </x:c>
      <x:c r="F133" s="1">
        <x:v>2</x:v>
      </x:c>
      <x:c r="G133" s="1" t="s">
        <x:v>1042</x:v>
      </x:c>
      <x:c r="H133" s="1">
        <x:v>22</x:v>
      </x:c>
      <x:c r="I133" s="1">
        <x:v>13</x:v>
      </x:c>
      <x:c r="J133" s="1">
        <x:v>0.98</x:v>
      </x:c>
      <x:c r="K133" s="1" t="s">
        <x:v>1111</x:v>
      </x:c>
      <x:c r="L133" s="1">
        <x:v>1.62</x:v>
      </x:c>
      <x:c r="M133" s="1">
        <x:v>1.48</x:v>
      </x:c>
      <x:c r="N133" s="1">
        <x:v>490</x:v>
      </x:c>
      <x:c r="O133" s="1" t="s">
        <x:v>1044</x:v>
      </x:c>
      <x:c r="P133" s="42" t="str">
        <x:v>Lv20~30</x:v>
      </x:c>
      <x:c r="Q133" s="42" t="str">
        <x:v>I</x:v>
      </x:c>
      <x:c r="R133" s="42" t="str">
        <x:v>3~4</x:v>
      </x:c>
      <x:c r="S133" s="42" t="str">
        <x:v>조합 이해로 극복</x:v>
      </x:c>
      <x:c r="T133" s="42" t="n">
        <x:v>13</x:v>
      </x:c>
      <x:c r="U133" s="42" t="n">
        <x:v>286</x:v>
      </x:c>
      <x:c r="V133" s="42" t="n">
        <x:v>126</x:v>
      </x:c>
      <x:c r="W133" s="42" t="n">
        <x:v>13</x:v>
      </x:c>
      <x:c r="X133" s="42" t="n">
        <x:v>38</x:v>
      </x:c>
      <x:c r="Y133" s="42" t="str"/>
    </x:row>
    <x:row r="134">
      <x:c r="A134" s="1">
        <x:v>14</x:v>
      </x:c>
      <x:c r="B134" s="1" t="s">
        <x:v>501</x:v>
      </x:c>
      <x:c r="C134" s="1" t="s">
        <x:v>314</x:v>
      </x:c>
      <x:c r="D134" s="1">
        <x:v>4</x:v>
      </x:c>
      <x:c r="E134" s="1">
        <x:v>2</x:v>
      </x:c>
      <x:c r="F134" s="1">
        <x:v>3</x:v>
      </x:c>
      <x:c r="G134" s="1" t="s">
        <x:v>1042</x:v>
      </x:c>
      <x:c r="H134" s="1">
        <x:v>24</x:v>
      </x:c>
      <x:c r="I134" s="1">
        <x:v>14</x:v>
      </x:c>
      <x:c r="J134" s="1">
        <x:v>0.95</x:v>
      </x:c>
      <x:c r="K134" s="1" t="s">
        <x:v>1118</x:v>
      </x:c>
      <x:c r="L134" s="1">
        <x:v>1.66</x:v>
      </x:c>
      <x:c r="M134" s="1">
        <x:v>1.51</x:v>
      </x:c>
      <x:c r="N134" s="1">
        <x:v>490</x:v>
      </x:c>
      <x:c r="O134" s="1" t="s">
        <x:v>1044</x:v>
      </x:c>
      <x:c r="P134" s="42" t="str">
        <x:v>Lv20~30</x:v>
      </x:c>
      <x:c r="Q134" s="42" t="str">
        <x:v>I</x:v>
      </x:c>
      <x:c r="R134" s="42" t="str">
        <x:v>3~4</x:v>
      </x:c>
      <x:c r="S134" s="42" t="str">
        <x:v>조합 이해로 극복</x:v>
      </x:c>
      <x:c r="T134" s="42" t="n">
        <x:v>13</x:v>
      </x:c>
      <x:c r="U134" s="42" t="n">
        <x:v>312</x:v>
      </x:c>
      <x:c r="V134" s="42" t="n">
        <x:v>158</x:v>
      </x:c>
      <x:c r="W134" s="42" t="n">
        <x:v>16</x:v>
      </x:c>
      <x:c r="X134" s="42" t="n">
        <x:v>47</x:v>
      </x:c>
      <x:c r="Y134" s="42" t="str"/>
    </x:row>
    <x:row r="135">
      <x:c r="A135" s="1">
        <x:v>14</x:v>
      </x:c>
      <x:c r="B135" s="1" t="s">
        <x:v>501</x:v>
      </x:c>
      <x:c r="C135" s="1" t="s">
        <x:v>314</x:v>
      </x:c>
      <x:c r="D135" s="1">
        <x:v>4</x:v>
      </x:c>
      <x:c r="E135" s="1">
        <x:v>2</x:v>
      </x:c>
      <x:c r="F135" s="1">
        <x:v>4</x:v>
      </x:c>
      <x:c r="G135" s="1" t="s">
        <x:v>1042</x:v>
      </x:c>
      <x:c r="H135" s="1">
        <x:v>26</x:v>
      </x:c>
      <x:c r="I135" s="1">
        <x:v>15</x:v>
      </x:c>
      <x:c r="J135" s="1">
        <x:v>0.91</x:v>
      </x:c>
      <x:c r="K135" s="1" t="s">
        <x:v>1119</x:v>
      </x:c>
      <x:c r="L135" s="1">
        <x:v>1.69</x:v>
      </x:c>
      <x:c r="M135" s="1">
        <x:v>1.53</x:v>
      </x:c>
      <x:c r="N135" s="1">
        <x:v>490</x:v>
      </x:c>
      <x:c r="O135" s="1" t="s">
        <x:v>1047</x:v>
      </x:c>
      <x:c r="P135" s="42" t="str">
        <x:v>Lv20~30</x:v>
      </x:c>
      <x:c r="Q135" s="42" t="str">
        <x:v>I</x:v>
      </x:c>
      <x:c r="R135" s="42" t="str">
        <x:v>3~4</x:v>
      </x:c>
      <x:c r="S135" s="42" t="str">
        <x:v>조합 이해로 극복</x:v>
      </x:c>
      <x:c r="T135" s="42" t="n">
        <x:v>13</x:v>
      </x:c>
      <x:c r="U135" s="42" t="n">
        <x:v>338</x:v>
      </x:c>
      <x:c r="V135" s="42" t="n">
        <x:v>189</x:v>
      </x:c>
      <x:c r="W135" s="42" t="n">
        <x:v>19</x:v>
      </x:c>
      <x:c r="X135" s="42" t="n">
        <x:v>57</x:v>
      </x:c>
      <x:c r="Y135" s="42" t="str"/>
    </x:row>
    <x:row r="136">
      <x:c r="A136" s="1">
        <x:v>14</x:v>
      </x:c>
      <x:c r="B136" s="1" t="s">
        <x:v>501</x:v>
      </x:c>
      <x:c r="C136" s="1" t="s">
        <x:v>314</x:v>
      </x:c>
      <x:c r="D136" s="1">
        <x:v>4</x:v>
      </x:c>
      <x:c r="E136" s="1">
        <x:v>2</x:v>
      </x:c>
      <x:c r="F136" s="1">
        <x:v>5</x:v>
      </x:c>
      <x:c r="G136" s="1" t="s">
        <x:v>1048</x:v>
      </x:c>
      <x:c r="H136" s="1">
        <x:v>20</x:v>
      </x:c>
      <x:c r="I136" s="1">
        <x:v>16</x:v>
      </x:c>
      <x:c r="J136" s="1">
        <x:v>0.88</x:v>
      </x:c>
      <x:c r="K136" s="1" t="s">
        <x:v>1120</x:v>
      </x:c>
      <x:c r="L136" s="1">
        <x:v>1.73</x:v>
      </x:c>
      <x:c r="M136" s="1">
        <x:v>1.56</x:v>
      </x:c>
      <x:c r="N136" s="1">
        <x:v>490</x:v>
      </x:c>
      <x:c r="O136" s="1" t="s">
        <x:v>1050</x:v>
      </x:c>
      <x:c r="P136" s="42" t="str">
        <x:v>Lv20~30</x:v>
      </x:c>
      <x:c r="Q136" s="42" t="str">
        <x:v>I</x:v>
      </x:c>
      <x:c r="R136" s="42" t="str">
        <x:v>3~4</x:v>
      </x:c>
      <x:c r="S136" s="42" t="str">
        <x:v>조합 이해로 극복</x:v>
      </x:c>
      <x:c r="T136" s="42" t="n">
        <x:v>13</x:v>
      </x:c>
      <x:c r="U136" s="42" t="n">
        <x:v>462</x:v>
      </x:c>
      <x:c r="V136" s="42" t="n">
        <x:v>315</x:v>
      </x:c>
      <x:c r="W136" s="42" t="n">
        <x:v>32</x:v>
      </x:c>
      <x:c r="X136" s="42" t="n">
        <x:v>94</x:v>
      </x:c>
      <x:c r="Y136" s="42" t="str">
        <x:v>중간보스 현상금 포함</x:v>
      </x:c>
    </x:row>
    <x:row r="137">
      <x:c r="A137" s="1">
        <x:v>14</x:v>
      </x:c>
      <x:c r="B137" s="1" t="s">
        <x:v>501</x:v>
      </x:c>
      <x:c r="C137" s="1" t="s">
        <x:v>314</x:v>
      </x:c>
      <x:c r="D137" s="1">
        <x:v>4</x:v>
      </x:c>
      <x:c r="E137" s="1">
        <x:v>2</x:v>
      </x:c>
      <x:c r="F137" s="1">
        <x:v>6</x:v>
      </x:c>
      <x:c r="G137" s="1" t="s">
        <x:v>1042</x:v>
      </x:c>
      <x:c r="H137" s="1">
        <x:v>30</x:v>
      </x:c>
      <x:c r="I137" s="1">
        <x:v>17</x:v>
      </x:c>
      <x:c r="J137" s="1">
        <x:v>0.84</x:v>
      </x:c>
      <x:c r="K137" s="1" t="s">
        <x:v>1119</x:v>
      </x:c>
      <x:c r="L137" s="1">
        <x:v>1.76</x:v>
      </x:c>
      <x:c r="M137" s="1">
        <x:v>1.58</x:v>
      </x:c>
      <x:c r="N137" s="1">
        <x:v>490</x:v>
      </x:c>
      <x:c r="O137" s="1" t="s">
        <x:v>1052</x:v>
      </x:c>
      <x:c r="P137" s="42" t="str">
        <x:v>Lv20~30</x:v>
      </x:c>
      <x:c r="Q137" s="42" t="str">
        <x:v>I</x:v>
      </x:c>
      <x:c r="R137" s="42" t="str">
        <x:v>3~4</x:v>
      </x:c>
      <x:c r="S137" s="42" t="str">
        <x:v>조합 이해로 극복</x:v>
      </x:c>
      <x:c r="T137" s="42" t="n">
        <x:v>13</x:v>
      </x:c>
      <x:c r="U137" s="42" t="n">
        <x:v>390</x:v>
      </x:c>
      <x:c r="V137" s="42" t="n">
        <x:v>231</x:v>
      </x:c>
      <x:c r="W137" s="42" t="n">
        <x:v>23</x:v>
      </x:c>
      <x:c r="X137" s="42" t="n">
        <x:v>69</x:v>
      </x:c>
      <x:c r="Y137" s="42" t="str"/>
    </x:row>
    <x:row r="138">
      <x:c r="A138" s="1">
        <x:v>14</x:v>
      </x:c>
      <x:c r="B138" s="1" t="s">
        <x:v>501</x:v>
      </x:c>
      <x:c r="C138" s="1" t="s">
        <x:v>314</x:v>
      </x:c>
      <x:c r="D138" s="1">
        <x:v>4</x:v>
      </x:c>
      <x:c r="E138" s="1">
        <x:v>2</x:v>
      </x:c>
      <x:c r="F138" s="1">
        <x:v>7</x:v>
      </x:c>
      <x:c r="G138" s="1" t="s">
        <x:v>1042</x:v>
      </x:c>
      <x:c r="H138" s="1">
        <x:v>32</x:v>
      </x:c>
      <x:c r="I138" s="1">
        <x:v>19</x:v>
      </x:c>
      <x:c r="J138" s="1">
        <x:v>0.81</x:v>
      </x:c>
      <x:c r="K138" s="1" t="s">
        <x:v>1121</x:v>
      </x:c>
      <x:c r="L138" s="1">
        <x:v>1.79</x:v>
      </x:c>
      <x:c r="M138" s="1">
        <x:v>1.6</x:v>
      </x:c>
      <x:c r="N138" s="1">
        <x:v>490</x:v>
      </x:c>
      <x:c r="O138" s="1" t="s">
        <x:v>1052</x:v>
      </x:c>
      <x:c r="P138" s="42" t="str">
        <x:v>Lv20~30</x:v>
      </x:c>
      <x:c r="Q138" s="42" t="str">
        <x:v>I</x:v>
      </x:c>
      <x:c r="R138" s="42" t="str">
        <x:v>3~4</x:v>
      </x:c>
      <x:c r="S138" s="42" t="str">
        <x:v>조합 이해로 극복</x:v>
      </x:c>
      <x:c r="T138" s="42" t="n">
        <x:v>13</x:v>
      </x:c>
      <x:c r="U138" s="42" t="n">
        <x:v>416</x:v>
      </x:c>
      <x:c r="V138" s="42" t="n">
        <x:v>315</x:v>
      </x:c>
      <x:c r="W138" s="42" t="n">
        <x:v>32</x:v>
      </x:c>
      <x:c r="X138" s="42" t="n">
        <x:v>94</x:v>
      </x:c>
      <x:c r="Y138" s="42" t="str"/>
    </x:row>
    <x:row r="139">
      <x:c r="A139" s="1">
        <x:v>14</x:v>
      </x:c>
      <x:c r="B139" s="1" t="s">
        <x:v>501</x:v>
      </x:c>
      <x:c r="C139" s="1" t="s">
        <x:v>314</x:v>
      </x:c>
      <x:c r="D139" s="1">
        <x:v>4</x:v>
      </x:c>
      <x:c r="E139" s="1">
        <x:v>2</x:v>
      </x:c>
      <x:c r="F139" s="1">
        <x:v>8</x:v>
      </x:c>
      <x:c r="G139" s="1" t="s">
        <x:v>1042</x:v>
      </x:c>
      <x:c r="H139" s="1">
        <x:v>34</x:v>
      </x:c>
      <x:c r="I139" s="1">
        <x:v>20</x:v>
      </x:c>
      <x:c r="J139" s="1">
        <x:v>0.77</x:v>
      </x:c>
      <x:c r="K139" s="1" t="s">
        <x:v>1116</x:v>
      </x:c>
      <x:c r="L139" s="1">
        <x:v>1.83</x:v>
      </x:c>
      <x:c r="M139" s="1">
        <x:v>1.63</x:v>
      </x:c>
      <x:c r="N139" s="1">
        <x:v>490</x:v>
      </x:c>
      <x:c r="O139" s="1" t="s">
        <x:v>1052</x:v>
      </x:c>
      <x:c r="P139" s="42" t="str">
        <x:v>Lv20~30</x:v>
      </x:c>
      <x:c r="Q139" s="42" t="str">
        <x:v>I</x:v>
      </x:c>
      <x:c r="R139" s="42" t="str">
        <x:v>3~4</x:v>
      </x:c>
      <x:c r="S139" s="42" t="str">
        <x:v>조합 이해로 극복</x:v>
      </x:c>
      <x:c r="T139" s="42" t="n">
        <x:v>13</x:v>
      </x:c>
      <x:c r="U139" s="42" t="n">
        <x:v>442</x:v>
      </x:c>
      <x:c r="V139" s="42" t="n">
        <x:v>420</x:v>
      </x:c>
      <x:c r="W139" s="42" t="n">
        <x:v>42</x:v>
      </x:c>
      <x:c r="X139" s="42" t="n">
        <x:v>126</x:v>
      </x:c>
      <x:c r="Y139" s="42" t="str"/>
    </x:row>
    <x:row r="140">
      <x:c r="A140" s="1">
        <x:v>14</x:v>
      </x:c>
      <x:c r="B140" s="1" t="s">
        <x:v>501</x:v>
      </x:c>
      <x:c r="C140" s="1" t="s">
        <x:v>314</x:v>
      </x:c>
      <x:c r="D140" s="1">
        <x:v>4</x:v>
      </x:c>
      <x:c r="E140" s="1">
        <x:v>2</x:v>
      </x:c>
      <x:c r="F140" s="1">
        <x:v>9</x:v>
      </x:c>
      <x:c r="G140" s="1" t="s">
        <x:v>1042</x:v>
      </x:c>
      <x:c r="H140" s="1">
        <x:v>36</x:v>
      </x:c>
      <x:c r="I140" s="1">
        <x:v>21</x:v>
      </x:c>
      <x:c r="J140" s="1">
        <x:v>0.74</x:v>
      </x:c>
      <x:c r="K140" s="1" t="s">
        <x:v>1121</x:v>
      </x:c>
      <x:c r="L140" s="1">
        <x:v>1.86</x:v>
      </x:c>
      <x:c r="M140" s="1">
        <x:v>1.66</x:v>
      </x:c>
      <x:c r="N140" s="1">
        <x:v>490</x:v>
      </x:c>
      <x:c r="O140" s="1" t="s">
        <x:v>1056</x:v>
      </x:c>
      <x:c r="P140" s="42" t="str">
        <x:v>Lv20~30</x:v>
      </x:c>
      <x:c r="Q140" s="42" t="str">
        <x:v>I</x:v>
      </x:c>
      <x:c r="R140" s="42" t="str">
        <x:v>3~4</x:v>
      </x:c>
      <x:c r="S140" s="42" t="str">
        <x:v>조합 이해로 극복</x:v>
      </x:c>
      <x:c r="T140" s="42" t="n">
        <x:v>13</x:v>
      </x:c>
      <x:c r="U140" s="42" t="n">
        <x:v>468</x:v>
      </x:c>
      <x:c r="V140" s="42" t="n">
        <x:v>525</x:v>
      </x:c>
      <x:c r="W140" s="42" t="n">
        <x:v>52</x:v>
      </x:c>
      <x:c r="X140" s="42" t="n">
        <x:v>158</x:v>
      </x:c>
      <x:c r="Y140" s="42" t="str"/>
    </x:row>
    <x:row r="141">
      <x:c r="A141" s="1">
        <x:v>14</x:v>
      </x:c>
      <x:c r="B141" s="1" t="s">
        <x:v>501</x:v>
      </x:c>
      <x:c r="C141" s="1" t="s">
        <x:v>314</x:v>
      </x:c>
      <x:c r="D141" s="1">
        <x:v>4</x:v>
      </x:c>
      <x:c r="E141" s="1">
        <x:v>2</x:v>
      </x:c>
      <x:c r="F141" s="1">
        <x:v>10</x:v>
      </x:c>
      <x:c r="G141" s="1" t="s">
        <x:v>1057</x:v>
      </x:c>
      <x:c r="H141" s="1">
        <x:v>28</x:v>
      </x:c>
      <x:c r="I141" s="1">
        <x:v>22</x:v>
      </x:c>
      <x:c r="J141" s="1">
        <x:v>0.7</x:v>
      </x:c>
      <x:c r="K141" s="1" t="s">
        <x:v>1122</x:v>
      </x:c>
      <x:c r="L141" s="1">
        <x:v>1.9</x:v>
      </x:c>
      <x:c r="M141" s="1">
        <x:v>1.68</x:v>
      </x:c>
      <x:c r="N141" s="1">
        <x:v>490</x:v>
      </x:c>
      <x:c r="O141" s="1" t="s">
        <x:v>1059</x:v>
      </x:c>
      <x:c r="P141" s="42" t="str">
        <x:v>Lv20~30</x:v>
      </x:c>
      <x:c r="Q141" s="42" t="str">
        <x:v>I</x:v>
      </x:c>
      <x:c r="R141" s="42" t="str">
        <x:v>3~4</x:v>
      </x:c>
      <x:c r="S141" s="42" t="str">
        <x:v>조합 이해로 극복</x:v>
      </x:c>
      <x:c r="T141" s="42" t="n">
        <x:v>13</x:v>
      </x:c>
      <x:c r="U141" s="42" t="n">
        <x:v>351</x:v>
      </x:c>
      <x:c r="V141" s="42" t="n">
        <x:v>0</x:v>
      </x:c>
      <x:c r="W141" s="42" t="n">
        <x:v>0</x:v>
      </x:c>
      <x:c r="X141" s="42" t="n">
        <x:v>0</x:v>
      </x:c>
      <x:c r="Y141" s="42" t="str">
        <x:v>보스 처치 보상은 로비 보상으로 분리</x:v>
      </x:c>
    </x:row>
    <x:row r="142">
      <x:c r="A142" s="1">
        <x:v>15</x:v>
      </x:c>
      <x:c r="B142" s="1" t="s">
        <x:v>501</x:v>
      </x:c>
      <x:c r="C142" s="1" t="s">
        <x:v>314</x:v>
      </x:c>
      <x:c r="D142" s="1">
        <x:v>5</x:v>
      </x:c>
      <x:c r="E142" s="1">
        <x:v>3</x:v>
      </x:c>
      <x:c r="F142" s="1">
        <x:v>1</x:v>
      </x:c>
      <x:c r="G142" s="1" t="s">
        <x:v>1042</x:v>
      </x:c>
      <x:c r="H142" s="1">
        <x:v>22</x:v>
      </x:c>
      <x:c r="I142" s="1">
        <x:v>13</x:v>
      </x:c>
      <x:c r="J142" s="1">
        <x:v>1.01</x:v>
      </x:c>
      <x:c r="K142" s="1" t="s">
        <x:v>1105</x:v>
      </x:c>
      <x:c r="L142" s="1">
        <x:v>1.63</x:v>
      </x:c>
      <x:c r="M142" s="1">
        <x:v>1.49</x:v>
      </x:c>
      <x:c r="N142" s="1">
        <x:v>553</x:v>
      </x:c>
      <x:c r="O142" s="1" t="s">
        <x:v>1044</x:v>
      </x:c>
      <x:c r="P142" s="42" t="str">
        <x:v>Lv20~30</x:v>
      </x:c>
      <x:c r="Q142" s="42" t="str">
        <x:v>I</x:v>
      </x:c>
      <x:c r="R142" s="42" t="str">
        <x:v>3~4</x:v>
      </x:c>
      <x:c r="S142" s="42" t="str">
        <x:v>조합 이해로 극복</x:v>
      </x:c>
      <x:c r="T142" s="42" t="n">
        <x:v>13</x:v>
      </x:c>
      <x:c r="U142" s="42" t="n">
        <x:v>286</x:v>
      </x:c>
      <x:c r="V142" s="42" t="n">
        <x:v>105</x:v>
      </x:c>
      <x:c r="W142" s="42" t="n">
        <x:v>10</x:v>
      </x:c>
      <x:c r="X142" s="42" t="n">
        <x:v>32</x:v>
      </x:c>
      <x:c r="Y142" s="42" t="str"/>
    </x:row>
    <x:row r="143">
      <x:c r="A143" s="1">
        <x:v>15</x:v>
      </x:c>
      <x:c r="B143" s="1" t="s">
        <x:v>501</x:v>
      </x:c>
      <x:c r="C143" s="1" t="s">
        <x:v>314</x:v>
      </x:c>
      <x:c r="D143" s="1">
        <x:v>5</x:v>
      </x:c>
      <x:c r="E143" s="1">
        <x:v>3</x:v>
      </x:c>
      <x:c r="F143" s="1">
        <x:v>2</x:v>
      </x:c>
      <x:c r="G143" s="1" t="s">
        <x:v>1042</x:v>
      </x:c>
      <x:c r="H143" s="1">
        <x:v>24</x:v>
      </x:c>
      <x:c r="I143" s="1">
        <x:v>14</x:v>
      </x:c>
      <x:c r="J143" s="1">
        <x:v>0.97</x:v>
      </x:c>
      <x:c r="K143" s="1" t="s">
        <x:v>1118</x:v>
      </x:c>
      <x:c r="L143" s="1">
        <x:v>1.66</x:v>
      </x:c>
      <x:c r="M143" s="1">
        <x:v>1.51</x:v>
      </x:c>
      <x:c r="N143" s="1">
        <x:v>553</x:v>
      </x:c>
      <x:c r="O143" s="1" t="s">
        <x:v>1044</x:v>
      </x:c>
      <x:c r="P143" s="42" t="str">
        <x:v>Lv20~30</x:v>
      </x:c>
      <x:c r="Q143" s="42" t="str">
        <x:v>I</x:v>
      </x:c>
      <x:c r="R143" s="42" t="str">
        <x:v>3~4</x:v>
      </x:c>
      <x:c r="S143" s="42" t="str">
        <x:v>조합 이해로 극복</x:v>
      </x:c>
      <x:c r="T143" s="42" t="n">
        <x:v>13</x:v>
      </x:c>
      <x:c r="U143" s="42" t="n">
        <x:v>312</x:v>
      </x:c>
      <x:c r="V143" s="42" t="n">
        <x:v>126</x:v>
      </x:c>
      <x:c r="W143" s="42" t="n">
        <x:v>13</x:v>
      </x:c>
      <x:c r="X143" s="42" t="n">
        <x:v>38</x:v>
      </x:c>
      <x:c r="Y143" s="42" t="str"/>
    </x:row>
    <x:row r="144">
      <x:c r="A144" s="1">
        <x:v>15</x:v>
      </x:c>
      <x:c r="B144" s="1" t="s">
        <x:v>501</x:v>
      </x:c>
      <x:c r="C144" s="1" t="s">
        <x:v>314</x:v>
      </x:c>
      <x:c r="D144" s="1">
        <x:v>5</x:v>
      </x:c>
      <x:c r="E144" s="1">
        <x:v>3</x:v>
      </x:c>
      <x:c r="F144" s="1">
        <x:v>3</x:v>
      </x:c>
      <x:c r="G144" s="1" t="s">
        <x:v>1042</x:v>
      </x:c>
      <x:c r="H144" s="1">
        <x:v>26</x:v>
      </x:c>
      <x:c r="I144" s="1">
        <x:v>15</x:v>
      </x:c>
      <x:c r="J144" s="1">
        <x:v>0.94</x:v>
      </x:c>
      <x:c r="K144" s="1" t="s">
        <x:v>1105</x:v>
      </x:c>
      <x:c r="L144" s="1">
        <x:v>1.7</x:v>
      </x:c>
      <x:c r="M144" s="1">
        <x:v>1.54</x:v>
      </x:c>
      <x:c r="N144" s="1">
        <x:v>553</x:v>
      </x:c>
      <x:c r="O144" s="1" t="s">
        <x:v>1044</x:v>
      </x:c>
      <x:c r="P144" s="42" t="str">
        <x:v>Lv20~30</x:v>
      </x:c>
      <x:c r="Q144" s="42" t="str">
        <x:v>I</x:v>
      </x:c>
      <x:c r="R144" s="42" t="str">
        <x:v>3~4</x:v>
      </x:c>
      <x:c r="S144" s="42" t="str">
        <x:v>조합 이해로 극복</x:v>
      </x:c>
      <x:c r="T144" s="42" t="n">
        <x:v>13</x:v>
      </x:c>
      <x:c r="U144" s="42" t="n">
        <x:v>338</x:v>
      </x:c>
      <x:c r="V144" s="42" t="n">
        <x:v>158</x:v>
      </x:c>
      <x:c r="W144" s="42" t="n">
        <x:v>16</x:v>
      </x:c>
      <x:c r="X144" s="42" t="n">
        <x:v>47</x:v>
      </x:c>
      <x:c r="Y144" s="42" t="str"/>
    </x:row>
    <x:row r="145">
      <x:c r="A145" s="1">
        <x:v>15</x:v>
      </x:c>
      <x:c r="B145" s="1" t="s">
        <x:v>501</x:v>
      </x:c>
      <x:c r="C145" s="1" t="s">
        <x:v>314</x:v>
      </x:c>
      <x:c r="D145" s="1">
        <x:v>5</x:v>
      </x:c>
      <x:c r="E145" s="1">
        <x:v>3</x:v>
      </x:c>
      <x:c r="F145" s="1">
        <x:v>4</x:v>
      </x:c>
      <x:c r="G145" s="1" t="s">
        <x:v>1042</x:v>
      </x:c>
      <x:c r="H145" s="1">
        <x:v>28</x:v>
      </x:c>
      <x:c r="I145" s="1">
        <x:v>16</x:v>
      </x:c>
      <x:c r="J145" s="1">
        <x:v>0.9</x:v>
      </x:c>
      <x:c r="K145" s="1" t="s">
        <x:v>1118</x:v>
      </x:c>
      <x:c r="L145" s="1">
        <x:v>1.73</x:v>
      </x:c>
      <x:c r="M145" s="1">
        <x:v>1.56</x:v>
      </x:c>
      <x:c r="N145" s="1">
        <x:v>553</x:v>
      </x:c>
      <x:c r="O145" s="1" t="s">
        <x:v>1047</x:v>
      </x:c>
      <x:c r="P145" s="42" t="str">
        <x:v>Lv20~30</x:v>
      </x:c>
      <x:c r="Q145" s="42" t="str">
        <x:v>I</x:v>
      </x:c>
      <x:c r="R145" s="42" t="str">
        <x:v>3~4</x:v>
      </x:c>
      <x:c r="S145" s="42" t="str">
        <x:v>조합 이해로 극복</x:v>
      </x:c>
      <x:c r="T145" s="42" t="n">
        <x:v>13</x:v>
      </x:c>
      <x:c r="U145" s="42" t="n">
        <x:v>364</x:v>
      </x:c>
      <x:c r="V145" s="42" t="n">
        <x:v>189</x:v>
      </x:c>
      <x:c r="W145" s="42" t="n">
        <x:v>19</x:v>
      </x:c>
      <x:c r="X145" s="42" t="n">
        <x:v>57</x:v>
      </x:c>
      <x:c r="Y145" s="42" t="str"/>
    </x:row>
    <x:row r="146">
      <x:c r="A146" s="1">
        <x:v>15</x:v>
      </x:c>
      <x:c r="B146" s="1" t="s">
        <x:v>501</x:v>
      </x:c>
      <x:c r="C146" s="1" t="s">
        <x:v>314</x:v>
      </x:c>
      <x:c r="D146" s="1">
        <x:v>5</x:v>
      </x:c>
      <x:c r="E146" s="1">
        <x:v>3</x:v>
      </x:c>
      <x:c r="F146" s="1">
        <x:v>5</x:v>
      </x:c>
      <x:c r="G146" s="1" t="s">
        <x:v>1048</x:v>
      </x:c>
      <x:c r="H146" s="1">
        <x:v>22</x:v>
      </x:c>
      <x:c r="I146" s="1">
        <x:v>17</x:v>
      </x:c>
      <x:c r="J146" s="1">
        <x:v>0.86</x:v>
      </x:c>
      <x:c r="K146" s="1" t="s">
        <x:v>1123</x:v>
      </x:c>
      <x:c r="L146" s="1">
        <x:v>1.77</x:v>
      </x:c>
      <x:c r="M146" s="1">
        <x:v>1.59</x:v>
      </x:c>
      <x:c r="N146" s="1">
        <x:v>553</x:v>
      </x:c>
      <x:c r="O146" s="1" t="s">
        <x:v>1050</x:v>
      </x:c>
      <x:c r="P146" s="42" t="str">
        <x:v>Lv20~30</x:v>
      </x:c>
      <x:c r="Q146" s="42" t="str">
        <x:v>I</x:v>
      </x:c>
      <x:c r="R146" s="42" t="str">
        <x:v>3~4</x:v>
      </x:c>
      <x:c r="S146" s="42" t="str">
        <x:v>조합 이해로 극복</x:v>
      </x:c>
      <x:c r="T146" s="42" t="n">
        <x:v>13</x:v>
      </x:c>
      <x:c r="U146" s="42" t="n">
        <x:v>491</x:v>
      </x:c>
      <x:c r="V146" s="42" t="n">
        <x:v>315</x:v>
      </x:c>
      <x:c r="W146" s="42" t="n">
        <x:v>32</x:v>
      </x:c>
      <x:c r="X146" s="42" t="n">
        <x:v>94</x:v>
      </x:c>
      <x:c r="Y146" s="42" t="str">
        <x:v>중간보스 현상금 포함</x:v>
      </x:c>
    </x:row>
    <x:row r="147">
      <x:c r="A147" s="1">
        <x:v>15</x:v>
      </x:c>
      <x:c r="B147" s="1" t="s">
        <x:v>501</x:v>
      </x:c>
      <x:c r="C147" s="1" t="s">
        <x:v>314</x:v>
      </x:c>
      <x:c r="D147" s="1">
        <x:v>5</x:v>
      </x:c>
      <x:c r="E147" s="1">
        <x:v>3</x:v>
      </x:c>
      <x:c r="F147" s="1">
        <x:v>6</x:v>
      </x:c>
      <x:c r="G147" s="1" t="s">
        <x:v>1042</x:v>
      </x:c>
      <x:c r="H147" s="1">
        <x:v>32</x:v>
      </x:c>
      <x:c r="I147" s="1">
        <x:v>19</x:v>
      </x:c>
      <x:c r="J147" s="1">
        <x:v>0.83</x:v>
      </x:c>
      <x:c r="K147" s="1" t="s">
        <x:v>1118</x:v>
      </x:c>
      <x:c r="L147" s="1">
        <x:v>1.8</x:v>
      </x:c>
      <x:c r="M147" s="1">
        <x:v>1.61</x:v>
      </x:c>
      <x:c r="N147" s="1">
        <x:v>553</x:v>
      </x:c>
      <x:c r="O147" s="1" t="s">
        <x:v>1052</x:v>
      </x:c>
      <x:c r="P147" s="42" t="str">
        <x:v>Lv20~30</x:v>
      </x:c>
      <x:c r="Q147" s="42" t="str">
        <x:v>I</x:v>
      </x:c>
      <x:c r="R147" s="42" t="str">
        <x:v>3~4</x:v>
      </x:c>
      <x:c r="S147" s="42" t="str">
        <x:v>조합 이해로 극복</x:v>
      </x:c>
      <x:c r="T147" s="42" t="n">
        <x:v>13</x:v>
      </x:c>
      <x:c r="U147" s="42" t="n">
        <x:v>416</x:v>
      </x:c>
      <x:c r="V147" s="42" t="n">
        <x:v>231</x:v>
      </x:c>
      <x:c r="W147" s="42" t="n">
        <x:v>23</x:v>
      </x:c>
      <x:c r="X147" s="42" t="n">
        <x:v>69</x:v>
      </x:c>
      <x:c r="Y147" s="42" t="str"/>
    </x:row>
    <x:row r="148">
      <x:c r="A148" s="1">
        <x:v>15</x:v>
      </x:c>
      <x:c r="B148" s="1" t="s">
        <x:v>501</x:v>
      </x:c>
      <x:c r="C148" s="1" t="s">
        <x:v>314</x:v>
      </x:c>
      <x:c r="D148" s="1">
        <x:v>5</x:v>
      </x:c>
      <x:c r="E148" s="1">
        <x:v>3</x:v>
      </x:c>
      <x:c r="F148" s="1">
        <x:v>7</x:v>
      </x:c>
      <x:c r="G148" s="1" t="s">
        <x:v>1042</x:v>
      </x:c>
      <x:c r="H148" s="1">
        <x:v>34</x:v>
      </x:c>
      <x:c r="I148" s="1">
        <x:v>20</x:v>
      </x:c>
      <x:c r="J148" s="1">
        <x:v>0.8</x:v>
      </x:c>
      <x:c r="K148" s="1" t="s">
        <x:v>1119</x:v>
      </x:c>
      <x:c r="L148" s="1">
        <x:v>1.84</x:v>
      </x:c>
      <x:c r="M148" s="1">
        <x:v>1.64</x:v>
      </x:c>
      <x:c r="N148" s="1">
        <x:v>553</x:v>
      </x:c>
      <x:c r="O148" s="1" t="s">
        <x:v>1052</x:v>
      </x:c>
      <x:c r="P148" s="42" t="str">
        <x:v>Lv20~30</x:v>
      </x:c>
      <x:c r="Q148" s="42" t="str">
        <x:v>I</x:v>
      </x:c>
      <x:c r="R148" s="42" t="str">
        <x:v>3~4</x:v>
      </x:c>
      <x:c r="S148" s="42" t="str">
        <x:v>조합 이해로 극복</x:v>
      </x:c>
      <x:c r="T148" s="42" t="n">
        <x:v>13</x:v>
      </x:c>
      <x:c r="U148" s="42" t="n">
        <x:v>442</x:v>
      </x:c>
      <x:c r="V148" s="42" t="n">
        <x:v>315</x:v>
      </x:c>
      <x:c r="W148" s="42" t="n">
        <x:v>32</x:v>
      </x:c>
      <x:c r="X148" s="42" t="n">
        <x:v>94</x:v>
      </x:c>
      <x:c r="Y148" s="42" t="str"/>
    </x:row>
    <x:row r="149">
      <x:c r="A149" s="1">
        <x:v>15</x:v>
      </x:c>
      <x:c r="B149" s="1" t="s">
        <x:v>501</x:v>
      </x:c>
      <x:c r="C149" s="1" t="s">
        <x:v>314</x:v>
      </x:c>
      <x:c r="D149" s="1">
        <x:v>5</x:v>
      </x:c>
      <x:c r="E149" s="1">
        <x:v>3</x:v>
      </x:c>
      <x:c r="F149" s="1">
        <x:v>8</x:v>
      </x:c>
      <x:c r="G149" s="1" t="s">
        <x:v>1042</x:v>
      </x:c>
      <x:c r="H149" s="1">
        <x:v>36</x:v>
      </x:c>
      <x:c r="I149" s="1">
        <x:v>21</x:v>
      </x:c>
      <x:c r="J149" s="1">
        <x:v>0.76</x:v>
      </x:c>
      <x:c r="K149" s="1" t="s">
        <x:v>1121</x:v>
      </x:c>
      <x:c r="L149" s="1">
        <x:v>1.88</x:v>
      </x:c>
      <x:c r="M149" s="1">
        <x:v>1.67</x:v>
      </x:c>
      <x:c r="N149" s="1">
        <x:v>553</x:v>
      </x:c>
      <x:c r="O149" s="1" t="s">
        <x:v>1052</x:v>
      </x:c>
      <x:c r="P149" s="42" t="str">
        <x:v>Lv20~30</x:v>
      </x:c>
      <x:c r="Q149" s="42" t="str">
        <x:v>I</x:v>
      </x:c>
      <x:c r="R149" s="42" t="str">
        <x:v>3~4</x:v>
      </x:c>
      <x:c r="S149" s="42" t="str">
        <x:v>조합 이해로 극복</x:v>
      </x:c>
      <x:c r="T149" s="42" t="n">
        <x:v>13</x:v>
      </x:c>
      <x:c r="U149" s="42" t="n">
        <x:v>468</x:v>
      </x:c>
      <x:c r="V149" s="42" t="n">
        <x:v>420</x:v>
      </x:c>
      <x:c r="W149" s="42" t="n">
        <x:v>42</x:v>
      </x:c>
      <x:c r="X149" s="42" t="n">
        <x:v>126</x:v>
      </x:c>
      <x:c r="Y149" s="42" t="str"/>
    </x:row>
    <x:row r="150">
      <x:c r="A150" s="1">
        <x:v>15</x:v>
      </x:c>
      <x:c r="B150" s="1" t="s">
        <x:v>501</x:v>
      </x:c>
      <x:c r="C150" s="1" t="s">
        <x:v>314</x:v>
      </x:c>
      <x:c r="D150" s="1">
        <x:v>5</x:v>
      </x:c>
      <x:c r="E150" s="1">
        <x:v>3</x:v>
      </x:c>
      <x:c r="F150" s="1">
        <x:v>9</x:v>
      </x:c>
      <x:c r="G150" s="1" t="s">
        <x:v>1042</x:v>
      </x:c>
      <x:c r="H150" s="1">
        <x:v>38</x:v>
      </x:c>
      <x:c r="I150" s="1">
        <x:v>22</x:v>
      </x:c>
      <x:c r="J150" s="1">
        <x:v>0.72</x:v>
      </x:c>
      <x:c r="K150" s="1" t="s">
        <x:v>1119</x:v>
      </x:c>
      <x:c r="L150" s="1">
        <x:v>1.91</x:v>
      </x:c>
      <x:c r="M150" s="1">
        <x:v>1.69</x:v>
      </x:c>
      <x:c r="N150" s="1">
        <x:v>553</x:v>
      </x:c>
      <x:c r="O150" s="1" t="s">
        <x:v>1056</x:v>
      </x:c>
      <x:c r="P150" s="42" t="str">
        <x:v>Lv20~30</x:v>
      </x:c>
      <x:c r="Q150" s="42" t="str">
        <x:v>I</x:v>
      </x:c>
      <x:c r="R150" s="42" t="str">
        <x:v>3~4</x:v>
      </x:c>
      <x:c r="S150" s="42" t="str">
        <x:v>조합 이해로 극복</x:v>
      </x:c>
      <x:c r="T150" s="42" t="n">
        <x:v>13</x:v>
      </x:c>
      <x:c r="U150" s="42" t="n">
        <x:v>494</x:v>
      </x:c>
      <x:c r="V150" s="42" t="n">
        <x:v>525</x:v>
      </x:c>
      <x:c r="W150" s="42" t="n">
        <x:v>52</x:v>
      </x:c>
      <x:c r="X150" s="42" t="n">
        <x:v>158</x:v>
      </x:c>
      <x:c r="Y150" s="42" t="str"/>
    </x:row>
    <x:row r="151">
      <x:c r="A151" s="1">
        <x:v>15</x:v>
      </x:c>
      <x:c r="B151" s="1" t="s">
        <x:v>501</x:v>
      </x:c>
      <x:c r="C151" s="1" t="s">
        <x:v>314</x:v>
      </x:c>
      <x:c r="D151" s="1">
        <x:v>5</x:v>
      </x:c>
      <x:c r="E151" s="1">
        <x:v>3</x:v>
      </x:c>
      <x:c r="F151" s="1">
        <x:v>10</x:v>
      </x:c>
      <x:c r="G151" s="1" t="s">
        <x:v>1057</x:v>
      </x:c>
      <x:c r="H151" s="1">
        <x:v>30</x:v>
      </x:c>
      <x:c r="I151" s="1">
        <x:v>23</x:v>
      </x:c>
      <x:c r="J151" s="1">
        <x:v>0.69</x:v>
      </x:c>
      <x:c r="K151" s="1" t="s">
        <x:v>1124</x:v>
      </x:c>
      <x:c r="L151" s="1">
        <x:v>1.94</x:v>
      </x:c>
      <x:c r="M151" s="1">
        <x:v>1.72</x:v>
      </x:c>
      <x:c r="N151" s="1">
        <x:v>553</x:v>
      </x:c>
      <x:c r="O151" s="1" t="s">
        <x:v>1059</x:v>
      </x:c>
      <x:c r="P151" s="42" t="str">
        <x:v>Lv20~30</x:v>
      </x:c>
      <x:c r="Q151" s="42" t="str">
        <x:v>I</x:v>
      </x:c>
      <x:c r="R151" s="42" t="str">
        <x:v>3~4</x:v>
      </x:c>
      <x:c r="S151" s="42" t="str">
        <x:v>조합 이해로 극복</x:v>
      </x:c>
      <x:c r="T151" s="42" t="n">
        <x:v>13</x:v>
      </x:c>
      <x:c r="U151" s="42" t="n">
        <x:v>377</x:v>
      </x:c>
      <x:c r="V151" s="42" t="n">
        <x:v>0</x:v>
      </x:c>
      <x:c r="W151" s="42" t="n">
        <x:v>0</x:v>
      </x:c>
      <x:c r="X151" s="42" t="n">
        <x:v>0</x:v>
      </x:c>
      <x:c r="Y151" s="42" t="str">
        <x:v>보스 처치 보상은 로비 보상으로 분리</x:v>
      </x:c>
    </x:row>
    <x:row r="152">
      <x:c r="A152" s="1">
        <x:v>16</x:v>
      </x:c>
      <x:c r="B152" s="1" t="s">
        <x:v>501</x:v>
      </x:c>
      <x:c r="C152" s="1" t="s">
        <x:v>361</x:v>
      </x:c>
      <x:c r="D152" s="1">
        <x:v>1</x:v>
      </x:c>
      <x:c r="E152" s="1">
        <x:v>1</x:v>
      </x:c>
      <x:c r="F152" s="1">
        <x:v>1</x:v>
      </x:c>
      <x:c r="G152" s="1" t="s">
        <x:v>1042</x:v>
      </x:c>
      <x:c r="H152" s="1">
        <x:v>19</x:v>
      </x:c>
      <x:c r="I152" s="1">
        <x:v>11</x:v>
      </x:c>
      <x:c r="J152" s="1">
        <x:v>0.99</x:v>
      </x:c>
      <x:c r="K152" s="1" t="s">
        <x:v>1125</x:v>
      </x:c>
      <x:c r="L152" s="1">
        <x:v>1.67</x:v>
      </x:c>
      <x:c r="M152" s="1">
        <x:v>1.52</x:v>
      </x:c>
      <x:c r="N152" s="1">
        <x:v>625</x:v>
      </x:c>
      <x:c r="O152" s="1" t="s">
        <x:v>1044</x:v>
      </x:c>
      <x:c r="P152" s="42" t="str">
        <x:v>Lv30~40</x:v>
      </x:c>
      <x:c r="Q152" s="42" t="str">
        <x:v>I</x:v>
      </x:c>
      <x:c r="R152" s="42" t="str">
        <x:v>4</x:v>
      </x:c>
      <x:c r="S152" s="42" t="str">
        <x:v>꾸준한 육성 권장</x:v>
      </x:c>
      <x:c r="T152" s="42" t="n">
        <x:v>13</x:v>
      </x:c>
      <x:c r="U152" s="42" t="n">
        <x:v>247</x:v>
      </x:c>
      <x:c r="V152" s="42" t="n">
        <x:v>105</x:v>
      </x:c>
      <x:c r="W152" s="42" t="n">
        <x:v>10</x:v>
      </x:c>
      <x:c r="X152" s="42" t="n">
        <x:v>32</x:v>
      </x:c>
      <x:c r="Y152" s="42" t="str"/>
    </x:row>
    <x:row r="153">
      <x:c r="A153" s="1">
        <x:v>16</x:v>
      </x:c>
      <x:c r="B153" s="1" t="s">
        <x:v>501</x:v>
      </x:c>
      <x:c r="C153" s="1" t="s">
        <x:v>361</x:v>
      </x:c>
      <x:c r="D153" s="1">
        <x:v>1</x:v>
      </x:c>
      <x:c r="E153" s="1">
        <x:v>1</x:v>
      </x:c>
      <x:c r="F153" s="1">
        <x:v>2</x:v>
      </x:c>
      <x:c r="G153" s="1" t="s">
        <x:v>1042</x:v>
      </x:c>
      <x:c r="H153" s="1">
        <x:v>21</x:v>
      </x:c>
      <x:c r="I153" s="1">
        <x:v>12</x:v>
      </x:c>
      <x:c r="J153" s="1">
        <x:v>0.96</x:v>
      </x:c>
      <x:c r="K153" s="1" t="s">
        <x:v>1126</x:v>
      </x:c>
      <x:c r="L153" s="1">
        <x:v>1.71</x:v>
      </x:c>
      <x:c r="M153" s="1">
        <x:v>1.55</x:v>
      </x:c>
      <x:c r="N153" s="1">
        <x:v>625</x:v>
      </x:c>
      <x:c r="O153" s="1" t="s">
        <x:v>1044</x:v>
      </x:c>
      <x:c r="P153" s="42" t="str">
        <x:v>Lv30~40</x:v>
      </x:c>
      <x:c r="Q153" s="42" t="str">
        <x:v>I</x:v>
      </x:c>
      <x:c r="R153" s="42" t="str">
        <x:v>4</x:v>
      </x:c>
      <x:c r="S153" s="42" t="str">
        <x:v>꾸준한 육성 권장</x:v>
      </x:c>
      <x:c r="T153" s="42" t="n">
        <x:v>13</x:v>
      </x:c>
      <x:c r="U153" s="42" t="n">
        <x:v>273</x:v>
      </x:c>
      <x:c r="V153" s="42" t="n">
        <x:v>126</x:v>
      </x:c>
      <x:c r="W153" s="42" t="n">
        <x:v>13</x:v>
      </x:c>
      <x:c r="X153" s="42" t="n">
        <x:v>38</x:v>
      </x:c>
      <x:c r="Y153" s="42" t="str"/>
    </x:row>
    <x:row r="154">
      <x:c r="A154" s="1">
        <x:v>16</x:v>
      </x:c>
      <x:c r="B154" s="1" t="s">
        <x:v>501</x:v>
      </x:c>
      <x:c r="C154" s="1" t="s">
        <x:v>361</x:v>
      </x:c>
      <x:c r="D154" s="1">
        <x:v>1</x:v>
      </x:c>
      <x:c r="E154" s="1">
        <x:v>1</x:v>
      </x:c>
      <x:c r="F154" s="1">
        <x:v>3</x:v>
      </x:c>
      <x:c r="G154" s="1" t="s">
        <x:v>1042</x:v>
      </x:c>
      <x:c r="H154" s="1">
        <x:v>23</x:v>
      </x:c>
      <x:c r="I154" s="1">
        <x:v>13</x:v>
      </x:c>
      <x:c r="J154" s="1">
        <x:v>0.92</x:v>
      </x:c>
      <x:c r="K154" s="1" t="s">
        <x:v>1127</x:v>
      </x:c>
      <x:c r="L154" s="1">
        <x:v>1.74</x:v>
      </x:c>
      <x:c r="M154" s="1">
        <x:v>1.57</x:v>
      </x:c>
      <x:c r="N154" s="1">
        <x:v>625</x:v>
      </x:c>
      <x:c r="O154" s="1" t="s">
        <x:v>1044</x:v>
      </x:c>
      <x:c r="P154" s="42" t="str">
        <x:v>Lv30~40</x:v>
      </x:c>
      <x:c r="Q154" s="42" t="str">
        <x:v>I</x:v>
      </x:c>
      <x:c r="R154" s="42" t="str">
        <x:v>4</x:v>
      </x:c>
      <x:c r="S154" s="42" t="str">
        <x:v>꾸준한 육성 권장</x:v>
      </x:c>
      <x:c r="T154" s="42" t="n">
        <x:v>13</x:v>
      </x:c>
      <x:c r="U154" s="42" t="n">
        <x:v>299</x:v>
      </x:c>
      <x:c r="V154" s="42" t="n">
        <x:v>158</x:v>
      </x:c>
      <x:c r="W154" s="42" t="n">
        <x:v>16</x:v>
      </x:c>
      <x:c r="X154" s="42" t="n">
        <x:v>47</x:v>
      </x:c>
      <x:c r="Y154" s="42" t="str"/>
    </x:row>
    <x:row r="155">
      <x:c r="A155" s="1">
        <x:v>16</x:v>
      </x:c>
      <x:c r="B155" s="1" t="s">
        <x:v>501</x:v>
      </x:c>
      <x:c r="C155" s="1" t="s">
        <x:v>361</x:v>
      </x:c>
      <x:c r="D155" s="1">
        <x:v>1</x:v>
      </x:c>
      <x:c r="E155" s="1">
        <x:v>1</x:v>
      </x:c>
      <x:c r="F155" s="1">
        <x:v>4</x:v>
      </x:c>
      <x:c r="G155" s="1" t="s">
        <x:v>1042</x:v>
      </x:c>
      <x:c r="H155" s="1">
        <x:v>25</x:v>
      </x:c>
      <x:c r="I155" s="1">
        <x:v>14</x:v>
      </x:c>
      <x:c r="J155" s="1">
        <x:v>0.89</x:v>
      </x:c>
      <x:c r="K155" s="1" t="s">
        <x:v>1126</x:v>
      </x:c>
      <x:c r="L155" s="1">
        <x:v>1.78</x:v>
      </x:c>
      <x:c r="M155" s="1">
        <x:v>1.6</x:v>
      </x:c>
      <x:c r="N155" s="1">
        <x:v>625</x:v>
      </x:c>
      <x:c r="O155" s="1" t="s">
        <x:v>1047</x:v>
      </x:c>
      <x:c r="P155" s="42" t="str">
        <x:v>Lv30~40</x:v>
      </x:c>
      <x:c r="Q155" s="42" t="str">
        <x:v>I</x:v>
      </x:c>
      <x:c r="R155" s="42" t="str">
        <x:v>4</x:v>
      </x:c>
      <x:c r="S155" s="42" t="str">
        <x:v>꾸준한 육성 권장</x:v>
      </x:c>
      <x:c r="T155" s="42" t="n">
        <x:v>13</x:v>
      </x:c>
      <x:c r="U155" s="42" t="n">
        <x:v>325</x:v>
      </x:c>
      <x:c r="V155" s="42" t="n">
        <x:v>189</x:v>
      </x:c>
      <x:c r="W155" s="42" t="n">
        <x:v>19</x:v>
      </x:c>
      <x:c r="X155" s="42" t="n">
        <x:v>57</x:v>
      </x:c>
      <x:c r="Y155" s="42" t="str"/>
    </x:row>
    <x:row r="156">
      <x:c r="A156" s="1">
        <x:v>16</x:v>
      </x:c>
      <x:c r="B156" s="1" t="s">
        <x:v>501</x:v>
      </x:c>
      <x:c r="C156" s="1" t="s">
        <x:v>361</x:v>
      </x:c>
      <x:c r="D156" s="1">
        <x:v>1</x:v>
      </x:c>
      <x:c r="E156" s="1">
        <x:v>1</x:v>
      </x:c>
      <x:c r="F156" s="1">
        <x:v>5</x:v>
      </x:c>
      <x:c r="G156" s="1" t="s">
        <x:v>1048</x:v>
      </x:c>
      <x:c r="H156" s="1">
        <x:v>19</x:v>
      </x:c>
      <x:c r="I156" s="1">
        <x:v>16</x:v>
      </x:c>
      <x:c r="J156" s="1">
        <x:v>0.85</x:v>
      </x:c>
      <x:c r="K156" s="1" t="s">
        <x:v>1128</x:v>
      </x:c>
      <x:c r="L156" s="1">
        <x:v>1.81</x:v>
      </x:c>
      <x:c r="M156" s="1">
        <x:v>1.62</x:v>
      </x:c>
      <x:c r="N156" s="1">
        <x:v>625</x:v>
      </x:c>
      <x:c r="O156" s="1" t="s">
        <x:v>1050</x:v>
      </x:c>
      <x:c r="P156" s="42" t="str">
        <x:v>Lv30~40</x:v>
      </x:c>
      <x:c r="Q156" s="42" t="str">
        <x:v>I</x:v>
      </x:c>
      <x:c r="R156" s="42" t="str">
        <x:v>4</x:v>
      </x:c>
      <x:c r="S156" s="42" t="str">
        <x:v>꾸준한 육성 권장</x:v>
      </x:c>
      <x:c r="T156" s="42" t="n">
        <x:v>13</x:v>
      </x:c>
      <x:c r="U156" s="42" t="n">
        <x:v>455</x:v>
      </x:c>
      <x:c r="V156" s="42" t="n">
        <x:v>315</x:v>
      </x:c>
      <x:c r="W156" s="42" t="n">
        <x:v>32</x:v>
      </x:c>
      <x:c r="X156" s="42" t="n">
        <x:v>94</x:v>
      </x:c>
      <x:c r="Y156" s="42" t="str">
        <x:v>중간보스 현상금 포함</x:v>
      </x:c>
    </x:row>
    <x:row r="157">
      <x:c r="A157" s="1">
        <x:v>16</x:v>
      </x:c>
      <x:c r="B157" s="1" t="s">
        <x:v>501</x:v>
      </x:c>
      <x:c r="C157" s="1" t="s">
        <x:v>361</x:v>
      </x:c>
      <x:c r="D157" s="1">
        <x:v>1</x:v>
      </x:c>
      <x:c r="E157" s="1">
        <x:v>1</x:v>
      </x:c>
      <x:c r="F157" s="1">
        <x:v>6</x:v>
      </x:c>
      <x:c r="G157" s="1" t="s">
        <x:v>1042</x:v>
      </x:c>
      <x:c r="H157" s="1">
        <x:v>29</x:v>
      </x:c>
      <x:c r="I157" s="1">
        <x:v>17</x:v>
      </x:c>
      <x:c r="J157" s="1">
        <x:v>0.82</x:v>
      </x:c>
      <x:c r="K157" s="1" t="s">
        <x:v>1129</x:v>
      </x:c>
      <x:c r="L157" s="1">
        <x:v>1.85</x:v>
      </x:c>
      <x:c r="M157" s="1">
        <x:v>1.65</x:v>
      </x:c>
      <x:c r="N157" s="1">
        <x:v>625</x:v>
      </x:c>
      <x:c r="O157" s="1" t="s">
        <x:v>1052</x:v>
      </x:c>
      <x:c r="P157" s="42" t="str">
        <x:v>Lv30~40</x:v>
      </x:c>
      <x:c r="Q157" s="42" t="str">
        <x:v>I</x:v>
      </x:c>
      <x:c r="R157" s="42" t="str">
        <x:v>4</x:v>
      </x:c>
      <x:c r="S157" s="42" t="str">
        <x:v>꾸준한 육성 권장</x:v>
      </x:c>
      <x:c r="T157" s="42" t="n">
        <x:v>13</x:v>
      </x:c>
      <x:c r="U157" s="42" t="n">
        <x:v>377</x:v>
      </x:c>
      <x:c r="V157" s="42" t="n">
        <x:v>231</x:v>
      </x:c>
      <x:c r="W157" s="42" t="n">
        <x:v>23</x:v>
      </x:c>
      <x:c r="X157" s="42" t="n">
        <x:v>69</x:v>
      </x:c>
      <x:c r="Y157" s="42" t="str"/>
    </x:row>
    <x:row r="158">
      <x:c r="A158" s="1">
        <x:v>16</x:v>
      </x:c>
      <x:c r="B158" s="1" t="s">
        <x:v>501</x:v>
      </x:c>
      <x:c r="C158" s="1" t="s">
        <x:v>361</x:v>
      </x:c>
      <x:c r="D158" s="1">
        <x:v>1</x:v>
      </x:c>
      <x:c r="E158" s="1">
        <x:v>1</x:v>
      </x:c>
      <x:c r="F158" s="1">
        <x:v>7</x:v>
      </x:c>
      <x:c r="G158" s="1" t="s">
        <x:v>1042</x:v>
      </x:c>
      <x:c r="H158" s="1">
        <x:v>31</x:v>
      </x:c>
      <x:c r="I158" s="1">
        <x:v>18</x:v>
      </x:c>
      <x:c r="J158" s="1">
        <x:v>0.78</x:v>
      </x:c>
      <x:c r="K158" s="1" t="s">
        <x:v>1130</x:v>
      </x:c>
      <x:c r="L158" s="1">
        <x:v>1.88</x:v>
      </x:c>
      <x:c r="M158" s="1">
        <x:v>1.67</x:v>
      </x:c>
      <x:c r="N158" s="1">
        <x:v>625</x:v>
      </x:c>
      <x:c r="O158" s="1" t="s">
        <x:v>1052</x:v>
      </x:c>
      <x:c r="P158" s="42" t="str">
        <x:v>Lv30~40</x:v>
      </x:c>
      <x:c r="Q158" s="42" t="str">
        <x:v>I</x:v>
      </x:c>
      <x:c r="R158" s="42" t="str">
        <x:v>4</x:v>
      </x:c>
      <x:c r="S158" s="42" t="str">
        <x:v>꾸준한 육성 권장</x:v>
      </x:c>
      <x:c r="T158" s="42" t="n">
        <x:v>13</x:v>
      </x:c>
      <x:c r="U158" s="42" t="n">
        <x:v>403</x:v>
      </x:c>
      <x:c r="V158" s="42" t="n">
        <x:v>315</x:v>
      </x:c>
      <x:c r="W158" s="42" t="n">
        <x:v>32</x:v>
      </x:c>
      <x:c r="X158" s="42" t="n">
        <x:v>94</x:v>
      </x:c>
      <x:c r="Y158" s="42" t="str"/>
    </x:row>
    <x:row r="159">
      <x:c r="A159" s="1">
        <x:v>16</x:v>
      </x:c>
      <x:c r="B159" s="1" t="s">
        <x:v>501</x:v>
      </x:c>
      <x:c r="C159" s="1" t="s">
        <x:v>361</x:v>
      </x:c>
      <x:c r="D159" s="1">
        <x:v>1</x:v>
      </x:c>
      <x:c r="E159" s="1">
        <x:v>1</x:v>
      </x:c>
      <x:c r="F159" s="1">
        <x:v>8</x:v>
      </x:c>
      <x:c r="G159" s="1" t="s">
        <x:v>1042</x:v>
      </x:c>
      <x:c r="H159" s="1">
        <x:v>33</x:v>
      </x:c>
      <x:c r="I159" s="1">
        <x:v>19</x:v>
      </x:c>
      <x:c r="J159" s="1">
        <x:v>0.75</x:v>
      </x:c>
      <x:c r="K159" s="1" t="s">
        <x:v>1131</x:v>
      </x:c>
      <x:c r="L159" s="1">
        <x:v>1.92</x:v>
      </x:c>
      <x:c r="M159" s="1">
        <x:v>1.7</x:v>
      </x:c>
      <x:c r="N159" s="1">
        <x:v>625</x:v>
      </x:c>
      <x:c r="O159" s="1" t="s">
        <x:v>1052</x:v>
      </x:c>
      <x:c r="P159" s="42" t="str">
        <x:v>Lv30~40</x:v>
      </x:c>
      <x:c r="Q159" s="42" t="str">
        <x:v>I</x:v>
      </x:c>
      <x:c r="R159" s="42" t="str">
        <x:v>4</x:v>
      </x:c>
      <x:c r="S159" s="42" t="str">
        <x:v>꾸준한 육성 권장</x:v>
      </x:c>
      <x:c r="T159" s="42" t="n">
        <x:v>13</x:v>
      </x:c>
      <x:c r="U159" s="42" t="n">
        <x:v>429</x:v>
      </x:c>
      <x:c r="V159" s="42" t="n">
        <x:v>420</x:v>
      </x:c>
      <x:c r="W159" s="42" t="n">
        <x:v>42</x:v>
      </x:c>
      <x:c r="X159" s="42" t="n">
        <x:v>126</x:v>
      </x:c>
      <x:c r="Y159" s="42" t="str"/>
    </x:row>
    <x:row r="160">
      <x:c r="A160" s="1">
        <x:v>16</x:v>
      </x:c>
      <x:c r="B160" s="1" t="s">
        <x:v>501</x:v>
      </x:c>
      <x:c r="C160" s="1" t="s">
        <x:v>361</x:v>
      </x:c>
      <x:c r="D160" s="1">
        <x:v>1</x:v>
      </x:c>
      <x:c r="E160" s="1">
        <x:v>1</x:v>
      </x:c>
      <x:c r="F160" s="1">
        <x:v>9</x:v>
      </x:c>
      <x:c r="G160" s="1" t="s">
        <x:v>1042</x:v>
      </x:c>
      <x:c r="H160" s="1">
        <x:v>35</x:v>
      </x:c>
      <x:c r="I160" s="1">
        <x:v>20</x:v>
      </x:c>
      <x:c r="J160" s="1">
        <x:v>0.71</x:v>
      </x:c>
      <x:c r="K160" s="1" t="s">
        <x:v>1132</x:v>
      </x:c>
      <x:c r="L160" s="1">
        <x:v>1.95</x:v>
      </x:c>
      <x:c r="M160" s="1">
        <x:v>1.72</x:v>
      </x:c>
      <x:c r="N160" s="1">
        <x:v>625</x:v>
      </x:c>
      <x:c r="O160" s="1" t="s">
        <x:v>1056</x:v>
      </x:c>
      <x:c r="P160" s="42" t="str">
        <x:v>Lv30~40</x:v>
      </x:c>
      <x:c r="Q160" s="42" t="str">
        <x:v>I</x:v>
      </x:c>
      <x:c r="R160" s="42" t="str">
        <x:v>4</x:v>
      </x:c>
      <x:c r="S160" s="42" t="str">
        <x:v>꾸준한 육성 권장</x:v>
      </x:c>
      <x:c r="T160" s="42" t="n">
        <x:v>13</x:v>
      </x:c>
      <x:c r="U160" s="42" t="n">
        <x:v>455</x:v>
      </x:c>
      <x:c r="V160" s="42" t="n">
        <x:v>525</x:v>
      </x:c>
      <x:c r="W160" s="42" t="n">
        <x:v>52</x:v>
      </x:c>
      <x:c r="X160" s="42" t="n">
        <x:v>158</x:v>
      </x:c>
      <x:c r="Y160" s="42" t="str"/>
    </x:row>
    <x:row r="161">
      <x:c r="A161" s="1">
        <x:v>16</x:v>
      </x:c>
      <x:c r="B161" s="1" t="s">
        <x:v>501</x:v>
      </x:c>
      <x:c r="C161" s="1" t="s">
        <x:v>361</x:v>
      </x:c>
      <x:c r="D161" s="1">
        <x:v>1</x:v>
      </x:c>
      <x:c r="E161" s="1">
        <x:v>1</x:v>
      </x:c>
      <x:c r="F161" s="1">
        <x:v>10</x:v>
      </x:c>
      <x:c r="G161" s="1" t="s">
        <x:v>1057</x:v>
      </x:c>
      <x:c r="H161" s="1">
        <x:v>27</x:v>
      </x:c>
      <x:c r="I161" s="1">
        <x:v>21</x:v>
      </x:c>
      <x:c r="J161" s="1">
        <x:v>0.68</x:v>
      </x:c>
      <x:c r="K161" s="1" t="s">
        <x:v>1133</x:v>
      </x:c>
      <x:c r="L161" s="1">
        <x:v>1.99</x:v>
      </x:c>
      <x:c r="M161" s="1">
        <x:v>1.75</x:v>
      </x:c>
      <x:c r="N161" s="1">
        <x:v>625</x:v>
      </x:c>
      <x:c r="O161" s="1" t="s">
        <x:v>1059</x:v>
      </x:c>
      <x:c r="P161" s="42" t="str">
        <x:v>Lv30~40</x:v>
      </x:c>
      <x:c r="Q161" s="42" t="str">
        <x:v>I</x:v>
      </x:c>
      <x:c r="R161" s="42" t="str">
        <x:v>4</x:v>
      </x:c>
      <x:c r="S161" s="42" t="str">
        <x:v>꾸준한 육성 권장</x:v>
      </x:c>
      <x:c r="T161" s="42" t="n">
        <x:v>13</x:v>
      </x:c>
      <x:c r="U161" s="42" t="n">
        <x:v>338</x:v>
      </x:c>
      <x:c r="V161" s="42" t="n">
        <x:v>0</x:v>
      </x:c>
      <x:c r="W161" s="42" t="n">
        <x:v>0</x:v>
      </x:c>
      <x:c r="X161" s="42" t="n">
        <x:v>0</x:v>
      </x:c>
      <x:c r="Y161" s="42" t="str">
        <x:v>보스 처치 보상은 로비 보상으로 분리</x:v>
      </x:c>
    </x:row>
    <x:row r="162">
      <x:c r="A162" s="1">
        <x:v>17</x:v>
      </x:c>
      <x:c r="B162" s="1" t="s">
        <x:v>501</x:v>
      </x:c>
      <x:c r="C162" s="1" t="s">
        <x:v>361</x:v>
      </x:c>
      <x:c r="D162" s="1">
        <x:v>2</x:v>
      </x:c>
      <x:c r="E162" s="1">
        <x:v>1</x:v>
      </x:c>
      <x:c r="F162" s="1">
        <x:v>1</x:v>
      </x:c>
      <x:c r="G162" s="1" t="s">
        <x:v>1042</x:v>
      </x:c>
      <x:c r="H162" s="1">
        <x:v>20</x:v>
      </x:c>
      <x:c r="I162" s="1">
        <x:v>12</x:v>
      </x:c>
      <x:c r="J162" s="1">
        <x:v>0.98</x:v>
      </x:c>
      <x:c r="K162" s="1" t="s">
        <x:v>1134</x:v>
      </x:c>
      <x:c r="L162" s="1">
        <x:v>1.72</x:v>
      </x:c>
      <x:c r="M162" s="1">
        <x:v>1.56</x:v>
      </x:c>
      <x:c r="N162" s="1">
        <x:v>707</x:v>
      </x:c>
      <x:c r="O162" s="1" t="s">
        <x:v>1044</x:v>
      </x:c>
      <x:c r="P162" s="42" t="str">
        <x:v>Lv30~40</x:v>
      </x:c>
      <x:c r="Q162" s="42" t="str">
        <x:v>I</x:v>
      </x:c>
      <x:c r="R162" s="42" t="str">
        <x:v>4</x:v>
      </x:c>
      <x:c r="S162" s="42" t="str">
        <x:v>꾸준한 육성 권장</x:v>
      </x:c>
      <x:c r="T162" s="42" t="n">
        <x:v>13</x:v>
      </x:c>
      <x:c r="U162" s="42" t="n">
        <x:v>260</x:v>
      </x:c>
      <x:c r="V162" s="42" t="n">
        <x:v>105</x:v>
      </x:c>
      <x:c r="W162" s="42" t="n">
        <x:v>10</x:v>
      </x:c>
      <x:c r="X162" s="42" t="n">
        <x:v>32</x:v>
      </x:c>
      <x:c r="Y162" s="42" t="str"/>
    </x:row>
    <x:row r="163">
      <x:c r="A163" s="1">
        <x:v>17</x:v>
      </x:c>
      <x:c r="B163" s="1" t="s">
        <x:v>501</x:v>
      </x:c>
      <x:c r="C163" s="1" t="s">
        <x:v>361</x:v>
      </x:c>
      <x:c r="D163" s="1">
        <x:v>2</x:v>
      </x:c>
      <x:c r="E163" s="1">
        <x:v>1</x:v>
      </x:c>
      <x:c r="F163" s="1">
        <x:v>2</x:v>
      </x:c>
      <x:c r="G163" s="1" t="s">
        <x:v>1042</x:v>
      </x:c>
      <x:c r="H163" s="1">
        <x:v>22</x:v>
      </x:c>
      <x:c r="I163" s="1">
        <x:v>13</x:v>
      </x:c>
      <x:c r="J163" s="1">
        <x:v>0.95</x:v>
      </x:c>
      <x:c r="K163" s="1" t="s">
        <x:v>1127</x:v>
      </x:c>
      <x:c r="L163" s="1">
        <x:v>1.75</x:v>
      </x:c>
      <x:c r="M163" s="1">
        <x:v>1.58</x:v>
      </x:c>
      <x:c r="N163" s="1">
        <x:v>707</x:v>
      </x:c>
      <x:c r="O163" s="1" t="s">
        <x:v>1044</x:v>
      </x:c>
      <x:c r="P163" s="42" t="str">
        <x:v>Lv30~40</x:v>
      </x:c>
      <x:c r="Q163" s="42" t="str">
        <x:v>I</x:v>
      </x:c>
      <x:c r="R163" s="42" t="str">
        <x:v>4</x:v>
      </x:c>
      <x:c r="S163" s="42" t="str">
        <x:v>꾸준한 육성 권장</x:v>
      </x:c>
      <x:c r="T163" s="42" t="n">
        <x:v>13</x:v>
      </x:c>
      <x:c r="U163" s="42" t="n">
        <x:v>286</x:v>
      </x:c>
      <x:c r="V163" s="42" t="n">
        <x:v>126</x:v>
      </x:c>
      <x:c r="W163" s="42" t="n">
        <x:v>13</x:v>
      </x:c>
      <x:c r="X163" s="42" t="n">
        <x:v>38</x:v>
      </x:c>
      <x:c r="Y163" s="42" t="str"/>
    </x:row>
    <x:row r="164">
      <x:c r="A164" s="1">
        <x:v>17</x:v>
      </x:c>
      <x:c r="B164" s="1" t="s">
        <x:v>501</x:v>
      </x:c>
      <x:c r="C164" s="1" t="s">
        <x:v>361</x:v>
      </x:c>
      <x:c r="D164" s="1">
        <x:v>2</x:v>
      </x:c>
      <x:c r="E164" s="1">
        <x:v>1</x:v>
      </x:c>
      <x:c r="F164" s="1">
        <x:v>3</x:v>
      </x:c>
      <x:c r="G164" s="1" t="s">
        <x:v>1042</x:v>
      </x:c>
      <x:c r="H164" s="1">
        <x:v>24</x:v>
      </x:c>
      <x:c r="I164" s="1">
        <x:v>14</x:v>
      </x:c>
      <x:c r="J164" s="1">
        <x:v>0.91</x:v>
      </x:c>
      <x:c r="K164" s="1" t="s">
        <x:v>1126</x:v>
      </x:c>
      <x:c r="L164" s="1">
        <x:v>1.79</x:v>
      </x:c>
      <x:c r="M164" s="1">
        <x:v>1.61</x:v>
      </x:c>
      <x:c r="N164" s="1">
        <x:v>707</x:v>
      </x:c>
      <x:c r="O164" s="1" t="s">
        <x:v>1044</x:v>
      </x:c>
      <x:c r="P164" s="42" t="str">
        <x:v>Lv30~40</x:v>
      </x:c>
      <x:c r="Q164" s="42" t="str">
        <x:v>I</x:v>
      </x:c>
      <x:c r="R164" s="42" t="str">
        <x:v>4</x:v>
      </x:c>
      <x:c r="S164" s="42" t="str">
        <x:v>꾸준한 육성 권장</x:v>
      </x:c>
      <x:c r="T164" s="42" t="n">
        <x:v>13</x:v>
      </x:c>
      <x:c r="U164" s="42" t="n">
        <x:v>312</x:v>
      </x:c>
      <x:c r="V164" s="42" t="n">
        <x:v>158</x:v>
      </x:c>
      <x:c r="W164" s="42" t="n">
        <x:v>16</x:v>
      </x:c>
      <x:c r="X164" s="42" t="n">
        <x:v>47</x:v>
      </x:c>
      <x:c r="Y164" s="42" t="str"/>
    </x:row>
    <x:row r="165">
      <x:c r="A165" s="1">
        <x:v>17</x:v>
      </x:c>
      <x:c r="B165" s="1" t="s">
        <x:v>501</x:v>
      </x:c>
      <x:c r="C165" s="1" t="s">
        <x:v>361</x:v>
      </x:c>
      <x:c r="D165" s="1">
        <x:v>2</x:v>
      </x:c>
      <x:c r="E165" s="1">
        <x:v>1</x:v>
      </x:c>
      <x:c r="F165" s="1">
        <x:v>4</x:v>
      </x:c>
      <x:c r="G165" s="1" t="s">
        <x:v>1042</x:v>
      </x:c>
      <x:c r="H165" s="1">
        <x:v>26</x:v>
      </x:c>
      <x:c r="I165" s="1">
        <x:v>15</x:v>
      </x:c>
      <x:c r="J165" s="1">
        <x:v>0.88</x:v>
      </x:c>
      <x:c r="K165" s="1" t="s">
        <x:v>1132</x:v>
      </x:c>
      <x:c r="L165" s="1">
        <x:v>1.82</x:v>
      </x:c>
      <x:c r="M165" s="1">
        <x:v>1.64</x:v>
      </x:c>
      <x:c r="N165" s="1">
        <x:v>707</x:v>
      </x:c>
      <x:c r="O165" s="1" t="s">
        <x:v>1047</x:v>
      </x:c>
      <x:c r="P165" s="42" t="str">
        <x:v>Lv30~40</x:v>
      </x:c>
      <x:c r="Q165" s="42" t="str">
        <x:v>I</x:v>
      </x:c>
      <x:c r="R165" s="42" t="str">
        <x:v>4</x:v>
      </x:c>
      <x:c r="S165" s="42" t="str">
        <x:v>꾸준한 육성 권장</x:v>
      </x:c>
      <x:c r="T165" s="42" t="n">
        <x:v>13</x:v>
      </x:c>
      <x:c r="U165" s="42" t="n">
        <x:v>338</x:v>
      </x:c>
      <x:c r="V165" s="42" t="n">
        <x:v>189</x:v>
      </x:c>
      <x:c r="W165" s="42" t="n">
        <x:v>19</x:v>
      </x:c>
      <x:c r="X165" s="42" t="n">
        <x:v>57</x:v>
      </x:c>
      <x:c r="Y165" s="42" t="str"/>
    </x:row>
    <x:row r="166">
      <x:c r="A166" s="1">
        <x:v>17</x:v>
      </x:c>
      <x:c r="B166" s="1" t="s">
        <x:v>501</x:v>
      </x:c>
      <x:c r="C166" s="1" t="s">
        <x:v>361</x:v>
      </x:c>
      <x:c r="D166" s="1">
        <x:v>2</x:v>
      </x:c>
      <x:c r="E166" s="1">
        <x:v>1</x:v>
      </x:c>
      <x:c r="F166" s="1">
        <x:v>5</x:v>
      </x:c>
      <x:c r="G166" s="1" t="s">
        <x:v>1048</x:v>
      </x:c>
      <x:c r="H166" s="1">
        <x:v>20</x:v>
      </x:c>
      <x:c r="I166" s="1">
        <x:v>16</x:v>
      </x:c>
      <x:c r="J166" s="1">
        <x:v>0.84</x:v>
      </x:c>
      <x:c r="K166" s="1" t="s">
        <x:v>1135</x:v>
      </x:c>
      <x:c r="L166" s="1">
        <x:v>1.86</x:v>
      </x:c>
      <x:c r="M166" s="1">
        <x:v>1.66</x:v>
      </x:c>
      <x:c r="N166" s="1">
        <x:v>707</x:v>
      </x:c>
      <x:c r="O166" s="1" t="s">
        <x:v>1050</x:v>
      </x:c>
      <x:c r="P166" s="42" t="str">
        <x:v>Lv30~40</x:v>
      </x:c>
      <x:c r="Q166" s="42" t="str">
        <x:v>I</x:v>
      </x:c>
      <x:c r="R166" s="42" t="str">
        <x:v>4</x:v>
      </x:c>
      <x:c r="S166" s="42" t="str">
        <x:v>꾸준한 육성 권장</x:v>
      </x:c>
      <x:c r="T166" s="42" t="n">
        <x:v>13</x:v>
      </x:c>
      <x:c r="U166" s="42" t="n">
        <x:v>470</x:v>
      </x:c>
      <x:c r="V166" s="42" t="n">
        <x:v>315</x:v>
      </x:c>
      <x:c r="W166" s="42" t="n">
        <x:v>32</x:v>
      </x:c>
      <x:c r="X166" s="42" t="n">
        <x:v>94</x:v>
      </x:c>
      <x:c r="Y166" s="42" t="str">
        <x:v>중간보스 현상금 포함</x:v>
      </x:c>
    </x:row>
    <x:row r="167">
      <x:c r="A167" s="1">
        <x:v>17</x:v>
      </x:c>
      <x:c r="B167" s="1" t="s">
        <x:v>501</x:v>
      </x:c>
      <x:c r="C167" s="1" t="s">
        <x:v>361</x:v>
      </x:c>
      <x:c r="D167" s="1">
        <x:v>2</x:v>
      </x:c>
      <x:c r="E167" s="1">
        <x:v>1</x:v>
      </x:c>
      <x:c r="F167" s="1">
        <x:v>6</x:v>
      </x:c>
      <x:c r="G167" s="1" t="s">
        <x:v>1042</x:v>
      </x:c>
      <x:c r="H167" s="1">
        <x:v>30</x:v>
      </x:c>
      <x:c r="I167" s="1">
        <x:v>17</x:v>
      </x:c>
      <x:c r="J167" s="1">
        <x:v>0.81</x:v>
      </x:c>
      <x:c r="K167" s="1" t="s">
        <x:v>1136</x:v>
      </x:c>
      <x:c r="L167" s="1">
        <x:v>1.9</x:v>
      </x:c>
      <x:c r="M167" s="1">
        <x:v>1.69</x:v>
      </x:c>
      <x:c r="N167" s="1">
        <x:v>707</x:v>
      </x:c>
      <x:c r="O167" s="1" t="s">
        <x:v>1052</x:v>
      </x:c>
      <x:c r="P167" s="42" t="str">
        <x:v>Lv30~40</x:v>
      </x:c>
      <x:c r="Q167" s="42" t="str">
        <x:v>I</x:v>
      </x:c>
      <x:c r="R167" s="42" t="str">
        <x:v>4</x:v>
      </x:c>
      <x:c r="S167" s="42" t="str">
        <x:v>꾸준한 육성 권장</x:v>
      </x:c>
      <x:c r="T167" s="42" t="n">
        <x:v>13</x:v>
      </x:c>
      <x:c r="U167" s="42" t="n">
        <x:v>390</x:v>
      </x:c>
      <x:c r="V167" s="42" t="n">
        <x:v>231</x:v>
      </x:c>
      <x:c r="W167" s="42" t="n">
        <x:v>23</x:v>
      </x:c>
      <x:c r="X167" s="42" t="n">
        <x:v>69</x:v>
      </x:c>
      <x:c r="Y167" s="42" t="str"/>
    </x:row>
    <x:row r="168">
      <x:c r="A168" s="1">
        <x:v>17</x:v>
      </x:c>
      <x:c r="B168" s="1" t="s">
        <x:v>501</x:v>
      </x:c>
      <x:c r="C168" s="1" t="s">
        <x:v>361</x:v>
      </x:c>
      <x:c r="D168" s="1">
        <x:v>2</x:v>
      </x:c>
      <x:c r="E168" s="1">
        <x:v>1</x:v>
      </x:c>
      <x:c r="F168" s="1">
        <x:v>7</x:v>
      </x:c>
      <x:c r="G168" s="1" t="s">
        <x:v>1042</x:v>
      </x:c>
      <x:c r="H168" s="1">
        <x:v>32</x:v>
      </x:c>
      <x:c r="I168" s="1">
        <x:v>19</x:v>
      </x:c>
      <x:c r="J168" s="1">
        <x:v>0.77</x:v>
      </x:c>
      <x:c r="K168" s="1" t="s">
        <x:v>1126</x:v>
      </x:c>
      <x:c r="L168" s="1">
        <x:v>1.93</x:v>
      </x:c>
      <x:c r="M168" s="1">
        <x:v>1.71</x:v>
      </x:c>
      <x:c r="N168" s="1">
        <x:v>707</x:v>
      </x:c>
      <x:c r="O168" s="1" t="s">
        <x:v>1052</x:v>
      </x:c>
      <x:c r="P168" s="42" t="str">
        <x:v>Lv30~40</x:v>
      </x:c>
      <x:c r="Q168" s="42" t="str">
        <x:v>I</x:v>
      </x:c>
      <x:c r="R168" s="42" t="str">
        <x:v>4</x:v>
      </x:c>
      <x:c r="S168" s="42" t="str">
        <x:v>꾸준한 육성 권장</x:v>
      </x:c>
      <x:c r="T168" s="42" t="n">
        <x:v>13</x:v>
      </x:c>
      <x:c r="U168" s="42" t="n">
        <x:v>416</x:v>
      </x:c>
      <x:c r="V168" s="42" t="n">
        <x:v>315</x:v>
      </x:c>
      <x:c r="W168" s="42" t="n">
        <x:v>32</x:v>
      </x:c>
      <x:c r="X168" s="42" t="n">
        <x:v>94</x:v>
      </x:c>
      <x:c r="Y168" s="42" t="str"/>
    </x:row>
    <x:row r="169">
      <x:c r="A169" s="1">
        <x:v>17</x:v>
      </x:c>
      <x:c r="B169" s="1" t="s">
        <x:v>501</x:v>
      </x:c>
      <x:c r="C169" s="1" t="s">
        <x:v>361</x:v>
      </x:c>
      <x:c r="D169" s="1">
        <x:v>2</x:v>
      </x:c>
      <x:c r="E169" s="1">
        <x:v>1</x:v>
      </x:c>
      <x:c r="F169" s="1">
        <x:v>8</x:v>
      </x:c>
      <x:c r="G169" s="1" t="s">
        <x:v>1042</x:v>
      </x:c>
      <x:c r="H169" s="1">
        <x:v>34</x:v>
      </x:c>
      <x:c r="I169" s="1">
        <x:v>20</x:v>
      </x:c>
      <x:c r="J169" s="1">
        <x:v>0.74</x:v>
      </x:c>
      <x:c r="K169" s="1" t="s">
        <x:v>1132</x:v>
      </x:c>
      <x:c r="L169" s="1">
        <x:v>1.97</x:v>
      </x:c>
      <x:c r="M169" s="1">
        <x:v>1.74</x:v>
      </x:c>
      <x:c r="N169" s="1">
        <x:v>707</x:v>
      </x:c>
      <x:c r="O169" s="1" t="s">
        <x:v>1052</x:v>
      </x:c>
      <x:c r="P169" s="42" t="str">
        <x:v>Lv30~40</x:v>
      </x:c>
      <x:c r="Q169" s="42" t="str">
        <x:v>I</x:v>
      </x:c>
      <x:c r="R169" s="42" t="str">
        <x:v>4</x:v>
      </x:c>
      <x:c r="S169" s="42" t="str">
        <x:v>꾸준한 육성 권장</x:v>
      </x:c>
      <x:c r="T169" s="42" t="n">
        <x:v>13</x:v>
      </x:c>
      <x:c r="U169" s="42" t="n">
        <x:v>442</x:v>
      </x:c>
      <x:c r="V169" s="42" t="n">
        <x:v>420</x:v>
      </x:c>
      <x:c r="W169" s="42" t="n">
        <x:v>42</x:v>
      </x:c>
      <x:c r="X169" s="42" t="n">
        <x:v>126</x:v>
      </x:c>
      <x:c r="Y169" s="42" t="str"/>
    </x:row>
    <x:row r="170">
      <x:c r="A170" s="1">
        <x:v>17</x:v>
      </x:c>
      <x:c r="B170" s="1" t="s">
        <x:v>501</x:v>
      </x:c>
      <x:c r="C170" s="1" t="s">
        <x:v>361</x:v>
      </x:c>
      <x:c r="D170" s="1">
        <x:v>2</x:v>
      </x:c>
      <x:c r="E170" s="1">
        <x:v>1</x:v>
      </x:c>
      <x:c r="F170" s="1">
        <x:v>9</x:v>
      </x:c>
      <x:c r="G170" s="1" t="s">
        <x:v>1042</x:v>
      </x:c>
      <x:c r="H170" s="1">
        <x:v>36</x:v>
      </x:c>
      <x:c r="I170" s="1">
        <x:v>21</x:v>
      </x:c>
      <x:c r="J170" s="1">
        <x:v>0.7</x:v>
      </x:c>
      <x:c r="K170" s="1" t="s">
        <x:v>1137</x:v>
      </x:c>
      <x:c r="L170" s="1">
        <x:v>2</x:v>
      </x:c>
      <x:c r="M170" s="1">
        <x:v>1.76</x:v>
      </x:c>
      <x:c r="N170" s="1">
        <x:v>707</x:v>
      </x:c>
      <x:c r="O170" s="1" t="s">
        <x:v>1056</x:v>
      </x:c>
      <x:c r="P170" s="42" t="str">
        <x:v>Lv30~40</x:v>
      </x:c>
      <x:c r="Q170" s="42" t="str">
        <x:v>I</x:v>
      </x:c>
      <x:c r="R170" s="42" t="str">
        <x:v>4</x:v>
      </x:c>
      <x:c r="S170" s="42" t="str">
        <x:v>꾸준한 육성 권장</x:v>
      </x:c>
      <x:c r="T170" s="42" t="n">
        <x:v>13</x:v>
      </x:c>
      <x:c r="U170" s="42" t="n">
        <x:v>468</x:v>
      </x:c>
      <x:c r="V170" s="42" t="n">
        <x:v>525</x:v>
      </x:c>
      <x:c r="W170" s="42" t="n">
        <x:v>52</x:v>
      </x:c>
      <x:c r="X170" s="42" t="n">
        <x:v>158</x:v>
      </x:c>
      <x:c r="Y170" s="42" t="str"/>
    </x:row>
    <x:row r="171">
      <x:c r="A171" s="1">
        <x:v>17</x:v>
      </x:c>
      <x:c r="B171" s="1" t="s">
        <x:v>501</x:v>
      </x:c>
      <x:c r="C171" s="1" t="s">
        <x:v>361</x:v>
      </x:c>
      <x:c r="D171" s="1">
        <x:v>2</x:v>
      </x:c>
      <x:c r="E171" s="1">
        <x:v>1</x:v>
      </x:c>
      <x:c r="F171" s="1">
        <x:v>10</x:v>
      </x:c>
      <x:c r="G171" s="1" t="s">
        <x:v>1057</x:v>
      </x:c>
      <x:c r="H171" s="1">
        <x:v>28</x:v>
      </x:c>
      <x:c r="I171" s="1">
        <x:v>22</x:v>
      </x:c>
      <x:c r="J171" s="1">
        <x:v>0.67</x:v>
      </x:c>
      <x:c r="K171" s="1" t="s">
        <x:v>1138</x:v>
      </x:c>
      <x:c r="L171" s="1">
        <x:v>2.04</x:v>
      </x:c>
      <x:c r="M171" s="1">
        <x:v>1.79</x:v>
      </x:c>
      <x:c r="N171" s="1">
        <x:v>707</x:v>
      </x:c>
      <x:c r="O171" s="1" t="s">
        <x:v>1059</x:v>
      </x:c>
      <x:c r="P171" s="42" t="str">
        <x:v>Lv30~40</x:v>
      </x:c>
      <x:c r="Q171" s="42" t="str">
        <x:v>I</x:v>
      </x:c>
      <x:c r="R171" s="42" t="str">
        <x:v>4</x:v>
      </x:c>
      <x:c r="S171" s="42" t="str">
        <x:v>꾸준한 육성 권장</x:v>
      </x:c>
      <x:c r="T171" s="42" t="n">
        <x:v>13</x:v>
      </x:c>
      <x:c r="U171" s="42" t="n">
        <x:v>351</x:v>
      </x:c>
      <x:c r="V171" s="42" t="n">
        <x:v>0</x:v>
      </x:c>
      <x:c r="W171" s="42" t="n">
        <x:v>0</x:v>
      </x:c>
      <x:c r="X171" s="42" t="n">
        <x:v>0</x:v>
      </x:c>
      <x:c r="Y171" s="42" t="str">
        <x:v>보스 처치 보상은 로비 보상으로 분리</x:v>
      </x:c>
    </x:row>
    <x:row r="172">
      <x:c r="A172" s="1">
        <x:v>18</x:v>
      </x:c>
      <x:c r="B172" s="1" t="s">
        <x:v>501</x:v>
      </x:c>
      <x:c r="C172" s="1" t="s">
        <x:v>361</x:v>
      </x:c>
      <x:c r="D172" s="1">
        <x:v>3</x:v>
      </x:c>
      <x:c r="E172" s="1">
        <x:v>2</x:v>
      </x:c>
      <x:c r="F172" s="1">
        <x:v>1</x:v>
      </x:c>
      <x:c r="G172" s="1" t="s">
        <x:v>1042</x:v>
      </x:c>
      <x:c r="H172" s="1">
        <x:v>22</x:v>
      </x:c>
      <x:c r="I172" s="1">
        <x:v>13</x:v>
      </x:c>
      <x:c r="J172" s="1">
        <x:v>0.97</x:v>
      </x:c>
      <x:c r="K172" s="1" t="s">
        <x:v>1131</x:v>
      </x:c>
      <x:c r="L172" s="1">
        <x:v>1.77</x:v>
      </x:c>
      <x:c r="M172" s="1">
        <x:v>1.6</x:v>
      </x:c>
      <x:c r="N172" s="1">
        <x:v>799</x:v>
      </x:c>
      <x:c r="O172" s="1" t="s">
        <x:v>1044</x:v>
      </x:c>
      <x:c r="P172" s="42" t="str">
        <x:v>Lv30~40</x:v>
      </x:c>
      <x:c r="Q172" s="42" t="str">
        <x:v>I</x:v>
      </x:c>
      <x:c r="R172" s="42" t="str">
        <x:v>4</x:v>
      </x:c>
      <x:c r="S172" s="42" t="str">
        <x:v>꾸준한 육성 권장</x:v>
      </x:c>
      <x:c r="T172" s="42" t="n">
        <x:v>13</x:v>
      </x:c>
      <x:c r="U172" s="42" t="n">
        <x:v>286</x:v>
      </x:c>
      <x:c r="V172" s="42" t="n">
        <x:v>105</x:v>
      </x:c>
      <x:c r="W172" s="42" t="n">
        <x:v>10</x:v>
      </x:c>
      <x:c r="X172" s="42" t="n">
        <x:v>32</x:v>
      </x:c>
      <x:c r="Y172" s="42" t="str"/>
    </x:row>
    <x:row r="173">
      <x:c r="A173" s="1">
        <x:v>18</x:v>
      </x:c>
      <x:c r="B173" s="1" t="s">
        <x:v>501</x:v>
      </x:c>
      <x:c r="C173" s="1" t="s">
        <x:v>361</x:v>
      </x:c>
      <x:c r="D173" s="1">
        <x:v>3</x:v>
      </x:c>
      <x:c r="E173" s="1">
        <x:v>2</x:v>
      </x:c>
      <x:c r="F173" s="1">
        <x:v>2</x:v>
      </x:c>
      <x:c r="G173" s="1" t="s">
        <x:v>1042</x:v>
      </x:c>
      <x:c r="H173" s="1">
        <x:v>24</x:v>
      </x:c>
      <x:c r="I173" s="1">
        <x:v>14</x:v>
      </x:c>
      <x:c r="J173" s="1">
        <x:v>0.93</x:v>
      </x:c>
      <x:c r="K173" s="1" t="s">
        <x:v>1126</x:v>
      </x:c>
      <x:c r="L173" s="1">
        <x:v>1.8</x:v>
      </x:c>
      <x:c r="M173" s="1">
        <x:v>1.62</x:v>
      </x:c>
      <x:c r="N173" s="1">
        <x:v>799</x:v>
      </x:c>
      <x:c r="O173" s="1" t="s">
        <x:v>1044</x:v>
      </x:c>
      <x:c r="P173" s="42" t="str">
        <x:v>Lv30~40</x:v>
      </x:c>
      <x:c r="Q173" s="42" t="str">
        <x:v>I</x:v>
      </x:c>
      <x:c r="R173" s="42" t="str">
        <x:v>4</x:v>
      </x:c>
      <x:c r="S173" s="42" t="str">
        <x:v>꾸준한 육성 권장</x:v>
      </x:c>
      <x:c r="T173" s="42" t="n">
        <x:v>13</x:v>
      </x:c>
      <x:c r="U173" s="42" t="n">
        <x:v>312</x:v>
      </x:c>
      <x:c r="V173" s="42" t="n">
        <x:v>126</x:v>
      </x:c>
      <x:c r="W173" s="42" t="n">
        <x:v>13</x:v>
      </x:c>
      <x:c r="X173" s="42" t="n">
        <x:v>38</x:v>
      </x:c>
      <x:c r="Y173" s="42" t="str"/>
    </x:row>
    <x:row r="174">
      <x:c r="A174" s="1">
        <x:v>18</x:v>
      </x:c>
      <x:c r="B174" s="1" t="s">
        <x:v>501</x:v>
      </x:c>
      <x:c r="C174" s="1" t="s">
        <x:v>361</x:v>
      </x:c>
      <x:c r="D174" s="1">
        <x:v>3</x:v>
      </x:c>
      <x:c r="E174" s="1">
        <x:v>2</x:v>
      </x:c>
      <x:c r="F174" s="1">
        <x:v>3</x:v>
      </x:c>
      <x:c r="G174" s="1" t="s">
        <x:v>1042</x:v>
      </x:c>
      <x:c r="H174" s="1">
        <x:v>26</x:v>
      </x:c>
      <x:c r="I174" s="1">
        <x:v>15</x:v>
      </x:c>
      <x:c r="J174" s="1">
        <x:v>0.9</x:v>
      </x:c>
      <x:c r="K174" s="1" t="s">
        <x:v>1139</x:v>
      </x:c>
      <x:c r="L174" s="1">
        <x:v>1.84</x:v>
      </x:c>
      <x:c r="M174" s="1">
        <x:v>1.65</x:v>
      </x:c>
      <x:c r="N174" s="1">
        <x:v>799</x:v>
      </x:c>
      <x:c r="O174" s="1" t="s">
        <x:v>1044</x:v>
      </x:c>
      <x:c r="P174" s="42" t="str">
        <x:v>Lv30~40</x:v>
      </x:c>
      <x:c r="Q174" s="42" t="str">
        <x:v>I</x:v>
      </x:c>
      <x:c r="R174" s="42" t="str">
        <x:v>4</x:v>
      </x:c>
      <x:c r="S174" s="42" t="str">
        <x:v>꾸준한 육성 권장</x:v>
      </x:c>
      <x:c r="T174" s="42" t="n">
        <x:v>13</x:v>
      </x:c>
      <x:c r="U174" s="42" t="n">
        <x:v>338</x:v>
      </x:c>
      <x:c r="V174" s="42" t="n">
        <x:v>158</x:v>
      </x:c>
      <x:c r="W174" s="42" t="n">
        <x:v>16</x:v>
      </x:c>
      <x:c r="X174" s="42" t="n">
        <x:v>47</x:v>
      </x:c>
      <x:c r="Y174" s="42" t="str"/>
    </x:row>
    <x:row r="175">
      <x:c r="A175" s="1">
        <x:v>18</x:v>
      </x:c>
      <x:c r="B175" s="1" t="s">
        <x:v>501</x:v>
      </x:c>
      <x:c r="C175" s="1" t="s">
        <x:v>361</x:v>
      </x:c>
      <x:c r="D175" s="1">
        <x:v>3</x:v>
      </x:c>
      <x:c r="E175" s="1">
        <x:v>2</x:v>
      </x:c>
      <x:c r="F175" s="1">
        <x:v>4</x:v>
      </x:c>
      <x:c r="G175" s="1" t="s">
        <x:v>1042</x:v>
      </x:c>
      <x:c r="H175" s="1">
        <x:v>28</x:v>
      </x:c>
      <x:c r="I175" s="1">
        <x:v>16</x:v>
      </x:c>
      <x:c r="J175" s="1">
        <x:v>0.86</x:v>
      </x:c>
      <x:c r="K175" s="1" t="s">
        <x:v>1140</x:v>
      </x:c>
      <x:c r="L175" s="1">
        <x:v>1.87</x:v>
      </x:c>
      <x:c r="M175" s="1">
        <x:v>1.67</x:v>
      </x:c>
      <x:c r="N175" s="1">
        <x:v>799</x:v>
      </x:c>
      <x:c r="O175" s="1" t="s">
        <x:v>1047</x:v>
      </x:c>
      <x:c r="P175" s="42" t="str">
        <x:v>Lv30~40</x:v>
      </x:c>
      <x:c r="Q175" s="42" t="str">
        <x:v>I</x:v>
      </x:c>
      <x:c r="R175" s="42" t="str">
        <x:v>4</x:v>
      </x:c>
      <x:c r="S175" s="42" t="str">
        <x:v>꾸준한 육성 권장</x:v>
      </x:c>
      <x:c r="T175" s="42" t="n">
        <x:v>13</x:v>
      </x:c>
      <x:c r="U175" s="42" t="n">
        <x:v>364</x:v>
      </x:c>
      <x:c r="V175" s="42" t="n">
        <x:v>189</x:v>
      </x:c>
      <x:c r="W175" s="42" t="n">
        <x:v>19</x:v>
      </x:c>
      <x:c r="X175" s="42" t="n">
        <x:v>57</x:v>
      </x:c>
      <x:c r="Y175" s="42" t="str"/>
    </x:row>
    <x:row r="176">
      <x:c r="A176" s="1">
        <x:v>18</x:v>
      </x:c>
      <x:c r="B176" s="1" t="s">
        <x:v>501</x:v>
      </x:c>
      <x:c r="C176" s="1" t="s">
        <x:v>361</x:v>
      </x:c>
      <x:c r="D176" s="1">
        <x:v>3</x:v>
      </x:c>
      <x:c r="E176" s="1">
        <x:v>2</x:v>
      </x:c>
      <x:c r="F176" s="1">
        <x:v>5</x:v>
      </x:c>
      <x:c r="G176" s="1" t="s">
        <x:v>1048</x:v>
      </x:c>
      <x:c r="H176" s="1">
        <x:v>22</x:v>
      </x:c>
      <x:c r="I176" s="1">
        <x:v>17</x:v>
      </x:c>
      <x:c r="J176" s="1">
        <x:v>0.83</x:v>
      </x:c>
      <x:c r="K176" s="1" t="s">
        <x:v>1141</x:v>
      </x:c>
      <x:c r="L176" s="1">
        <x:v>1.91</x:v>
      </x:c>
      <x:c r="M176" s="1">
        <x:v>1.7</x:v>
      </x:c>
      <x:c r="N176" s="1">
        <x:v>799</x:v>
      </x:c>
      <x:c r="O176" s="1" t="s">
        <x:v>1050</x:v>
      </x:c>
      <x:c r="P176" s="42" t="str">
        <x:v>Lv30~40</x:v>
      </x:c>
      <x:c r="Q176" s="42" t="str">
        <x:v>I</x:v>
      </x:c>
      <x:c r="R176" s="42" t="str">
        <x:v>4</x:v>
      </x:c>
      <x:c r="S176" s="42" t="str">
        <x:v>꾸준한 육성 권장</x:v>
      </x:c>
      <x:c r="T176" s="42" t="n">
        <x:v>13</x:v>
      </x:c>
      <x:c r="U176" s="42" t="n">
        <x:v>499</x:v>
      </x:c>
      <x:c r="V176" s="42" t="n">
        <x:v>315</x:v>
      </x:c>
      <x:c r="W176" s="42" t="n">
        <x:v>32</x:v>
      </x:c>
      <x:c r="X176" s="42" t="n">
        <x:v>94</x:v>
      </x:c>
      <x:c r="Y176" s="42" t="str">
        <x:v>중간보스 현상금 포함</x:v>
      </x:c>
    </x:row>
    <x:row r="177">
      <x:c r="A177" s="1">
        <x:v>18</x:v>
      </x:c>
      <x:c r="B177" s="1" t="s">
        <x:v>501</x:v>
      </x:c>
      <x:c r="C177" s="1" t="s">
        <x:v>361</x:v>
      </x:c>
      <x:c r="D177" s="1">
        <x:v>3</x:v>
      </x:c>
      <x:c r="E177" s="1">
        <x:v>2</x:v>
      </x:c>
      <x:c r="F177" s="1">
        <x:v>6</x:v>
      </x:c>
      <x:c r="G177" s="1" t="s">
        <x:v>1042</x:v>
      </x:c>
      <x:c r="H177" s="1">
        <x:v>32</x:v>
      </x:c>
      <x:c r="I177" s="1">
        <x:v>19</x:v>
      </x:c>
      <x:c r="J177" s="1">
        <x:v>0.79</x:v>
      </x:c>
      <x:c r="K177" s="1" t="s">
        <x:v>1139</x:v>
      </x:c>
      <x:c r="L177" s="1">
        <x:v>1.94</x:v>
      </x:c>
      <x:c r="M177" s="1">
        <x:v>1.72</x:v>
      </x:c>
      <x:c r="N177" s="1">
        <x:v>799</x:v>
      </x:c>
      <x:c r="O177" s="1" t="s">
        <x:v>1052</x:v>
      </x:c>
      <x:c r="P177" s="42" t="str">
        <x:v>Lv30~40</x:v>
      </x:c>
      <x:c r="Q177" s="42" t="str">
        <x:v>I</x:v>
      </x:c>
      <x:c r="R177" s="42" t="str">
        <x:v>4</x:v>
      </x:c>
      <x:c r="S177" s="42" t="str">
        <x:v>꾸준한 육성 권장</x:v>
      </x:c>
      <x:c r="T177" s="42" t="n">
        <x:v>13</x:v>
      </x:c>
      <x:c r="U177" s="42" t="n">
        <x:v>416</x:v>
      </x:c>
      <x:c r="V177" s="42" t="n">
        <x:v>231</x:v>
      </x:c>
      <x:c r="W177" s="42" t="n">
        <x:v>23</x:v>
      </x:c>
      <x:c r="X177" s="42" t="n">
        <x:v>69</x:v>
      </x:c>
      <x:c r="Y177" s="42" t="str"/>
    </x:row>
    <x:row r="178">
      <x:c r="A178" s="1">
        <x:v>18</x:v>
      </x:c>
      <x:c r="B178" s="1" t="s">
        <x:v>501</x:v>
      </x:c>
      <x:c r="C178" s="1" t="s">
        <x:v>361</x:v>
      </x:c>
      <x:c r="D178" s="1">
        <x:v>3</x:v>
      </x:c>
      <x:c r="E178" s="1">
        <x:v>2</x:v>
      </x:c>
      <x:c r="F178" s="1">
        <x:v>7</x:v>
      </x:c>
      <x:c r="G178" s="1" t="s">
        <x:v>1042</x:v>
      </x:c>
      <x:c r="H178" s="1">
        <x:v>34</x:v>
      </x:c>
      <x:c r="I178" s="1">
        <x:v>20</x:v>
      </x:c>
      <x:c r="J178" s="1">
        <x:v>0.76</x:v>
      </x:c>
      <x:c r="K178" s="1" t="s">
        <x:v>1142</x:v>
      </x:c>
      <x:c r="L178" s="1">
        <x:v>1.98</x:v>
      </x:c>
      <x:c r="M178" s="1">
        <x:v>1.75</x:v>
      </x:c>
      <x:c r="N178" s="1">
        <x:v>799</x:v>
      </x:c>
      <x:c r="O178" s="1" t="s">
        <x:v>1052</x:v>
      </x:c>
      <x:c r="P178" s="42" t="str">
        <x:v>Lv30~40</x:v>
      </x:c>
      <x:c r="Q178" s="42" t="str">
        <x:v>I</x:v>
      </x:c>
      <x:c r="R178" s="42" t="str">
        <x:v>4</x:v>
      </x:c>
      <x:c r="S178" s="42" t="str">
        <x:v>꾸준한 육성 권장</x:v>
      </x:c>
      <x:c r="T178" s="42" t="n">
        <x:v>13</x:v>
      </x:c>
      <x:c r="U178" s="42" t="n">
        <x:v>442</x:v>
      </x:c>
      <x:c r="V178" s="42" t="n">
        <x:v>315</x:v>
      </x:c>
      <x:c r="W178" s="42" t="n">
        <x:v>32</x:v>
      </x:c>
      <x:c r="X178" s="42" t="n">
        <x:v>94</x:v>
      </x:c>
      <x:c r="Y178" s="42" t="str"/>
    </x:row>
    <x:row r="179">
      <x:c r="A179" s="1">
        <x:v>18</x:v>
      </x:c>
      <x:c r="B179" s="1" t="s">
        <x:v>501</x:v>
      </x:c>
      <x:c r="C179" s="1" t="s">
        <x:v>361</x:v>
      </x:c>
      <x:c r="D179" s="1">
        <x:v>3</x:v>
      </x:c>
      <x:c r="E179" s="1">
        <x:v>2</x:v>
      </x:c>
      <x:c r="F179" s="1">
        <x:v>8</x:v>
      </x:c>
      <x:c r="G179" s="1" t="s">
        <x:v>1042</x:v>
      </x:c>
      <x:c r="H179" s="1">
        <x:v>36</x:v>
      </x:c>
      <x:c r="I179" s="1">
        <x:v>21</x:v>
      </x:c>
      <x:c r="J179" s="1">
        <x:v>0.72</x:v>
      </x:c>
      <x:c r="K179" s="1" t="s">
        <x:v>1137</x:v>
      </x:c>
      <x:c r="L179" s="1">
        <x:v>2.0099999999999998</x:v>
      </x:c>
      <x:c r="M179" s="1">
        <x:v>1.77</x:v>
      </x:c>
      <x:c r="N179" s="1">
        <x:v>799</x:v>
      </x:c>
      <x:c r="O179" s="1" t="s">
        <x:v>1052</x:v>
      </x:c>
      <x:c r="P179" s="42" t="str">
        <x:v>Lv30~40</x:v>
      </x:c>
      <x:c r="Q179" s="42" t="str">
        <x:v>I</x:v>
      </x:c>
      <x:c r="R179" s="42" t="str">
        <x:v>4</x:v>
      </x:c>
      <x:c r="S179" s="42" t="str">
        <x:v>꾸준한 육성 권장</x:v>
      </x:c>
      <x:c r="T179" s="42" t="n">
        <x:v>13</x:v>
      </x:c>
      <x:c r="U179" s="42" t="n">
        <x:v>468</x:v>
      </x:c>
      <x:c r="V179" s="42" t="n">
        <x:v>420</x:v>
      </x:c>
      <x:c r="W179" s="42" t="n">
        <x:v>42</x:v>
      </x:c>
      <x:c r="X179" s="42" t="n">
        <x:v>126</x:v>
      </x:c>
      <x:c r="Y179" s="42" t="str"/>
    </x:row>
    <x:row r="180">
      <x:c r="A180" s="1">
        <x:v>18</x:v>
      </x:c>
      <x:c r="B180" s="1" t="s">
        <x:v>501</x:v>
      </x:c>
      <x:c r="C180" s="1" t="s">
        <x:v>361</x:v>
      </x:c>
      <x:c r="D180" s="1">
        <x:v>3</x:v>
      </x:c>
      <x:c r="E180" s="1">
        <x:v>2</x:v>
      </x:c>
      <x:c r="F180" s="1">
        <x:v>9</x:v>
      </x:c>
      <x:c r="G180" s="1" t="s">
        <x:v>1042</x:v>
      </x:c>
      <x:c r="H180" s="1">
        <x:v>38</x:v>
      </x:c>
      <x:c r="I180" s="1">
        <x:v>22</x:v>
      </x:c>
      <x:c r="J180" s="1">
        <x:v>0.69</x:v>
      </x:c>
      <x:c r="K180" s="1" t="s">
        <x:v>1139</x:v>
      </x:c>
      <x:c r="L180" s="1">
        <x:v>2.04</x:v>
      </x:c>
      <x:c r="M180" s="1">
        <x:v>1.8</x:v>
      </x:c>
      <x:c r="N180" s="1">
        <x:v>799</x:v>
      </x:c>
      <x:c r="O180" s="1" t="s">
        <x:v>1056</x:v>
      </x:c>
      <x:c r="P180" s="42" t="str">
        <x:v>Lv30~40</x:v>
      </x:c>
      <x:c r="Q180" s="42" t="str">
        <x:v>I</x:v>
      </x:c>
      <x:c r="R180" s="42" t="str">
        <x:v>4</x:v>
      </x:c>
      <x:c r="S180" s="42" t="str">
        <x:v>꾸준한 육성 권장</x:v>
      </x:c>
      <x:c r="T180" s="42" t="n">
        <x:v>13</x:v>
      </x:c>
      <x:c r="U180" s="42" t="n">
        <x:v>494</x:v>
      </x:c>
      <x:c r="V180" s="42" t="n">
        <x:v>525</x:v>
      </x:c>
      <x:c r="W180" s="42" t="n">
        <x:v>52</x:v>
      </x:c>
      <x:c r="X180" s="42" t="n">
        <x:v>158</x:v>
      </x:c>
      <x:c r="Y180" s="42" t="str"/>
    </x:row>
    <x:row r="181">
      <x:c r="A181" s="1">
        <x:v>18</x:v>
      </x:c>
      <x:c r="B181" s="1" t="s">
        <x:v>501</x:v>
      </x:c>
      <x:c r="C181" s="1" t="s">
        <x:v>361</x:v>
      </x:c>
      <x:c r="D181" s="1">
        <x:v>3</x:v>
      </x:c>
      <x:c r="E181" s="1">
        <x:v>2</x:v>
      </x:c>
      <x:c r="F181" s="1">
        <x:v>10</x:v>
      </x:c>
      <x:c r="G181" s="1" t="s">
        <x:v>1057</x:v>
      </x:c>
      <x:c r="H181" s="1">
        <x:v>30</x:v>
      </x:c>
      <x:c r="I181" s="1">
        <x:v>23</x:v>
      </x:c>
      <x:c r="J181" s="1">
        <x:v>0.65</x:v>
      </x:c>
      <x:c r="K181" s="1" t="s">
        <x:v>1143</x:v>
      </x:c>
      <x:c r="L181" s="1">
        <x:v>2.08</x:v>
      </x:c>
      <x:c r="M181" s="1">
        <x:v>1.82</x:v>
      </x:c>
      <x:c r="N181" s="1">
        <x:v>799</x:v>
      </x:c>
      <x:c r="O181" s="1" t="s">
        <x:v>1059</x:v>
      </x:c>
      <x:c r="P181" s="42" t="str">
        <x:v>Lv30~40</x:v>
      </x:c>
      <x:c r="Q181" s="42" t="str">
        <x:v>I</x:v>
      </x:c>
      <x:c r="R181" s="42" t="str">
        <x:v>4</x:v>
      </x:c>
      <x:c r="S181" s="42" t="str">
        <x:v>꾸준한 육성 권장</x:v>
      </x:c>
      <x:c r="T181" s="42" t="n">
        <x:v>13</x:v>
      </x:c>
      <x:c r="U181" s="42" t="n">
        <x:v>377</x:v>
      </x:c>
      <x:c r="V181" s="42" t="n">
        <x:v>0</x:v>
      </x:c>
      <x:c r="W181" s="42" t="n">
        <x:v>0</x:v>
      </x:c>
      <x:c r="X181" s="42" t="n">
        <x:v>0</x:v>
      </x:c>
      <x:c r="Y181" s="42" t="str">
        <x:v>보스 처치 보상은 로비 보상으로 분리</x:v>
      </x:c>
    </x:row>
    <x:row r="182">
      <x:c r="A182" s="1">
        <x:v>19</x:v>
      </x:c>
      <x:c r="B182" s="1" t="s">
        <x:v>501</x:v>
      </x:c>
      <x:c r="C182" s="1" t="s">
        <x:v>361</x:v>
      </x:c>
      <x:c r="D182" s="1">
        <x:v>4</x:v>
      </x:c>
      <x:c r="E182" s="1">
        <x:v>2</x:v>
      </x:c>
      <x:c r="F182" s="1">
        <x:v>1</x:v>
      </x:c>
      <x:c r="G182" s="1" t="s">
        <x:v>1042</x:v>
      </x:c>
      <x:c r="H182" s="1">
        <x:v>22</x:v>
      </x:c>
      <x:c r="I182" s="1">
        <x:v>13</x:v>
      </x:c>
      <x:c r="J182" s="1">
        <x:v>0.96</x:v>
      </x:c>
      <x:c r="K182" s="1" t="s">
        <x:v>1129</x:v>
      </x:c>
      <x:c r="L182" s="1">
        <x:v>1.81</x:v>
      </x:c>
      <x:c r="M182" s="1">
        <x:v>1.63</x:v>
      </x:c>
      <x:c r="N182" s="1">
        <x:v>902</x:v>
      </x:c>
      <x:c r="O182" s="1" t="s">
        <x:v>1044</x:v>
      </x:c>
      <x:c r="P182" s="42" t="str">
        <x:v>Lv30~40</x:v>
      </x:c>
      <x:c r="Q182" s="42" t="str">
        <x:v>I</x:v>
      </x:c>
      <x:c r="R182" s="42" t="str">
        <x:v>4</x:v>
      </x:c>
      <x:c r="S182" s="42" t="str">
        <x:v>꾸준한 육성 권장</x:v>
      </x:c>
      <x:c r="T182" s="42" t="n">
        <x:v>13</x:v>
      </x:c>
      <x:c r="U182" s="42" t="n">
        <x:v>286</x:v>
      </x:c>
      <x:c r="V182" s="42" t="n">
        <x:v>105</x:v>
      </x:c>
      <x:c r="W182" s="42" t="n">
        <x:v>10</x:v>
      </x:c>
      <x:c r="X182" s="42" t="n">
        <x:v>32</x:v>
      </x:c>
      <x:c r="Y182" s="42" t="str"/>
    </x:row>
    <x:row r="183">
      <x:c r="A183" s="1">
        <x:v>19</x:v>
      </x:c>
      <x:c r="B183" s="1" t="s">
        <x:v>501</x:v>
      </x:c>
      <x:c r="C183" s="1" t="s">
        <x:v>361</x:v>
      </x:c>
      <x:c r="D183" s="1">
        <x:v>4</x:v>
      </x:c>
      <x:c r="E183" s="1">
        <x:v>2</x:v>
      </x:c>
      <x:c r="F183" s="1">
        <x:v>2</x:v>
      </x:c>
      <x:c r="G183" s="1" t="s">
        <x:v>1042</x:v>
      </x:c>
      <x:c r="H183" s="1">
        <x:v>24</x:v>
      </x:c>
      <x:c r="I183" s="1">
        <x:v>14</x:v>
      </x:c>
      <x:c r="J183" s="1">
        <x:v>0.92</x:v>
      </x:c>
      <x:c r="K183" s="1" t="s">
        <x:v>1139</x:v>
      </x:c>
      <x:c r="L183" s="1">
        <x:v>1.84</x:v>
      </x:c>
      <x:c r="M183" s="1">
        <x:v>1.66</x:v>
      </x:c>
      <x:c r="N183" s="1">
        <x:v>902</x:v>
      </x:c>
      <x:c r="O183" s="1" t="s">
        <x:v>1044</x:v>
      </x:c>
      <x:c r="P183" s="42" t="str">
        <x:v>Lv30~40</x:v>
      </x:c>
      <x:c r="Q183" s="42" t="str">
        <x:v>I</x:v>
      </x:c>
      <x:c r="R183" s="42" t="str">
        <x:v>4</x:v>
      </x:c>
      <x:c r="S183" s="42" t="str">
        <x:v>꾸준한 육성 권장</x:v>
      </x:c>
      <x:c r="T183" s="42" t="n">
        <x:v>13</x:v>
      </x:c>
      <x:c r="U183" s="42" t="n">
        <x:v>312</x:v>
      </x:c>
      <x:c r="V183" s="42" t="n">
        <x:v>126</x:v>
      </x:c>
      <x:c r="W183" s="42" t="n">
        <x:v>13</x:v>
      </x:c>
      <x:c r="X183" s="42" t="n">
        <x:v>38</x:v>
      </x:c>
      <x:c r="Y183" s="42" t="str"/>
    </x:row>
    <x:row r="184">
      <x:c r="A184" s="1">
        <x:v>19</x:v>
      </x:c>
      <x:c r="B184" s="1" t="s">
        <x:v>501</x:v>
      </x:c>
      <x:c r="C184" s="1" t="s">
        <x:v>361</x:v>
      </x:c>
      <x:c r="D184" s="1">
        <x:v>4</x:v>
      </x:c>
      <x:c r="E184" s="1">
        <x:v>2</x:v>
      </x:c>
      <x:c r="F184" s="1">
        <x:v>3</x:v>
      </x:c>
      <x:c r="G184" s="1" t="s">
        <x:v>1042</x:v>
      </x:c>
      <x:c r="H184" s="1">
        <x:v>26</x:v>
      </x:c>
      <x:c r="I184" s="1">
        <x:v>15</x:v>
      </x:c>
      <x:c r="J184" s="1">
        <x:v>0.89</x:v>
      </x:c>
      <x:c r="K184" s="1" t="s">
        <x:v>1132</x:v>
      </x:c>
      <x:c r="L184" s="1">
        <x:v>1.88</x:v>
      </x:c>
      <x:c r="M184" s="1">
        <x:v>1.68</x:v>
      </x:c>
      <x:c r="N184" s="1">
        <x:v>902</x:v>
      </x:c>
      <x:c r="O184" s="1" t="s">
        <x:v>1044</x:v>
      </x:c>
      <x:c r="P184" s="42" t="str">
        <x:v>Lv30~40</x:v>
      </x:c>
      <x:c r="Q184" s="42" t="str">
        <x:v>I</x:v>
      </x:c>
      <x:c r="R184" s="42" t="str">
        <x:v>4</x:v>
      </x:c>
      <x:c r="S184" s="42" t="str">
        <x:v>꾸준한 육성 권장</x:v>
      </x:c>
      <x:c r="T184" s="42" t="n">
        <x:v>13</x:v>
      </x:c>
      <x:c r="U184" s="42" t="n">
        <x:v>338</x:v>
      </x:c>
      <x:c r="V184" s="42" t="n">
        <x:v>158</x:v>
      </x:c>
      <x:c r="W184" s="42" t="n">
        <x:v>16</x:v>
      </x:c>
      <x:c r="X184" s="42" t="n">
        <x:v>47</x:v>
      </x:c>
      <x:c r="Y184" s="42" t="str"/>
    </x:row>
    <x:row r="185">
      <x:c r="A185" s="1">
        <x:v>19</x:v>
      </x:c>
      <x:c r="B185" s="1" t="s">
        <x:v>501</x:v>
      </x:c>
      <x:c r="C185" s="1" t="s">
        <x:v>361</x:v>
      </x:c>
      <x:c r="D185" s="1">
        <x:v>4</x:v>
      </x:c>
      <x:c r="E185" s="1">
        <x:v>2</x:v>
      </x:c>
      <x:c r="F185" s="1">
        <x:v>4</x:v>
      </x:c>
      <x:c r="G185" s="1" t="s">
        <x:v>1042</x:v>
      </x:c>
      <x:c r="H185" s="1">
        <x:v>28</x:v>
      </x:c>
      <x:c r="I185" s="1">
        <x:v>16</x:v>
      </x:c>
      <x:c r="J185" s="1">
        <x:v>0.85</x:v>
      </x:c>
      <x:c r="K185" s="1" t="s">
        <x:v>1129</x:v>
      </x:c>
      <x:c r="L185" s="1">
        <x:v>1.92</x:v>
      </x:c>
      <x:c r="M185" s="1">
        <x:v>1.71</x:v>
      </x:c>
      <x:c r="N185" s="1">
        <x:v>902</x:v>
      </x:c>
      <x:c r="O185" s="1" t="s">
        <x:v>1047</x:v>
      </x:c>
      <x:c r="P185" s="42" t="str">
        <x:v>Lv30~40</x:v>
      </x:c>
      <x:c r="Q185" s="42" t="str">
        <x:v>I</x:v>
      </x:c>
      <x:c r="R185" s="42" t="str">
        <x:v>4</x:v>
      </x:c>
      <x:c r="S185" s="42" t="str">
        <x:v>꾸준한 육성 권장</x:v>
      </x:c>
      <x:c r="T185" s="42" t="n">
        <x:v>13</x:v>
      </x:c>
      <x:c r="U185" s="42" t="n">
        <x:v>364</x:v>
      </x:c>
      <x:c r="V185" s="42" t="n">
        <x:v>189</x:v>
      </x:c>
      <x:c r="W185" s="42" t="n">
        <x:v>19</x:v>
      </x:c>
      <x:c r="X185" s="42" t="n">
        <x:v>57</x:v>
      </x:c>
      <x:c r="Y185" s="42" t="str"/>
    </x:row>
    <x:row r="186">
      <x:c r="A186" s="1">
        <x:v>19</x:v>
      </x:c>
      <x:c r="B186" s="1" t="s">
        <x:v>501</x:v>
      </x:c>
      <x:c r="C186" s="1" t="s">
        <x:v>361</x:v>
      </x:c>
      <x:c r="D186" s="1">
        <x:v>4</x:v>
      </x:c>
      <x:c r="E186" s="1">
        <x:v>2</x:v>
      </x:c>
      <x:c r="F186" s="1">
        <x:v>5</x:v>
      </x:c>
      <x:c r="G186" s="1" t="s">
        <x:v>1048</x:v>
      </x:c>
      <x:c r="H186" s="1">
        <x:v>22</x:v>
      </x:c>
      <x:c r="I186" s="1">
        <x:v>17</x:v>
      </x:c>
      <x:c r="J186" s="1">
        <x:v>0.82</x:v>
      </x:c>
      <x:c r="K186" s="1" t="s">
        <x:v>1141</x:v>
      </x:c>
      <x:c r="L186" s="1">
        <x:v>1.95</x:v>
      </x:c>
      <x:c r="M186" s="1">
        <x:v>1.73</x:v>
      </x:c>
      <x:c r="N186" s="1">
        <x:v>902</x:v>
      </x:c>
      <x:c r="O186" s="1" t="s">
        <x:v>1050</x:v>
      </x:c>
      <x:c r="P186" s="42" t="str">
        <x:v>Lv30~40</x:v>
      </x:c>
      <x:c r="Q186" s="42" t="str">
        <x:v>I</x:v>
      </x:c>
      <x:c r="R186" s="42" t="str">
        <x:v>4</x:v>
      </x:c>
      <x:c r="S186" s="42" t="str">
        <x:v>꾸준한 육성 권장</x:v>
      </x:c>
      <x:c r="T186" s="42" t="n">
        <x:v>13</x:v>
      </x:c>
      <x:c r="U186" s="42" t="n">
        <x:v>502</x:v>
      </x:c>
      <x:c r="V186" s="42" t="n">
        <x:v>315</x:v>
      </x:c>
      <x:c r="W186" s="42" t="n">
        <x:v>32</x:v>
      </x:c>
      <x:c r="X186" s="42" t="n">
        <x:v>94</x:v>
      </x:c>
      <x:c r="Y186" s="42" t="str">
        <x:v>중간보스 현상금 포함</x:v>
      </x:c>
    </x:row>
    <x:row r="187">
      <x:c r="A187" s="1">
        <x:v>19</x:v>
      </x:c>
      <x:c r="B187" s="1" t="s">
        <x:v>501</x:v>
      </x:c>
      <x:c r="C187" s="1" t="s">
        <x:v>361</x:v>
      </x:c>
      <x:c r="D187" s="1">
        <x:v>4</x:v>
      </x:c>
      <x:c r="E187" s="1">
        <x:v>2</x:v>
      </x:c>
      <x:c r="F187" s="1">
        <x:v>6</x:v>
      </x:c>
      <x:c r="G187" s="1" t="s">
        <x:v>1042</x:v>
      </x:c>
      <x:c r="H187" s="1">
        <x:v>32</x:v>
      </x:c>
      <x:c r="I187" s="1">
        <x:v>19</x:v>
      </x:c>
      <x:c r="J187" s="1">
        <x:v>0.78</x:v>
      </x:c>
      <x:c r="K187" s="1" t="s">
        <x:v>1132</x:v>
      </x:c>
      <x:c r="L187" s="1">
        <x:v>1.99</x:v>
      </x:c>
      <x:c r="M187" s="1">
        <x:v>1.76</x:v>
      </x:c>
      <x:c r="N187" s="1">
        <x:v>902</x:v>
      </x:c>
      <x:c r="O187" s="1" t="s">
        <x:v>1052</x:v>
      </x:c>
      <x:c r="P187" s="42" t="str">
        <x:v>Lv30~40</x:v>
      </x:c>
      <x:c r="Q187" s="42" t="str">
        <x:v>I</x:v>
      </x:c>
      <x:c r="R187" s="42" t="str">
        <x:v>4</x:v>
      </x:c>
      <x:c r="S187" s="42" t="str">
        <x:v>꾸준한 육성 권장</x:v>
      </x:c>
      <x:c r="T187" s="42" t="n">
        <x:v>13</x:v>
      </x:c>
      <x:c r="U187" s="42" t="n">
        <x:v>416</x:v>
      </x:c>
      <x:c r="V187" s="42" t="n">
        <x:v>231</x:v>
      </x:c>
      <x:c r="W187" s="42" t="n">
        <x:v>23</x:v>
      </x:c>
      <x:c r="X187" s="42" t="n">
        <x:v>69</x:v>
      </x:c>
      <x:c r="Y187" s="42" t="str"/>
    </x:row>
    <x:row r="188">
      <x:c r="A188" s="1">
        <x:v>19</x:v>
      </x:c>
      <x:c r="B188" s="1" t="s">
        <x:v>501</x:v>
      </x:c>
      <x:c r="C188" s="1" t="s">
        <x:v>361</x:v>
      </x:c>
      <x:c r="D188" s="1">
        <x:v>4</x:v>
      </x:c>
      <x:c r="E188" s="1">
        <x:v>2</x:v>
      </x:c>
      <x:c r="F188" s="1">
        <x:v>7</x:v>
      </x:c>
      <x:c r="G188" s="1" t="s">
        <x:v>1042</x:v>
      </x:c>
      <x:c r="H188" s="1">
        <x:v>34</x:v>
      </x:c>
      <x:c r="I188" s="1">
        <x:v>20</x:v>
      </x:c>
      <x:c r="J188" s="1">
        <x:v>0.75</x:v>
      </x:c>
      <x:c r="K188" s="1" t="s">
        <x:v>1129</x:v>
      </x:c>
      <x:c r="L188" s="1">
        <x:v>2.02</x:v>
      </x:c>
      <x:c r="M188" s="1">
        <x:v>1.78</x:v>
      </x:c>
      <x:c r="N188" s="1">
        <x:v>902</x:v>
      </x:c>
      <x:c r="O188" s="1" t="s">
        <x:v>1052</x:v>
      </x:c>
      <x:c r="P188" s="42" t="str">
        <x:v>Lv30~40</x:v>
      </x:c>
      <x:c r="Q188" s="42" t="str">
        <x:v>I</x:v>
      </x:c>
      <x:c r="R188" s="42" t="str">
        <x:v>4</x:v>
      </x:c>
      <x:c r="S188" s="42" t="str">
        <x:v>꾸준한 육성 권장</x:v>
      </x:c>
      <x:c r="T188" s="42" t="n">
        <x:v>13</x:v>
      </x:c>
      <x:c r="U188" s="42" t="n">
        <x:v>442</x:v>
      </x:c>
      <x:c r="V188" s="42" t="n">
        <x:v>315</x:v>
      </x:c>
      <x:c r="W188" s="42" t="n">
        <x:v>32</x:v>
      </x:c>
      <x:c r="X188" s="42" t="n">
        <x:v>94</x:v>
      </x:c>
      <x:c r="Y188" s="42" t="str"/>
    </x:row>
    <x:row r="189">
      <x:c r="A189" s="1">
        <x:v>19</x:v>
      </x:c>
      <x:c r="B189" s="1" t="s">
        <x:v>501</x:v>
      </x:c>
      <x:c r="C189" s="1" t="s">
        <x:v>361</x:v>
      </x:c>
      <x:c r="D189" s="1">
        <x:v>4</x:v>
      </x:c>
      <x:c r="E189" s="1">
        <x:v>2</x:v>
      </x:c>
      <x:c r="F189" s="1">
        <x:v>8</x:v>
      </x:c>
      <x:c r="G189" s="1" t="s">
        <x:v>1042</x:v>
      </x:c>
      <x:c r="H189" s="1">
        <x:v>36</x:v>
      </x:c>
      <x:c r="I189" s="1">
        <x:v>21</x:v>
      </x:c>
      <x:c r="J189" s="1">
        <x:v>0.71</x:v>
      </x:c>
      <x:c r="K189" s="1" t="s">
        <x:v>1139</x:v>
      </x:c>
      <x:c r="L189" s="1">
        <x:v>2.06</x:v>
      </x:c>
      <x:c r="M189" s="1">
        <x:v>1.81</x:v>
      </x:c>
      <x:c r="N189" s="1">
        <x:v>902</x:v>
      </x:c>
      <x:c r="O189" s="1" t="s">
        <x:v>1052</x:v>
      </x:c>
      <x:c r="P189" s="42" t="str">
        <x:v>Lv30~40</x:v>
      </x:c>
      <x:c r="Q189" s="42" t="str">
        <x:v>I</x:v>
      </x:c>
      <x:c r="R189" s="42" t="str">
        <x:v>4</x:v>
      </x:c>
      <x:c r="S189" s="42" t="str">
        <x:v>꾸준한 육성 권장</x:v>
      </x:c>
      <x:c r="T189" s="42" t="n">
        <x:v>13</x:v>
      </x:c>
      <x:c r="U189" s="42" t="n">
        <x:v>468</x:v>
      </x:c>
      <x:c r="V189" s="42" t="n">
        <x:v>420</x:v>
      </x:c>
      <x:c r="W189" s="42" t="n">
        <x:v>42</x:v>
      </x:c>
      <x:c r="X189" s="42" t="n">
        <x:v>126</x:v>
      </x:c>
      <x:c r="Y189" s="42" t="str"/>
    </x:row>
    <x:row r="190">
      <x:c r="A190" s="1">
        <x:v>19</x:v>
      </x:c>
      <x:c r="B190" s="1" t="s">
        <x:v>501</x:v>
      </x:c>
      <x:c r="C190" s="1" t="s">
        <x:v>361</x:v>
      </x:c>
      <x:c r="D190" s="1">
        <x:v>4</x:v>
      </x:c>
      <x:c r="E190" s="1">
        <x:v>2</x:v>
      </x:c>
      <x:c r="F190" s="1">
        <x:v>9</x:v>
      </x:c>
      <x:c r="G190" s="1" t="s">
        <x:v>1042</x:v>
      </x:c>
      <x:c r="H190" s="1">
        <x:v>38</x:v>
      </x:c>
      <x:c r="I190" s="1">
        <x:v>22</x:v>
      </x:c>
      <x:c r="J190" s="1">
        <x:v>0.68</x:v>
      </x:c>
      <x:c r="K190" s="1" t="s">
        <x:v>1132</x:v>
      </x:c>
      <x:c r="L190" s="1">
        <x:v>2.09</x:v>
      </x:c>
      <x:c r="M190" s="1">
        <x:v>1.83</x:v>
      </x:c>
      <x:c r="N190" s="1">
        <x:v>902</x:v>
      </x:c>
      <x:c r="O190" s="1" t="s">
        <x:v>1056</x:v>
      </x:c>
      <x:c r="P190" s="42" t="str">
        <x:v>Lv30~40</x:v>
      </x:c>
      <x:c r="Q190" s="42" t="str">
        <x:v>I</x:v>
      </x:c>
      <x:c r="R190" s="42" t="str">
        <x:v>4</x:v>
      </x:c>
      <x:c r="S190" s="42" t="str">
        <x:v>꾸준한 육성 권장</x:v>
      </x:c>
      <x:c r="T190" s="42" t="n">
        <x:v>13</x:v>
      </x:c>
      <x:c r="U190" s="42" t="n">
        <x:v>494</x:v>
      </x:c>
      <x:c r="V190" s="42" t="n">
        <x:v>525</x:v>
      </x:c>
      <x:c r="W190" s="42" t="n">
        <x:v>52</x:v>
      </x:c>
      <x:c r="X190" s="42" t="n">
        <x:v>158</x:v>
      </x:c>
      <x:c r="Y190" s="42" t="str"/>
    </x:row>
    <x:row r="191">
      <x:c r="A191" s="1">
        <x:v>19</x:v>
      </x:c>
      <x:c r="B191" s="1" t="s">
        <x:v>501</x:v>
      </x:c>
      <x:c r="C191" s="1" t="s">
        <x:v>361</x:v>
      </x:c>
      <x:c r="D191" s="1">
        <x:v>4</x:v>
      </x:c>
      <x:c r="E191" s="1">
        <x:v>2</x:v>
      </x:c>
      <x:c r="F191" s="1">
        <x:v>10</x:v>
      </x:c>
      <x:c r="G191" s="1" t="s">
        <x:v>1057</x:v>
      </x:c>
      <x:c r="H191" s="1">
        <x:v>30</x:v>
      </x:c>
      <x:c r="I191" s="1">
        <x:v>23</x:v>
      </x:c>
      <x:c r="J191" s="1">
        <x:v>0.64</x:v>
      </x:c>
      <x:c r="K191" s="1" t="s">
        <x:v>1144</x:v>
      </x:c>
      <x:c r="L191" s="1">
        <x:v>2.12</x:v>
      </x:c>
      <x:c r="M191" s="1">
        <x:v>1.86</x:v>
      </x:c>
      <x:c r="N191" s="1">
        <x:v>902</x:v>
      </x:c>
      <x:c r="O191" s="1" t="s">
        <x:v>1059</x:v>
      </x:c>
      <x:c r="P191" s="42" t="str">
        <x:v>Lv30~40</x:v>
      </x:c>
      <x:c r="Q191" s="42" t="str">
        <x:v>I</x:v>
      </x:c>
      <x:c r="R191" s="42" t="str">
        <x:v>4</x:v>
      </x:c>
      <x:c r="S191" s="42" t="str">
        <x:v>꾸준한 육성 권장</x:v>
      </x:c>
      <x:c r="T191" s="42" t="n">
        <x:v>13</x:v>
      </x:c>
      <x:c r="U191" s="42" t="n">
        <x:v>377</x:v>
      </x:c>
      <x:c r="V191" s="42" t="n">
        <x:v>0</x:v>
      </x:c>
      <x:c r="W191" s="42" t="n">
        <x:v>0</x:v>
      </x:c>
      <x:c r="X191" s="42" t="n">
        <x:v>0</x:v>
      </x:c>
      <x:c r="Y191" s="42" t="str">
        <x:v>보스 처치 보상은 로비 보상으로 분리</x:v>
      </x:c>
    </x:row>
    <x:row r="192">
      <x:c r="A192" s="1">
        <x:v>20</x:v>
      </x:c>
      <x:c r="B192" s="1" t="s">
        <x:v>501</x:v>
      </x:c>
      <x:c r="C192" s="1" t="s">
        <x:v>361</x:v>
      </x:c>
      <x:c r="D192" s="1">
        <x:v>5</x:v>
      </x:c>
      <x:c r="E192" s="1">
        <x:v>3</x:v>
      </x:c>
      <x:c r="F192" s="1">
        <x:v>1</x:v>
      </x:c>
      <x:c r="G192" s="1" t="s">
        <x:v>1042</x:v>
      </x:c>
      <x:c r="H192" s="1">
        <x:v>24</x:v>
      </x:c>
      <x:c r="I192" s="1">
        <x:v>14</x:v>
      </x:c>
      <x:c r="J192" s="1">
        <x:v>0.94</x:v>
      </x:c>
      <x:c r="K192" s="1" t="s">
        <x:v>1126</x:v>
      </x:c>
      <x:c r="L192" s="1">
        <x:v>1.85</x:v>
      </x:c>
      <x:c r="M192" s="1">
        <x:v>1.67</x:v>
      </x:c>
      <x:c r="N192" s="1">
        <x:v>1020</x:v>
      </x:c>
      <x:c r="O192" s="1" t="s">
        <x:v>1044</x:v>
      </x:c>
      <x:c r="P192" s="42" t="str">
        <x:v>Lv30~40</x:v>
      </x:c>
      <x:c r="Q192" s="42" t="str">
        <x:v>I</x:v>
      </x:c>
      <x:c r="R192" s="42" t="str">
        <x:v>4</x:v>
      </x:c>
      <x:c r="S192" s="42" t="str">
        <x:v>꾸준한 육성 권장</x:v>
      </x:c>
      <x:c r="T192" s="42" t="n">
        <x:v>13</x:v>
      </x:c>
      <x:c r="U192" s="42" t="n">
        <x:v>312</x:v>
      </x:c>
      <x:c r="V192" s="42" t="n">
        <x:v>105</x:v>
      </x:c>
      <x:c r="W192" s="42" t="n">
        <x:v>10</x:v>
      </x:c>
      <x:c r="X192" s="42" t="n">
        <x:v>32</x:v>
      </x:c>
      <x:c r="Y192" s="42" t="str"/>
    </x:row>
    <x:row r="193">
      <x:c r="A193" s="1">
        <x:v>20</x:v>
      </x:c>
      <x:c r="B193" s="1" t="s">
        <x:v>501</x:v>
      </x:c>
      <x:c r="C193" s="1" t="s">
        <x:v>361</x:v>
      </x:c>
      <x:c r="D193" s="1">
        <x:v>5</x:v>
      </x:c>
      <x:c r="E193" s="1">
        <x:v>3</x:v>
      </x:c>
      <x:c r="F193" s="1">
        <x:v>2</x:v>
      </x:c>
      <x:c r="G193" s="1" t="s">
        <x:v>1042</x:v>
      </x:c>
      <x:c r="H193" s="1">
        <x:v>26</x:v>
      </x:c>
      <x:c r="I193" s="1">
        <x:v>15</x:v>
      </x:c>
      <x:c r="J193" s="1">
        <x:v>0.91</x:v>
      </x:c>
      <x:c r="K193" s="1" t="s">
        <x:v>1132</x:v>
      </x:c>
      <x:c r="L193" s="1">
        <x:v>1.89</x:v>
      </x:c>
      <x:c r="M193" s="1">
        <x:v>1.69</x:v>
      </x:c>
      <x:c r="N193" s="1">
        <x:v>1020</x:v>
      </x:c>
      <x:c r="O193" s="1" t="s">
        <x:v>1044</x:v>
      </x:c>
      <x:c r="P193" s="42" t="str">
        <x:v>Lv30~40</x:v>
      </x:c>
      <x:c r="Q193" s="42" t="str">
        <x:v>I</x:v>
      </x:c>
      <x:c r="R193" s="42" t="str">
        <x:v>4</x:v>
      </x:c>
      <x:c r="S193" s="42" t="str">
        <x:v>꾸준한 육성 권장</x:v>
      </x:c>
      <x:c r="T193" s="42" t="n">
        <x:v>13</x:v>
      </x:c>
      <x:c r="U193" s="42" t="n">
        <x:v>338</x:v>
      </x:c>
      <x:c r="V193" s="42" t="n">
        <x:v>126</x:v>
      </x:c>
      <x:c r="W193" s="42" t="n">
        <x:v>13</x:v>
      </x:c>
      <x:c r="X193" s="42" t="n">
        <x:v>38</x:v>
      </x:c>
      <x:c r="Y193" s="42" t="str"/>
    </x:row>
    <x:row r="194">
      <x:c r="A194" s="1">
        <x:v>20</x:v>
      </x:c>
      <x:c r="B194" s="1" t="s">
        <x:v>501</x:v>
      </x:c>
      <x:c r="C194" s="1" t="s">
        <x:v>361</x:v>
      </x:c>
      <x:c r="D194" s="1">
        <x:v>5</x:v>
      </x:c>
      <x:c r="E194" s="1">
        <x:v>3</x:v>
      </x:c>
      <x:c r="F194" s="1">
        <x:v>3</x:v>
      </x:c>
      <x:c r="G194" s="1" t="s">
        <x:v>1042</x:v>
      </x:c>
      <x:c r="H194" s="1">
        <x:v>28</x:v>
      </x:c>
      <x:c r="I194" s="1">
        <x:v>16</x:v>
      </x:c>
      <x:c r="J194" s="1">
        <x:v>0.88</x:v>
      </x:c>
      <x:c r="K194" s="1" t="s">
        <x:v>1145</x:v>
      </x:c>
      <x:c r="L194" s="1">
        <x:v>1.93</x:v>
      </x:c>
      <x:c r="M194" s="1">
        <x:v>1.72</x:v>
      </x:c>
      <x:c r="N194" s="1">
        <x:v>1020</x:v>
      </x:c>
      <x:c r="O194" s="1" t="s">
        <x:v>1044</x:v>
      </x:c>
      <x:c r="P194" s="42" t="str">
        <x:v>Lv30~40</x:v>
      </x:c>
      <x:c r="Q194" s="42" t="str">
        <x:v>I</x:v>
      </x:c>
      <x:c r="R194" s="42" t="str">
        <x:v>4</x:v>
      </x:c>
      <x:c r="S194" s="42" t="str">
        <x:v>꾸준한 육성 권장</x:v>
      </x:c>
      <x:c r="T194" s="42" t="n">
        <x:v>13</x:v>
      </x:c>
      <x:c r="U194" s="42" t="n">
        <x:v>364</x:v>
      </x:c>
      <x:c r="V194" s="42" t="n">
        <x:v>158</x:v>
      </x:c>
      <x:c r="W194" s="42" t="n">
        <x:v>16</x:v>
      </x:c>
      <x:c r="X194" s="42" t="n">
        <x:v>47</x:v>
      </x:c>
      <x:c r="Y194" s="42" t="str"/>
    </x:row>
    <x:row r="195">
      <x:c r="A195" s="1">
        <x:v>20</x:v>
      </x:c>
      <x:c r="B195" s="1" t="s">
        <x:v>501</x:v>
      </x:c>
      <x:c r="C195" s="1" t="s">
        <x:v>361</x:v>
      </x:c>
      <x:c r="D195" s="1">
        <x:v>5</x:v>
      </x:c>
      <x:c r="E195" s="1">
        <x:v>3</x:v>
      </x:c>
      <x:c r="F195" s="1">
        <x:v>4</x:v>
      </x:c>
      <x:c r="G195" s="1" t="s">
        <x:v>1042</x:v>
      </x:c>
      <x:c r="H195" s="1">
        <x:v>30</x:v>
      </x:c>
      <x:c r="I195" s="1">
        <x:v>17</x:v>
      </x:c>
      <x:c r="J195" s="1">
        <x:v>0.84</x:v>
      </x:c>
      <x:c r="K195" s="1" t="s">
        <x:v>1126</x:v>
      </x:c>
      <x:c r="L195" s="1">
        <x:v>1.96</x:v>
      </x:c>
      <x:c r="M195" s="1">
        <x:v>1.74</x:v>
      </x:c>
      <x:c r="N195" s="1">
        <x:v>1020</x:v>
      </x:c>
      <x:c r="O195" s="1" t="s">
        <x:v>1047</x:v>
      </x:c>
      <x:c r="P195" s="42" t="str">
        <x:v>Lv30~40</x:v>
      </x:c>
      <x:c r="Q195" s="42" t="str">
        <x:v>I</x:v>
      </x:c>
      <x:c r="R195" s="42" t="str">
        <x:v>4</x:v>
      </x:c>
      <x:c r="S195" s="42" t="str">
        <x:v>꾸준한 육성 권장</x:v>
      </x:c>
      <x:c r="T195" s="42" t="n">
        <x:v>13</x:v>
      </x:c>
      <x:c r="U195" s="42" t="n">
        <x:v>390</x:v>
      </x:c>
      <x:c r="V195" s="42" t="n">
        <x:v>189</x:v>
      </x:c>
      <x:c r="W195" s="42" t="n">
        <x:v>19</x:v>
      </x:c>
      <x:c r="X195" s="42" t="n">
        <x:v>57</x:v>
      </x:c>
      <x:c r="Y195" s="42" t="str"/>
    </x:row>
    <x:row r="196">
      <x:c r="A196" s="1">
        <x:v>20</x:v>
      </x:c>
      <x:c r="B196" s="1" t="s">
        <x:v>501</x:v>
      </x:c>
      <x:c r="C196" s="1" t="s">
        <x:v>361</x:v>
      </x:c>
      <x:c r="D196" s="1">
        <x:v>5</x:v>
      </x:c>
      <x:c r="E196" s="1">
        <x:v>3</x:v>
      </x:c>
      <x:c r="F196" s="1">
        <x:v>5</x:v>
      </x:c>
      <x:c r="G196" s="1" t="s">
        <x:v>1048</x:v>
      </x:c>
      <x:c r="H196" s="1">
        <x:v>24</x:v>
      </x:c>
      <x:c r="I196" s="1">
        <x:v>19</x:v>
      </x:c>
      <x:c r="J196" s="1">
        <x:v>0.8</x:v>
      </x:c>
      <x:c r="K196" s="1" t="s">
        <x:v>1146</x:v>
      </x:c>
      <x:c r="L196" s="1">
        <x:v>2</x:v>
      </x:c>
      <x:c r="M196" s="1">
        <x:v>1.77</x:v>
      </x:c>
      <x:c r="N196" s="1">
        <x:v>1020</x:v>
      </x:c>
      <x:c r="O196" s="1" t="s">
        <x:v>1050</x:v>
      </x:c>
      <x:c r="P196" s="42" t="str">
        <x:v>Lv30~40</x:v>
      </x:c>
      <x:c r="Q196" s="42" t="str">
        <x:v>I</x:v>
      </x:c>
      <x:c r="R196" s="42" t="str">
        <x:v>4</x:v>
      </x:c>
      <x:c r="S196" s="42" t="str">
        <x:v>꾸준한 육성 권장</x:v>
      </x:c>
      <x:c r="T196" s="42" t="n">
        <x:v>13</x:v>
      </x:c>
      <x:c r="U196" s="42" t="n">
        <x:v>530</x:v>
      </x:c>
      <x:c r="V196" s="42" t="n">
        <x:v>315</x:v>
      </x:c>
      <x:c r="W196" s="42" t="n">
        <x:v>32</x:v>
      </x:c>
      <x:c r="X196" s="42" t="n">
        <x:v>94</x:v>
      </x:c>
      <x:c r="Y196" s="42" t="str">
        <x:v>중간보스 현상금 포함</x:v>
      </x:c>
    </x:row>
    <x:row r="197">
      <x:c r="A197" s="1">
        <x:v>20</x:v>
      </x:c>
      <x:c r="B197" s="1" t="s">
        <x:v>501</x:v>
      </x:c>
      <x:c r="C197" s="1" t="s">
        <x:v>361</x:v>
      </x:c>
      <x:c r="D197" s="1">
        <x:v>5</x:v>
      </x:c>
      <x:c r="E197" s="1">
        <x:v>3</x:v>
      </x:c>
      <x:c r="F197" s="1">
        <x:v>6</x:v>
      </x:c>
      <x:c r="G197" s="1" t="s">
        <x:v>1042</x:v>
      </x:c>
      <x:c r="H197" s="1">
        <x:v>34</x:v>
      </x:c>
      <x:c r="I197" s="1">
        <x:v>20</x:v>
      </x:c>
      <x:c r="J197" s="1">
        <x:v>0.77</x:v>
      </x:c>
      <x:c r="K197" s="1" t="s">
        <x:v>1147</x:v>
      </x:c>
      <x:c r="L197" s="1">
        <x:v>2.0299999999999998</x:v>
      </x:c>
      <x:c r="M197" s="1">
        <x:v>1.79</x:v>
      </x:c>
      <x:c r="N197" s="1">
        <x:v>1020</x:v>
      </x:c>
      <x:c r="O197" s="1" t="s">
        <x:v>1052</x:v>
      </x:c>
      <x:c r="P197" s="42" t="str">
        <x:v>Lv30~40</x:v>
      </x:c>
      <x:c r="Q197" s="42" t="str">
        <x:v>I</x:v>
      </x:c>
      <x:c r="R197" s="42" t="str">
        <x:v>4</x:v>
      </x:c>
      <x:c r="S197" s="42" t="str">
        <x:v>꾸준한 육성 권장</x:v>
      </x:c>
      <x:c r="T197" s="42" t="n">
        <x:v>13</x:v>
      </x:c>
      <x:c r="U197" s="42" t="n">
        <x:v>442</x:v>
      </x:c>
      <x:c r="V197" s="42" t="n">
        <x:v>231</x:v>
      </x:c>
      <x:c r="W197" s="42" t="n">
        <x:v>23</x:v>
      </x:c>
      <x:c r="X197" s="42" t="n">
        <x:v>69</x:v>
      </x:c>
      <x:c r="Y197" s="42" t="str"/>
    </x:row>
    <x:row r="198">
      <x:c r="A198" s="1">
        <x:v>20</x:v>
      </x:c>
      <x:c r="B198" s="1" t="s">
        <x:v>501</x:v>
      </x:c>
      <x:c r="C198" s="1" t="s">
        <x:v>361</x:v>
      </x:c>
      <x:c r="D198" s="1">
        <x:v>5</x:v>
      </x:c>
      <x:c r="E198" s="1">
        <x:v>3</x:v>
      </x:c>
      <x:c r="F198" s="1">
        <x:v>7</x:v>
      </x:c>
      <x:c r="G198" s="1" t="s">
        <x:v>1042</x:v>
      </x:c>
      <x:c r="H198" s="1">
        <x:v>36</x:v>
      </x:c>
      <x:c r="I198" s="1">
        <x:v>21</x:v>
      </x:c>
      <x:c r="J198" s="1">
        <x:v>0.73</x:v>
      </x:c>
      <x:c r="K198" s="1" t="s">
        <x:v>1126</x:v>
      </x:c>
      <x:c r="L198" s="1">
        <x:v>2.06</x:v>
      </x:c>
      <x:c r="M198" s="1">
        <x:v>1.81</x:v>
      </x:c>
      <x:c r="N198" s="1">
        <x:v>1020</x:v>
      </x:c>
      <x:c r="O198" s="1" t="s">
        <x:v>1052</x:v>
      </x:c>
      <x:c r="P198" s="42" t="str">
        <x:v>Lv30~40</x:v>
      </x:c>
      <x:c r="Q198" s="42" t="str">
        <x:v>I</x:v>
      </x:c>
      <x:c r="R198" s="42" t="str">
        <x:v>4</x:v>
      </x:c>
      <x:c r="S198" s="42" t="str">
        <x:v>꾸준한 육성 권장</x:v>
      </x:c>
      <x:c r="T198" s="42" t="n">
        <x:v>13</x:v>
      </x:c>
      <x:c r="U198" s="42" t="n">
        <x:v>468</x:v>
      </x:c>
      <x:c r="V198" s="42" t="n">
        <x:v>315</x:v>
      </x:c>
      <x:c r="W198" s="42" t="n">
        <x:v>32</x:v>
      </x:c>
      <x:c r="X198" s="42" t="n">
        <x:v>94</x:v>
      </x:c>
      <x:c r="Y198" s="42" t="str"/>
    </x:row>
    <x:row r="199">
      <x:c r="A199" s="1">
        <x:v>20</x:v>
      </x:c>
      <x:c r="B199" s="1" t="s">
        <x:v>501</x:v>
      </x:c>
      <x:c r="C199" s="1" t="s">
        <x:v>361</x:v>
      </x:c>
      <x:c r="D199" s="1">
        <x:v>5</x:v>
      </x:c>
      <x:c r="E199" s="1">
        <x:v>3</x:v>
      </x:c>
      <x:c r="F199" s="1">
        <x:v>8</x:v>
      </x:c>
      <x:c r="G199" s="1" t="s">
        <x:v>1042</x:v>
      </x:c>
      <x:c r="H199" s="1">
        <x:v>38</x:v>
      </x:c>
      <x:c r="I199" s="1">
        <x:v>22</x:v>
      </x:c>
      <x:c r="J199" s="1">
        <x:v>0.7</x:v>
      </x:c>
      <x:c r="K199" s="1" t="s">
        <x:v>1132</x:v>
      </x:c>
      <x:c r="L199" s="1">
        <x:v>2.1</x:v>
      </x:c>
      <x:c r="M199" s="1">
        <x:v>1.84</x:v>
      </x:c>
      <x:c r="N199" s="1">
        <x:v>1020</x:v>
      </x:c>
      <x:c r="O199" s="1" t="s">
        <x:v>1052</x:v>
      </x:c>
      <x:c r="P199" s="42" t="str">
        <x:v>Lv30~40</x:v>
      </x:c>
      <x:c r="Q199" s="42" t="str">
        <x:v>I</x:v>
      </x:c>
      <x:c r="R199" s="42" t="str">
        <x:v>4</x:v>
      </x:c>
      <x:c r="S199" s="42" t="str">
        <x:v>꾸준한 육성 권장</x:v>
      </x:c>
      <x:c r="T199" s="42" t="n">
        <x:v>13</x:v>
      </x:c>
      <x:c r="U199" s="42" t="n">
        <x:v>494</x:v>
      </x:c>
      <x:c r="V199" s="42" t="n">
        <x:v>420</x:v>
      </x:c>
      <x:c r="W199" s="42" t="n">
        <x:v>42</x:v>
      </x:c>
      <x:c r="X199" s="42" t="n">
        <x:v>126</x:v>
      </x:c>
      <x:c r="Y199" s="42" t="str"/>
    </x:row>
    <x:row r="200">
      <x:c r="A200" s="1">
        <x:v>20</x:v>
      </x:c>
      <x:c r="B200" s="1" t="s">
        <x:v>501</x:v>
      </x:c>
      <x:c r="C200" s="1" t="s">
        <x:v>361</x:v>
      </x:c>
      <x:c r="D200" s="1">
        <x:v>5</x:v>
      </x:c>
      <x:c r="E200" s="1">
        <x:v>3</x:v>
      </x:c>
      <x:c r="F200" s="1">
        <x:v>9</x:v>
      </x:c>
      <x:c r="G200" s="1" t="s">
        <x:v>1042</x:v>
      </x:c>
      <x:c r="H200" s="1">
        <x:v>40</x:v>
      </x:c>
      <x:c r="I200" s="1">
        <x:v>23</x:v>
      </x:c>
      <x:c r="J200" s="1">
        <x:v>0.66</x:v>
      </x:c>
      <x:c r="K200" s="1" t="s">
        <x:v>1148</x:v>
      </x:c>
      <x:c r="L200" s="1">
        <x:v>2.13</x:v>
      </x:c>
      <x:c r="M200" s="1">
        <x:v>1.86</x:v>
      </x:c>
      <x:c r="N200" s="1">
        <x:v>1020</x:v>
      </x:c>
      <x:c r="O200" s="1" t="s">
        <x:v>1056</x:v>
      </x:c>
      <x:c r="P200" s="42" t="str">
        <x:v>Lv30~40</x:v>
      </x:c>
      <x:c r="Q200" s="42" t="str">
        <x:v>I</x:v>
      </x:c>
      <x:c r="R200" s="42" t="str">
        <x:v>4</x:v>
      </x:c>
      <x:c r="S200" s="42" t="str">
        <x:v>꾸준한 육성 권장</x:v>
      </x:c>
      <x:c r="T200" s="42" t="n">
        <x:v>13</x:v>
      </x:c>
      <x:c r="U200" s="42" t="n">
        <x:v>520</x:v>
      </x:c>
      <x:c r="V200" s="42" t="n">
        <x:v>525</x:v>
      </x:c>
      <x:c r="W200" s="42" t="n">
        <x:v>52</x:v>
      </x:c>
      <x:c r="X200" s="42" t="n">
        <x:v>158</x:v>
      </x:c>
      <x:c r="Y200" s="42" t="str"/>
    </x:row>
    <x:row r="201">
      <x:c r="A201" s="1">
        <x:v>20</x:v>
      </x:c>
      <x:c r="B201" s="1" t="s">
        <x:v>501</x:v>
      </x:c>
      <x:c r="C201" s="1" t="s">
        <x:v>361</x:v>
      </x:c>
      <x:c r="D201" s="1">
        <x:v>5</x:v>
      </x:c>
      <x:c r="E201" s="1">
        <x:v>3</x:v>
      </x:c>
      <x:c r="F201" s="1">
        <x:v>10</x:v>
      </x:c>
      <x:c r="G201" s="1" t="s">
        <x:v>1057</x:v>
      </x:c>
      <x:c r="H201" s="1">
        <x:v>32</x:v>
      </x:c>
      <x:c r="I201" s="1">
        <x:v>24</x:v>
      </x:c>
      <x:c r="J201" s="1">
        <x:v>0.63</x:v>
      </x:c>
      <x:c r="K201" s="1" t="s">
        <x:v>1149</x:v>
      </x:c>
      <x:c r="L201" s="1">
        <x:v>2.17</x:v>
      </x:c>
      <x:c r="M201" s="1">
        <x:v>1.89</x:v>
      </x:c>
      <x:c r="N201" s="1">
        <x:v>1020</x:v>
      </x:c>
      <x:c r="O201" s="1" t="s">
        <x:v>1059</x:v>
      </x:c>
      <x:c r="P201" s="42" t="str">
        <x:v>Lv30~40</x:v>
      </x:c>
      <x:c r="Q201" s="42" t="str">
        <x:v>I</x:v>
      </x:c>
      <x:c r="R201" s="42" t="str">
        <x:v>4</x:v>
      </x:c>
      <x:c r="S201" s="42" t="str">
        <x:v>꾸준한 육성 권장</x:v>
      </x:c>
      <x:c r="T201" s="42" t="n">
        <x:v>13</x:v>
      </x:c>
      <x:c r="U201" s="42" t="n">
        <x:v>403</x:v>
      </x:c>
      <x:c r="V201" s="42" t="n">
        <x:v>0</x:v>
      </x:c>
      <x:c r="W201" s="42" t="n">
        <x:v>0</x:v>
      </x:c>
      <x:c r="X201" s="42" t="n">
        <x:v>0</x:v>
      </x:c>
      <x:c r="Y201" s="42" t="str">
        <x:v>보스 처치 보상은 로비 보상으로 분리</x:v>
      </x:c>
    </x:row>
    <x:row r="202">
      <x:c r="A202" s="1">
        <x:v>21</x:v>
      </x:c>
      <x:c r="B202" s="1" t="s">
        <x:v>501</x:v>
      </x:c>
      <x:c r="C202" s="1" t="s">
        <x:v>403</x:v>
      </x:c>
      <x:c r="D202" s="1">
        <x:v>1</x:v>
      </x:c>
      <x:c r="E202" s="1">
        <x:v>2</x:v>
      </x:c>
      <x:c r="F202" s="1">
        <x:v>1</x:v>
      </x:c>
      <x:c r="G202" s="1" t="s">
        <x:v>1042</x:v>
      </x:c>
      <x:c r="H202" s="1">
        <x:v>24</x:v>
      </x:c>
      <x:c r="I202" s="1">
        <x:v>14</x:v>
      </x:c>
      <x:c r="J202" s="1">
        <x:v>0.93</x:v>
      </x:c>
      <x:c r="K202" s="1" t="s">
        <x:v>1150</x:v>
      </x:c>
      <x:c r="L202" s="1">
        <x:v>1.9</x:v>
      </x:c>
      <x:c r="M202" s="1">
        <x:v>1.7</x:v>
      </x:c>
      <x:c r="N202" s="1">
        <x:v>1152</x:v>
      </x:c>
      <x:c r="O202" s="1" t="s">
        <x:v>1044</x:v>
      </x:c>
      <x:c r="P202" s="42" t="str">
        <x:v>Lv40~50</x:v>
      </x:c>
      <x:c r="Q202" s="42" t="str">
        <x:v>II</x:v>
      </x:c>
      <x:c r="R202" s="42" t="str">
        <x:v>4</x:v>
      </x:c>
      <x:c r="S202" s="42" t="str">
        <x:v>정예/다중경로 대응</x:v>
      </x:c>
      <x:c r="T202" s="42" t="n">
        <x:v>14</x:v>
      </x:c>
      <x:c r="U202" s="42" t="n">
        <x:v>336</x:v>
      </x:c>
      <x:c r="V202" s="42" t="n">
        <x:v>110</x:v>
      </x:c>
      <x:c r="W202" s="42" t="n">
        <x:v>11</x:v>
      </x:c>
      <x:c r="X202" s="42" t="n">
        <x:v>33</x:v>
      </x:c>
      <x:c r="Y202" s="42" t="str"/>
    </x:row>
    <x:row r="203">
      <x:c r="A203" s="1">
        <x:v>21</x:v>
      </x:c>
      <x:c r="B203" s="1" t="s">
        <x:v>501</x:v>
      </x:c>
      <x:c r="C203" s="1" t="s">
        <x:v>403</x:v>
      </x:c>
      <x:c r="D203" s="1">
        <x:v>1</x:v>
      </x:c>
      <x:c r="E203" s="1">
        <x:v>2</x:v>
      </x:c>
      <x:c r="F203" s="1">
        <x:v>2</x:v>
      </x:c>
      <x:c r="G203" s="1" t="s">
        <x:v>1042</x:v>
      </x:c>
      <x:c r="H203" s="1">
        <x:v>26</x:v>
      </x:c>
      <x:c r="I203" s="1">
        <x:v>15</x:v>
      </x:c>
      <x:c r="J203" s="1">
        <x:v>0.9</x:v>
      </x:c>
      <x:c r="K203" s="1" t="s">
        <x:v>1151</x:v>
      </x:c>
      <x:c r="L203" s="1">
        <x:v>1.93</x:v>
      </x:c>
      <x:c r="M203" s="1">
        <x:v>1.73</x:v>
      </x:c>
      <x:c r="N203" s="1">
        <x:v>1152</x:v>
      </x:c>
      <x:c r="O203" s="1" t="s">
        <x:v>1044</x:v>
      </x:c>
      <x:c r="P203" s="42" t="str">
        <x:v>Lv40~50</x:v>
      </x:c>
      <x:c r="Q203" s="42" t="str">
        <x:v>II</x:v>
      </x:c>
      <x:c r="R203" s="42" t="str">
        <x:v>4</x:v>
      </x:c>
      <x:c r="S203" s="42" t="str">
        <x:v>정예/다중경로 대응</x:v>
      </x:c>
      <x:c r="T203" s="42" t="n">
        <x:v>14</x:v>
      </x:c>
      <x:c r="U203" s="42" t="n">
        <x:v>364</x:v>
      </x:c>
      <x:c r="V203" s="42" t="n">
        <x:v>132</x:v>
      </x:c>
      <x:c r="W203" s="42" t="n">
        <x:v>13</x:v>
      </x:c>
      <x:c r="X203" s="42" t="n">
        <x:v>40</x:v>
      </x:c>
      <x:c r="Y203" s="42" t="str"/>
    </x:row>
    <x:row r="204">
      <x:c r="A204" s="1">
        <x:v>21</x:v>
      </x:c>
      <x:c r="B204" s="1" t="s">
        <x:v>501</x:v>
      </x:c>
      <x:c r="C204" s="1" t="s">
        <x:v>403</x:v>
      </x:c>
      <x:c r="D204" s="1">
        <x:v>1</x:v>
      </x:c>
      <x:c r="E204" s="1">
        <x:v>2</x:v>
      </x:c>
      <x:c r="F204" s="1">
        <x:v>3</x:v>
      </x:c>
      <x:c r="G204" s="1" t="s">
        <x:v>1042</x:v>
      </x:c>
      <x:c r="H204" s="1">
        <x:v>28</x:v>
      </x:c>
      <x:c r="I204" s="1">
        <x:v>16</x:v>
      </x:c>
      <x:c r="J204" s="1">
        <x:v>0.86</x:v>
      </x:c>
      <x:c r="K204" s="1" t="s">
        <x:v>1152</x:v>
      </x:c>
      <x:c r="L204" s="1">
        <x:v>1.97</x:v>
      </x:c>
      <x:c r="M204" s="1">
        <x:v>1.75</x:v>
      </x:c>
      <x:c r="N204" s="1">
        <x:v>1152</x:v>
      </x:c>
      <x:c r="O204" s="1" t="s">
        <x:v>1044</x:v>
      </x:c>
      <x:c r="P204" s="42" t="str">
        <x:v>Lv40~50</x:v>
      </x:c>
      <x:c r="Q204" s="42" t="str">
        <x:v>II</x:v>
      </x:c>
      <x:c r="R204" s="42" t="str">
        <x:v>4</x:v>
      </x:c>
      <x:c r="S204" s="42" t="str">
        <x:v>정예/다중경로 대응</x:v>
      </x:c>
      <x:c r="T204" s="42" t="n">
        <x:v>14</x:v>
      </x:c>
      <x:c r="U204" s="42" t="n">
        <x:v>392</x:v>
      </x:c>
      <x:c r="V204" s="42" t="n">
        <x:v>165</x:v>
      </x:c>
      <x:c r="W204" s="42" t="n">
        <x:v>16</x:v>
      </x:c>
      <x:c r="X204" s="42" t="n">
        <x:v>50</x:v>
      </x:c>
      <x:c r="Y204" s="42" t="str"/>
    </x:row>
    <x:row r="205">
      <x:c r="A205" s="1">
        <x:v>21</x:v>
      </x:c>
      <x:c r="B205" s="1" t="s">
        <x:v>501</x:v>
      </x:c>
      <x:c r="C205" s="1" t="s">
        <x:v>403</x:v>
      </x:c>
      <x:c r="D205" s="1">
        <x:v>1</x:v>
      </x:c>
      <x:c r="E205" s="1">
        <x:v>2</x:v>
      </x:c>
      <x:c r="F205" s="1">
        <x:v>4</x:v>
      </x:c>
      <x:c r="G205" s="1" t="s">
        <x:v>1042</x:v>
      </x:c>
      <x:c r="H205" s="1">
        <x:v>30</x:v>
      </x:c>
      <x:c r="I205" s="1">
        <x:v>17</x:v>
      </x:c>
      <x:c r="J205" s="1">
        <x:v>0.83</x:v>
      </x:c>
      <x:c r="K205" s="1" t="s">
        <x:v>1153</x:v>
      </x:c>
      <x:c r="L205" s="1">
        <x:v>2</x:v>
      </x:c>
      <x:c r="M205" s="1">
        <x:v>1.78</x:v>
      </x:c>
      <x:c r="N205" s="1">
        <x:v>1152</x:v>
      </x:c>
      <x:c r="O205" s="1" t="s">
        <x:v>1047</x:v>
      </x:c>
      <x:c r="P205" s="42" t="str">
        <x:v>Lv40~50</x:v>
      </x:c>
      <x:c r="Q205" s="42" t="str">
        <x:v>II</x:v>
      </x:c>
      <x:c r="R205" s="42" t="str">
        <x:v>4</x:v>
      </x:c>
      <x:c r="S205" s="42" t="str">
        <x:v>정예/다중경로 대응</x:v>
      </x:c>
      <x:c r="T205" s="42" t="n">
        <x:v>14</x:v>
      </x:c>
      <x:c r="U205" s="42" t="n">
        <x:v>420</x:v>
      </x:c>
      <x:c r="V205" s="42" t="n">
        <x:v>198</x:v>
      </x:c>
      <x:c r="W205" s="42" t="n">
        <x:v>20</x:v>
      </x:c>
      <x:c r="X205" s="42" t="n">
        <x:v>59</x:v>
      </x:c>
      <x:c r="Y205" s="42" t="str"/>
    </x:row>
    <x:row r="206">
      <x:c r="A206" s="1">
        <x:v>21</x:v>
      </x:c>
      <x:c r="B206" s="1" t="s">
        <x:v>501</x:v>
      </x:c>
      <x:c r="C206" s="1" t="s">
        <x:v>403</x:v>
      </x:c>
      <x:c r="D206" s="1">
        <x:v>1</x:v>
      </x:c>
      <x:c r="E206" s="1">
        <x:v>2</x:v>
      </x:c>
      <x:c r="F206" s="1">
        <x:v>5</x:v>
      </x:c>
      <x:c r="G206" s="1" t="s">
        <x:v>1048</x:v>
      </x:c>
      <x:c r="H206" s="1">
        <x:v>24</x:v>
      </x:c>
      <x:c r="I206" s="1">
        <x:v>19</x:v>
      </x:c>
      <x:c r="J206" s="1">
        <x:v>0.79</x:v>
      </x:c>
      <x:c r="K206" s="1" t="s">
        <x:v>1154</x:v>
      </x:c>
      <x:c r="L206" s="1">
        <x:v>2.04</x:v>
      </x:c>
      <x:c r="M206" s="1">
        <x:v>1.8</x:v>
      </x:c>
      <x:c r="N206" s="1">
        <x:v>1152</x:v>
      </x:c>
      <x:c r="O206" s="1" t="s">
        <x:v>1050</x:v>
      </x:c>
      <x:c r="P206" s="42" t="str">
        <x:v>Lv40~50</x:v>
      </x:c>
      <x:c r="Q206" s="42" t="str">
        <x:v>II</x:v>
      </x:c>
      <x:c r="R206" s="42" t="str">
        <x:v>4</x:v>
      </x:c>
      <x:c r="S206" s="42" t="str">
        <x:v>정예/다중경로 대응</x:v>
      </x:c>
      <x:c r="T206" s="42" t="n">
        <x:v>14</x:v>
      </x:c>
      <x:c r="U206" s="42" t="n">
        <x:v>556</x:v>
      </x:c>
      <x:c r="V206" s="42" t="n">
        <x:v>330</x:v>
      </x:c>
      <x:c r="W206" s="42" t="n">
        <x:v>33</x:v>
      </x:c>
      <x:c r="X206" s="42" t="n">
        <x:v>99</x:v>
      </x:c>
      <x:c r="Y206" s="42" t="str">
        <x:v>중간보스 현상금 포함</x:v>
      </x:c>
    </x:row>
    <x:row r="207">
      <x:c r="A207" s="1">
        <x:v>21</x:v>
      </x:c>
      <x:c r="B207" s="1" t="s">
        <x:v>501</x:v>
      </x:c>
      <x:c r="C207" s="1" t="s">
        <x:v>403</x:v>
      </x:c>
      <x:c r="D207" s="1">
        <x:v>1</x:v>
      </x:c>
      <x:c r="E207" s="1">
        <x:v>2</x:v>
      </x:c>
      <x:c r="F207" s="1">
        <x:v>6</x:v>
      </x:c>
      <x:c r="G207" s="1" t="s">
        <x:v>1042</x:v>
      </x:c>
      <x:c r="H207" s="1">
        <x:v>34</x:v>
      </x:c>
      <x:c r="I207" s="1">
        <x:v>20</x:v>
      </x:c>
      <x:c r="J207" s="1">
        <x:v>0.76</x:v>
      </x:c>
      <x:c r="K207" s="1" t="s">
        <x:v>1155</x:v>
      </x:c>
      <x:c r="L207" s="1">
        <x:v>2.0699999999999998</x:v>
      </x:c>
      <x:c r="M207" s="1">
        <x:v>1.83</x:v>
      </x:c>
      <x:c r="N207" s="1">
        <x:v>1152</x:v>
      </x:c>
      <x:c r="O207" s="1" t="s">
        <x:v>1052</x:v>
      </x:c>
      <x:c r="P207" s="42" t="str">
        <x:v>Lv40~50</x:v>
      </x:c>
      <x:c r="Q207" s="42" t="str">
        <x:v>II</x:v>
      </x:c>
      <x:c r="R207" s="42" t="str">
        <x:v>4</x:v>
      </x:c>
      <x:c r="S207" s="42" t="str">
        <x:v>정예/다중경로 대응</x:v>
      </x:c>
      <x:c r="T207" s="42" t="n">
        <x:v>14</x:v>
      </x:c>
      <x:c r="U207" s="42" t="n">
        <x:v>476</x:v>
      </x:c>
      <x:c r="V207" s="42" t="n">
        <x:v>242</x:v>
      </x:c>
      <x:c r="W207" s="42" t="n">
        <x:v>24</x:v>
      </x:c>
      <x:c r="X207" s="42" t="n">
        <x:v>73</x:v>
      </x:c>
      <x:c r="Y207" s="42" t="str"/>
    </x:row>
    <x:row r="208">
      <x:c r="A208" s="1">
        <x:v>21</x:v>
      </x:c>
      <x:c r="B208" s="1" t="s">
        <x:v>501</x:v>
      </x:c>
      <x:c r="C208" s="1" t="s">
        <x:v>403</x:v>
      </x:c>
      <x:c r="D208" s="1">
        <x:v>1</x:v>
      </x:c>
      <x:c r="E208" s="1">
        <x:v>2</x:v>
      </x:c>
      <x:c r="F208" s="1">
        <x:v>7</x:v>
      </x:c>
      <x:c r="G208" s="1" t="s">
        <x:v>1042</x:v>
      </x:c>
      <x:c r="H208" s="1">
        <x:v>36</x:v>
      </x:c>
      <x:c r="I208" s="1">
        <x:v>21</x:v>
      </x:c>
      <x:c r="J208" s="1">
        <x:v>0.72</x:v>
      </x:c>
      <x:c r="K208" s="1" t="s">
        <x:v>1156</x:v>
      </x:c>
      <x:c r="L208" s="1">
        <x:v>2.11</x:v>
      </x:c>
      <x:c r="M208" s="1">
        <x:v>1.85</x:v>
      </x:c>
      <x:c r="N208" s="1">
        <x:v>1152</x:v>
      </x:c>
      <x:c r="O208" s="1" t="s">
        <x:v>1052</x:v>
      </x:c>
      <x:c r="P208" s="42" t="str">
        <x:v>Lv40~50</x:v>
      </x:c>
      <x:c r="Q208" s="42" t="str">
        <x:v>II</x:v>
      </x:c>
      <x:c r="R208" s="42" t="str">
        <x:v>4</x:v>
      </x:c>
      <x:c r="S208" s="42" t="str">
        <x:v>정예/다중경로 대응</x:v>
      </x:c>
      <x:c r="T208" s="42" t="n">
        <x:v>14</x:v>
      </x:c>
      <x:c r="U208" s="42" t="n">
        <x:v>504</x:v>
      </x:c>
      <x:c r="V208" s="42" t="n">
        <x:v>330</x:v>
      </x:c>
      <x:c r="W208" s="42" t="n">
        <x:v>33</x:v>
      </x:c>
      <x:c r="X208" s="42" t="n">
        <x:v>99</x:v>
      </x:c>
      <x:c r="Y208" s="42" t="str"/>
    </x:row>
    <x:row r="209">
      <x:c r="A209" s="1">
        <x:v>21</x:v>
      </x:c>
      <x:c r="B209" s="1" t="s">
        <x:v>501</x:v>
      </x:c>
      <x:c r="C209" s="1" t="s">
        <x:v>403</x:v>
      </x:c>
      <x:c r="D209" s="1">
        <x:v>1</x:v>
      </x:c>
      <x:c r="E209" s="1">
        <x:v>2</x:v>
      </x:c>
      <x:c r="F209" s="1">
        <x:v>8</x:v>
      </x:c>
      <x:c r="G209" s="1" t="s">
        <x:v>1042</x:v>
      </x:c>
      <x:c r="H209" s="1">
        <x:v>38</x:v>
      </x:c>
      <x:c r="I209" s="1">
        <x:v>22</x:v>
      </x:c>
      <x:c r="J209" s="1">
        <x:v>0.69</x:v>
      </x:c>
      <x:c r="K209" s="1" t="s">
        <x:v>1157</x:v>
      </x:c>
      <x:c r="L209" s="1">
        <x:v>2.15</x:v>
      </x:c>
      <x:c r="M209" s="1">
        <x:v>1.88</x:v>
      </x:c>
      <x:c r="N209" s="1">
        <x:v>1152</x:v>
      </x:c>
      <x:c r="O209" s="1" t="s">
        <x:v>1052</x:v>
      </x:c>
      <x:c r="P209" s="42" t="str">
        <x:v>Lv40~50</x:v>
      </x:c>
      <x:c r="Q209" s="42" t="str">
        <x:v>II</x:v>
      </x:c>
      <x:c r="R209" s="42" t="str">
        <x:v>4</x:v>
      </x:c>
      <x:c r="S209" s="42" t="str">
        <x:v>정예/다중경로 대응</x:v>
      </x:c>
      <x:c r="T209" s="42" t="n">
        <x:v>14</x:v>
      </x:c>
      <x:c r="U209" s="42" t="n">
        <x:v>532</x:v>
      </x:c>
      <x:c r="V209" s="42" t="n">
        <x:v>440</x:v>
      </x:c>
      <x:c r="W209" s="42" t="n">
        <x:v>44</x:v>
      </x:c>
      <x:c r="X209" s="42" t="n">
        <x:v>132</x:v>
      </x:c>
      <x:c r="Y209" s="42" t="str"/>
    </x:row>
    <x:row r="210">
      <x:c r="A210" s="1">
        <x:v>21</x:v>
      </x:c>
      <x:c r="B210" s="1" t="s">
        <x:v>501</x:v>
      </x:c>
      <x:c r="C210" s="1" t="s">
        <x:v>403</x:v>
      </x:c>
      <x:c r="D210" s="1">
        <x:v>1</x:v>
      </x:c>
      <x:c r="E210" s="1">
        <x:v>2</x:v>
      </x:c>
      <x:c r="F210" s="1">
        <x:v>9</x:v>
      </x:c>
      <x:c r="G210" s="1" t="s">
        <x:v>1042</x:v>
      </x:c>
      <x:c r="H210" s="1">
        <x:v>40</x:v>
      </x:c>
      <x:c r="I210" s="1">
        <x:v>23</x:v>
      </x:c>
      <x:c r="J210" s="1">
        <x:v>0.65</x:v>
      </x:c>
      <x:c r="K210" s="1" t="s">
        <x:v>1152</x:v>
      </x:c>
      <x:c r="L210" s="1">
        <x:v>2.1800000000000002</x:v>
      </x:c>
      <x:c r="M210" s="1">
        <x:v>1.9</x:v>
      </x:c>
      <x:c r="N210" s="1">
        <x:v>1152</x:v>
      </x:c>
      <x:c r="O210" s="1" t="s">
        <x:v>1056</x:v>
      </x:c>
      <x:c r="P210" s="42" t="str">
        <x:v>Lv40~50</x:v>
      </x:c>
      <x:c r="Q210" s="42" t="str">
        <x:v>II</x:v>
      </x:c>
      <x:c r="R210" s="42" t="str">
        <x:v>4</x:v>
      </x:c>
      <x:c r="S210" s="42" t="str">
        <x:v>정예/다중경로 대응</x:v>
      </x:c>
      <x:c r="T210" s="42" t="n">
        <x:v>14</x:v>
      </x:c>
      <x:c r="U210" s="42" t="n">
        <x:v>560</x:v>
      </x:c>
      <x:c r="V210" s="42" t="n">
        <x:v>550</x:v>
      </x:c>
      <x:c r="W210" s="42" t="n">
        <x:v>55</x:v>
      </x:c>
      <x:c r="X210" s="42" t="n">
        <x:v>165</x:v>
      </x:c>
      <x:c r="Y210" s="42" t="str"/>
    </x:row>
    <x:row r="211">
      <x:c r="A211" s="1">
        <x:v>21</x:v>
      </x:c>
      <x:c r="B211" s="1" t="s">
        <x:v>501</x:v>
      </x:c>
      <x:c r="C211" s="1" t="s">
        <x:v>403</x:v>
      </x:c>
      <x:c r="D211" s="1">
        <x:v>1</x:v>
      </x:c>
      <x:c r="E211" s="1">
        <x:v>2</x:v>
      </x:c>
      <x:c r="F211" s="1">
        <x:v>10</x:v>
      </x:c>
      <x:c r="G211" s="1" t="s">
        <x:v>1057</x:v>
      </x:c>
      <x:c r="H211" s="1">
        <x:v>32</x:v>
      </x:c>
      <x:c r="I211" s="1">
        <x:v>24</x:v>
      </x:c>
      <x:c r="J211" s="1">
        <x:v>0.62</x:v>
      </x:c>
      <x:c r="K211" s="1" t="s">
        <x:v>1158</x:v>
      </x:c>
      <x:c r="L211" s="1">
        <x:v>2.21</x:v>
      </x:c>
      <x:c r="M211" s="1">
        <x:v>1.93</x:v>
      </x:c>
      <x:c r="N211" s="1">
        <x:v>1152</x:v>
      </x:c>
      <x:c r="O211" s="1" t="s">
        <x:v>1059</x:v>
      </x:c>
      <x:c r="P211" s="42" t="str">
        <x:v>Lv40~50</x:v>
      </x:c>
      <x:c r="Q211" s="42" t="str">
        <x:v>II</x:v>
      </x:c>
      <x:c r="R211" s="42" t="str">
        <x:v>4</x:v>
      </x:c>
      <x:c r="S211" s="42" t="str">
        <x:v>정예/다중경로 대응</x:v>
      </x:c>
      <x:c r="T211" s="42" t="n">
        <x:v>14</x:v>
      </x:c>
      <x:c r="U211" s="42" t="n">
        <x:v>434</x:v>
      </x:c>
      <x:c r="V211" s="42" t="n">
        <x:v>0</x:v>
      </x:c>
      <x:c r="W211" s="42" t="n">
        <x:v>0</x:v>
      </x:c>
      <x:c r="X211" s="42" t="n">
        <x:v>0</x:v>
      </x:c>
      <x:c r="Y211" s="42" t="str">
        <x:v>보스 처치 보상은 로비 보상으로 분리</x:v>
      </x:c>
    </x:row>
    <x:row r="212">
      <x:c r="A212" s="1">
        <x:v>22</x:v>
      </x:c>
      <x:c r="B212" s="1" t="s">
        <x:v>501</x:v>
      </x:c>
      <x:c r="C212" s="1" t="s">
        <x:v>403</x:v>
      </x:c>
      <x:c r="D212" s="1">
        <x:v>2</x:v>
      </x:c>
      <x:c r="E212" s="1">
        <x:v>2</x:v>
      </x:c>
      <x:c r="F212" s="1">
        <x:v>1</x:v>
      </x:c>
      <x:c r="G212" s="1" t="s">
        <x:v>1042</x:v>
      </x:c>
      <x:c r="H212" s="1">
        <x:v>24</x:v>
      </x:c>
      <x:c r="I212" s="1">
        <x:v>14</x:v>
      </x:c>
      <x:c r="J212" s="1">
        <x:v>0.92</x:v>
      </x:c>
      <x:c r="K212" s="1" t="s">
        <x:v>1159</x:v>
      </x:c>
      <x:c r="L212" s="1">
        <x:v>1.94</x:v>
      </x:c>
      <x:c r="M212" s="1">
        <x:v>1.74</x:v>
      </x:c>
      <x:c r="N212" s="1">
        <x:v>1302</x:v>
      </x:c>
      <x:c r="O212" s="1" t="s">
        <x:v>1044</x:v>
      </x:c>
      <x:c r="P212" s="42" t="str">
        <x:v>Lv40~50</x:v>
      </x:c>
      <x:c r="Q212" s="42" t="str">
        <x:v>II</x:v>
      </x:c>
      <x:c r="R212" s="42" t="str">
        <x:v>4</x:v>
      </x:c>
      <x:c r="S212" s="42" t="str">
        <x:v>정예/다중경로 대응</x:v>
      </x:c>
      <x:c r="T212" s="42" t="n">
        <x:v>14</x:v>
      </x:c>
      <x:c r="U212" s="42" t="n">
        <x:v>336</x:v>
      </x:c>
      <x:c r="V212" s="42" t="n">
        <x:v>110</x:v>
      </x:c>
      <x:c r="W212" s="42" t="n">
        <x:v>11</x:v>
      </x:c>
      <x:c r="X212" s="42" t="n">
        <x:v>33</x:v>
      </x:c>
      <x:c r="Y212" s="42" t="str"/>
    </x:row>
    <x:row r="213">
      <x:c r="A213" s="1">
        <x:v>22</x:v>
      </x:c>
      <x:c r="B213" s="1" t="s">
        <x:v>501</x:v>
      </x:c>
      <x:c r="C213" s="1" t="s">
        <x:v>403</x:v>
      </x:c>
      <x:c r="D213" s="1">
        <x:v>2</x:v>
      </x:c>
      <x:c r="E213" s="1">
        <x:v>2</x:v>
      </x:c>
      <x:c r="F213" s="1">
        <x:v>2</x:v>
      </x:c>
      <x:c r="G213" s="1" t="s">
        <x:v>1042</x:v>
      </x:c>
      <x:c r="H213" s="1">
        <x:v>26</x:v>
      </x:c>
      <x:c r="I213" s="1">
        <x:v>15</x:v>
      </x:c>
      <x:c r="J213" s="1">
        <x:v>0.89</x:v>
      </x:c>
      <x:c r="K213" s="1" t="s">
        <x:v>1152</x:v>
      </x:c>
      <x:c r="L213" s="1">
        <x:v>1.98</x:v>
      </x:c>
      <x:c r="M213" s="1">
        <x:v>1.76</x:v>
      </x:c>
      <x:c r="N213" s="1">
        <x:v>1302</x:v>
      </x:c>
      <x:c r="O213" s="1" t="s">
        <x:v>1044</x:v>
      </x:c>
      <x:c r="P213" s="42" t="str">
        <x:v>Lv40~50</x:v>
      </x:c>
      <x:c r="Q213" s="42" t="str">
        <x:v>II</x:v>
      </x:c>
      <x:c r="R213" s="42" t="str">
        <x:v>4</x:v>
      </x:c>
      <x:c r="S213" s="42" t="str">
        <x:v>정예/다중경로 대응</x:v>
      </x:c>
      <x:c r="T213" s="42" t="n">
        <x:v>14</x:v>
      </x:c>
      <x:c r="U213" s="42" t="n">
        <x:v>364</x:v>
      </x:c>
      <x:c r="V213" s="42" t="n">
        <x:v>132</x:v>
      </x:c>
      <x:c r="W213" s="42" t="n">
        <x:v>13</x:v>
      </x:c>
      <x:c r="X213" s="42" t="n">
        <x:v>40</x:v>
      </x:c>
      <x:c r="Y213" s="42" t="str"/>
    </x:row>
    <x:row r="214">
      <x:c r="A214" s="1">
        <x:v>22</x:v>
      </x:c>
      <x:c r="B214" s="1" t="s">
        <x:v>501</x:v>
      </x:c>
      <x:c r="C214" s="1" t="s">
        <x:v>403</x:v>
      </x:c>
      <x:c r="D214" s="1">
        <x:v>2</x:v>
      </x:c>
      <x:c r="E214" s="1">
        <x:v>2</x:v>
      </x:c>
      <x:c r="F214" s="1">
        <x:v>3</x:v>
      </x:c>
      <x:c r="G214" s="1" t="s">
        <x:v>1042</x:v>
      </x:c>
      <x:c r="H214" s="1">
        <x:v>28</x:v>
      </x:c>
      <x:c r="I214" s="1">
        <x:v>16</x:v>
      </x:c>
      <x:c r="J214" s="1">
        <x:v>0.85</x:v>
      </x:c>
      <x:c r="K214" s="1" t="s">
        <x:v>1152</x:v>
      </x:c>
      <x:c r="L214" s="1">
        <x:v>2.0099999999999998</x:v>
      </x:c>
      <x:c r="M214" s="1">
        <x:v>1.79</x:v>
      </x:c>
      <x:c r="N214" s="1">
        <x:v>1302</x:v>
      </x:c>
      <x:c r="O214" s="1" t="s">
        <x:v>1044</x:v>
      </x:c>
      <x:c r="P214" s="42" t="str">
        <x:v>Lv40~50</x:v>
      </x:c>
      <x:c r="Q214" s="42" t="str">
        <x:v>II</x:v>
      </x:c>
      <x:c r="R214" s="42" t="str">
        <x:v>4</x:v>
      </x:c>
      <x:c r="S214" s="42" t="str">
        <x:v>정예/다중경로 대응</x:v>
      </x:c>
      <x:c r="T214" s="42" t="n">
        <x:v>14</x:v>
      </x:c>
      <x:c r="U214" s="42" t="n">
        <x:v>392</x:v>
      </x:c>
      <x:c r="V214" s="42" t="n">
        <x:v>165</x:v>
      </x:c>
      <x:c r="W214" s="42" t="n">
        <x:v>16</x:v>
      </x:c>
      <x:c r="X214" s="42" t="n">
        <x:v>50</x:v>
      </x:c>
      <x:c r="Y214" s="42" t="str"/>
    </x:row>
    <x:row r="215">
      <x:c r="A215" s="1">
        <x:v>22</x:v>
      </x:c>
      <x:c r="B215" s="1" t="s">
        <x:v>501</x:v>
      </x:c>
      <x:c r="C215" s="1" t="s">
        <x:v>403</x:v>
      </x:c>
      <x:c r="D215" s="1">
        <x:v>2</x:v>
      </x:c>
      <x:c r="E215" s="1">
        <x:v>2</x:v>
      </x:c>
      <x:c r="F215" s="1">
        <x:v>4</x:v>
      </x:c>
      <x:c r="G215" s="1" t="s">
        <x:v>1042</x:v>
      </x:c>
      <x:c r="H215" s="1">
        <x:v>30</x:v>
      </x:c>
      <x:c r="I215" s="1">
        <x:v>17</x:v>
      </x:c>
      <x:c r="J215" s="1">
        <x:v>0.82</x:v>
      </x:c>
      <x:c r="K215" s="1" t="s">
        <x:v>1153</x:v>
      </x:c>
      <x:c r="L215" s="1">
        <x:v>2.0499999999999998</x:v>
      </x:c>
      <x:c r="M215" s="1">
        <x:v>1.81</x:v>
      </x:c>
      <x:c r="N215" s="1">
        <x:v>1302</x:v>
      </x:c>
      <x:c r="O215" s="1" t="s">
        <x:v>1047</x:v>
      </x:c>
      <x:c r="P215" s="42" t="str">
        <x:v>Lv40~50</x:v>
      </x:c>
      <x:c r="Q215" s="42" t="str">
        <x:v>II</x:v>
      </x:c>
      <x:c r="R215" s="42" t="str">
        <x:v>4</x:v>
      </x:c>
      <x:c r="S215" s="42" t="str">
        <x:v>정예/다중경로 대응</x:v>
      </x:c>
      <x:c r="T215" s="42" t="n">
        <x:v>14</x:v>
      </x:c>
      <x:c r="U215" s="42" t="n">
        <x:v>420</x:v>
      </x:c>
      <x:c r="V215" s="42" t="n">
        <x:v>198</x:v>
      </x:c>
      <x:c r="W215" s="42" t="n">
        <x:v>20</x:v>
      </x:c>
      <x:c r="X215" s="42" t="n">
        <x:v>59</x:v>
      </x:c>
      <x:c r="Y215" s="42" t="str"/>
    </x:row>
    <x:row r="216">
      <x:c r="A216" s="1">
        <x:v>22</x:v>
      </x:c>
      <x:c r="B216" s="1" t="s">
        <x:v>501</x:v>
      </x:c>
      <x:c r="C216" s="1" t="s">
        <x:v>403</x:v>
      </x:c>
      <x:c r="D216" s="1">
        <x:v>2</x:v>
      </x:c>
      <x:c r="E216" s="1">
        <x:v>2</x:v>
      </x:c>
      <x:c r="F216" s="1">
        <x:v>5</x:v>
      </x:c>
      <x:c r="G216" s="1" t="s">
        <x:v>1048</x:v>
      </x:c>
      <x:c r="H216" s="1">
        <x:v>24</x:v>
      </x:c>
      <x:c r="I216" s="1">
        <x:v>19</x:v>
      </x:c>
      <x:c r="J216" s="1">
        <x:v>0.78</x:v>
      </x:c>
      <x:c r="K216" s="1" t="s">
        <x:v>1154</x:v>
      </x:c>
      <x:c r="L216" s="1">
        <x:v>2.08</x:v>
      </x:c>
      <x:c r="M216" s="1">
        <x:v>1.84</x:v>
      </x:c>
      <x:c r="N216" s="1">
        <x:v>1302</x:v>
      </x:c>
      <x:c r="O216" s="1" t="s">
        <x:v>1050</x:v>
      </x:c>
      <x:c r="P216" s="42" t="str">
        <x:v>Lv40~50</x:v>
      </x:c>
      <x:c r="Q216" s="42" t="str">
        <x:v>II</x:v>
      </x:c>
      <x:c r="R216" s="42" t="str">
        <x:v>4</x:v>
      </x:c>
      <x:c r="S216" s="42" t="str">
        <x:v>정예/다중경로 대응</x:v>
      </x:c>
      <x:c r="T216" s="42" t="n">
        <x:v>14</x:v>
      </x:c>
      <x:c r="U216" s="42" t="n">
        <x:v>559</x:v>
      </x:c>
      <x:c r="V216" s="42" t="n">
        <x:v>330</x:v>
      </x:c>
      <x:c r="W216" s="42" t="n">
        <x:v>33</x:v>
      </x:c>
      <x:c r="X216" s="42" t="n">
        <x:v>99</x:v>
      </x:c>
      <x:c r="Y216" s="42" t="str">
        <x:v>중간보스 현상금 포함</x:v>
      </x:c>
    </x:row>
    <x:row r="217">
      <x:c r="A217" s="1">
        <x:v>22</x:v>
      </x:c>
      <x:c r="B217" s="1" t="s">
        <x:v>501</x:v>
      </x:c>
      <x:c r="C217" s="1" t="s">
        <x:v>403</x:v>
      </x:c>
      <x:c r="D217" s="1">
        <x:v>2</x:v>
      </x:c>
      <x:c r="E217" s="1">
        <x:v>2</x:v>
      </x:c>
      <x:c r="F217" s="1">
        <x:v>6</x:v>
      </x:c>
      <x:c r="G217" s="1" t="s">
        <x:v>1042</x:v>
      </x:c>
      <x:c r="H217" s="1">
        <x:v>34</x:v>
      </x:c>
      <x:c r="I217" s="1">
        <x:v>20</x:v>
      </x:c>
      <x:c r="J217" s="1">
        <x:v>0.75</x:v>
      </x:c>
      <x:c r="K217" s="1" t="s">
        <x:v>1160</x:v>
      </x:c>
      <x:c r="L217" s="1">
        <x:v>2.12</x:v>
      </x:c>
      <x:c r="M217" s="1">
        <x:v>1.86</x:v>
      </x:c>
      <x:c r="N217" s="1">
        <x:v>1302</x:v>
      </x:c>
      <x:c r="O217" s="1" t="s">
        <x:v>1052</x:v>
      </x:c>
      <x:c r="P217" s="42" t="str">
        <x:v>Lv40~50</x:v>
      </x:c>
      <x:c r="Q217" s="42" t="str">
        <x:v>II</x:v>
      </x:c>
      <x:c r="R217" s="42" t="str">
        <x:v>4</x:v>
      </x:c>
      <x:c r="S217" s="42" t="str">
        <x:v>정예/다중경로 대응</x:v>
      </x:c>
      <x:c r="T217" s="42" t="n">
        <x:v>14</x:v>
      </x:c>
      <x:c r="U217" s="42" t="n">
        <x:v>476</x:v>
      </x:c>
      <x:c r="V217" s="42" t="n">
        <x:v>242</x:v>
      </x:c>
      <x:c r="W217" s="42" t="n">
        <x:v>24</x:v>
      </x:c>
      <x:c r="X217" s="42" t="n">
        <x:v>73</x:v>
      </x:c>
      <x:c r="Y217" s="42" t="str"/>
    </x:row>
    <x:row r="218">
      <x:c r="A218" s="1">
        <x:v>22</x:v>
      </x:c>
      <x:c r="B218" s="1" t="s">
        <x:v>501</x:v>
      </x:c>
      <x:c r="C218" s="1" t="s">
        <x:v>403</x:v>
      </x:c>
      <x:c r="D218" s="1">
        <x:v>2</x:v>
      </x:c>
      <x:c r="E218" s="1">
        <x:v>2</x:v>
      </x:c>
      <x:c r="F218" s="1">
        <x:v>7</x:v>
      </x:c>
      <x:c r="G218" s="1" t="s">
        <x:v>1042</x:v>
      </x:c>
      <x:c r="H218" s="1">
        <x:v>36</x:v>
      </x:c>
      <x:c r="I218" s="1">
        <x:v>21</x:v>
      </x:c>
      <x:c r="J218" s="1">
        <x:v>0.71</x:v>
      </x:c>
      <x:c r="K218" s="1" t="s">
        <x:v>1161</x:v>
      </x:c>
      <x:c r="L218" s="1">
        <x:v>2.15</x:v>
      </x:c>
      <x:c r="M218" s="1">
        <x:v>1.89</x:v>
      </x:c>
      <x:c r="N218" s="1">
        <x:v>1302</x:v>
      </x:c>
      <x:c r="O218" s="1" t="s">
        <x:v>1052</x:v>
      </x:c>
      <x:c r="P218" s="42" t="str">
        <x:v>Lv40~50</x:v>
      </x:c>
      <x:c r="Q218" s="42" t="str">
        <x:v>II</x:v>
      </x:c>
      <x:c r="R218" s="42" t="str">
        <x:v>4</x:v>
      </x:c>
      <x:c r="S218" s="42" t="str">
        <x:v>정예/다중경로 대응</x:v>
      </x:c>
      <x:c r="T218" s="42" t="n">
        <x:v>14</x:v>
      </x:c>
      <x:c r="U218" s="42" t="n">
        <x:v>504</x:v>
      </x:c>
      <x:c r="V218" s="42" t="n">
        <x:v>330</x:v>
      </x:c>
      <x:c r="W218" s="42" t="n">
        <x:v>33</x:v>
      </x:c>
      <x:c r="X218" s="42" t="n">
        <x:v>99</x:v>
      </x:c>
      <x:c r="Y218" s="42" t="str"/>
    </x:row>
    <x:row r="219">
      <x:c r="A219" s="1">
        <x:v>22</x:v>
      </x:c>
      <x:c r="B219" s="1" t="s">
        <x:v>501</x:v>
      </x:c>
      <x:c r="C219" s="1" t="s">
        <x:v>403</x:v>
      </x:c>
      <x:c r="D219" s="1">
        <x:v>2</x:v>
      </x:c>
      <x:c r="E219" s="1">
        <x:v>2</x:v>
      </x:c>
      <x:c r="F219" s="1">
        <x:v>8</x:v>
      </x:c>
      <x:c r="G219" s="1" t="s">
        <x:v>1042</x:v>
      </x:c>
      <x:c r="H219" s="1">
        <x:v>38</x:v>
      </x:c>
      <x:c r="I219" s="1">
        <x:v>22</x:v>
      </x:c>
      <x:c r="J219" s="1">
        <x:v>0.68</x:v>
      </x:c>
      <x:c r="K219" s="1" t="s">
        <x:v>1152</x:v>
      </x:c>
      <x:c r="L219" s="1">
        <x:v>2.19</x:v>
      </x:c>
      <x:c r="M219" s="1">
        <x:v>1.91</x:v>
      </x:c>
      <x:c r="N219" s="1">
        <x:v>1302</x:v>
      </x:c>
      <x:c r="O219" s="1" t="s">
        <x:v>1052</x:v>
      </x:c>
      <x:c r="P219" s="42" t="str">
        <x:v>Lv40~50</x:v>
      </x:c>
      <x:c r="Q219" s="42" t="str">
        <x:v>II</x:v>
      </x:c>
      <x:c r="R219" s="42" t="str">
        <x:v>4</x:v>
      </x:c>
      <x:c r="S219" s="42" t="str">
        <x:v>정예/다중경로 대응</x:v>
      </x:c>
      <x:c r="T219" s="42" t="n">
        <x:v>14</x:v>
      </x:c>
      <x:c r="U219" s="42" t="n">
        <x:v>532</x:v>
      </x:c>
      <x:c r="V219" s="42" t="n">
        <x:v>440</x:v>
      </x:c>
      <x:c r="W219" s="42" t="n">
        <x:v>44</x:v>
      </x:c>
      <x:c r="X219" s="42" t="n">
        <x:v>132</x:v>
      </x:c>
      <x:c r="Y219" s="42" t="str"/>
    </x:row>
    <x:row r="220">
      <x:c r="A220" s="1">
        <x:v>22</x:v>
      </x:c>
      <x:c r="B220" s="1" t="s">
        <x:v>501</x:v>
      </x:c>
      <x:c r="C220" s="1" t="s">
        <x:v>403</x:v>
      </x:c>
      <x:c r="D220" s="1">
        <x:v>2</x:v>
      </x:c>
      <x:c r="E220" s="1">
        <x:v>2</x:v>
      </x:c>
      <x:c r="F220" s="1">
        <x:v>9</x:v>
      </x:c>
      <x:c r="G220" s="1" t="s">
        <x:v>1042</x:v>
      </x:c>
      <x:c r="H220" s="1">
        <x:v>40</x:v>
      </x:c>
      <x:c r="I220" s="1">
        <x:v>23</x:v>
      </x:c>
      <x:c r="J220" s="1">
        <x:v>0.64</x:v>
      </x:c>
      <x:c r="K220" s="1" t="s">
        <x:v>1162</x:v>
      </x:c>
      <x:c r="L220" s="1">
        <x:v>2.2200000000000002</x:v>
      </x:c>
      <x:c r="M220" s="1">
        <x:v>1.94</x:v>
      </x:c>
      <x:c r="N220" s="1">
        <x:v>1302</x:v>
      </x:c>
      <x:c r="O220" s="1" t="s">
        <x:v>1056</x:v>
      </x:c>
      <x:c r="P220" s="42" t="str">
        <x:v>Lv40~50</x:v>
      </x:c>
      <x:c r="Q220" s="42" t="str">
        <x:v>II</x:v>
      </x:c>
      <x:c r="R220" s="42" t="str">
        <x:v>4</x:v>
      </x:c>
      <x:c r="S220" s="42" t="str">
        <x:v>정예/다중경로 대응</x:v>
      </x:c>
      <x:c r="T220" s="42" t="n">
        <x:v>14</x:v>
      </x:c>
      <x:c r="U220" s="42" t="n">
        <x:v>560</x:v>
      </x:c>
      <x:c r="V220" s="42" t="n">
        <x:v>550</x:v>
      </x:c>
      <x:c r="W220" s="42" t="n">
        <x:v>55</x:v>
      </x:c>
      <x:c r="X220" s="42" t="n">
        <x:v>165</x:v>
      </x:c>
      <x:c r="Y220" s="42" t="str"/>
    </x:row>
    <x:row r="221">
      <x:c r="A221" s="1">
        <x:v>22</x:v>
      </x:c>
      <x:c r="B221" s="1" t="s">
        <x:v>501</x:v>
      </x:c>
      <x:c r="C221" s="1" t="s">
        <x:v>403</x:v>
      </x:c>
      <x:c r="D221" s="1">
        <x:v>2</x:v>
      </x:c>
      <x:c r="E221" s="1">
        <x:v>2</x:v>
      </x:c>
      <x:c r="F221" s="1">
        <x:v>10</x:v>
      </x:c>
      <x:c r="G221" s="1" t="s">
        <x:v>1057</x:v>
      </x:c>
      <x:c r="H221" s="1">
        <x:v>32</x:v>
      </x:c>
      <x:c r="I221" s="1">
        <x:v>24</x:v>
      </x:c>
      <x:c r="J221" s="1">
        <x:v>0.61</x:v>
      </x:c>
      <x:c r="K221" s="1" t="s">
        <x:v>1163</x:v>
      </x:c>
      <x:c r="L221" s="1">
        <x:v>2.2599999999999998</x:v>
      </x:c>
      <x:c r="M221" s="1">
        <x:v>1.96</x:v>
      </x:c>
      <x:c r="N221" s="1">
        <x:v>1302</x:v>
      </x:c>
      <x:c r="O221" s="1" t="s">
        <x:v>1059</x:v>
      </x:c>
      <x:c r="P221" s="42" t="str">
        <x:v>Lv40~50</x:v>
      </x:c>
      <x:c r="Q221" s="42" t="str">
        <x:v>II</x:v>
      </x:c>
      <x:c r="R221" s="42" t="str">
        <x:v>4</x:v>
      </x:c>
      <x:c r="S221" s="42" t="str">
        <x:v>정예/다중경로 대응</x:v>
      </x:c>
      <x:c r="T221" s="42" t="n">
        <x:v>14</x:v>
      </x:c>
      <x:c r="U221" s="42" t="n">
        <x:v>434</x:v>
      </x:c>
      <x:c r="V221" s="42" t="n">
        <x:v>0</x:v>
      </x:c>
      <x:c r="W221" s="42" t="n">
        <x:v>0</x:v>
      </x:c>
      <x:c r="X221" s="42" t="n">
        <x:v>0</x:v>
      </x:c>
      <x:c r="Y221" s="42" t="str">
        <x:v>보스 처치 보상은 로비 보상으로 분리</x:v>
      </x:c>
    </x:row>
    <x:row r="222">
      <x:c r="A222" s="1">
        <x:v>23</x:v>
      </x:c>
      <x:c r="B222" s="1" t="s">
        <x:v>501</x:v>
      </x:c>
      <x:c r="C222" s="1" t="s">
        <x:v>403</x:v>
      </x:c>
      <x:c r="D222" s="1">
        <x:v>3</x:v>
      </x:c>
      <x:c r="E222" s="1">
        <x:v>3</x:v>
      </x:c>
      <x:c r="F222" s="1">
        <x:v>1</x:v>
      </x:c>
      <x:c r="G222" s="1" t="s">
        <x:v>1042</x:v>
      </x:c>
      <x:c r="H222" s="1">
        <x:v>26</x:v>
      </x:c>
      <x:c r="I222" s="1">
        <x:v>15</x:v>
      </x:c>
      <x:c r="J222" s="1">
        <x:v>0.91</x:v>
      </x:c>
      <x:c r="K222" s="1" t="s">
        <x:v>1157</x:v>
      </x:c>
      <x:c r="L222" s="1">
        <x:v>1.99</x:v>
      </x:c>
      <x:c r="M222" s="1">
        <x:v>1.77</x:v>
      </x:c>
      <x:c r="N222" s="1">
        <x:v>1471</x:v>
      </x:c>
      <x:c r="O222" s="1" t="s">
        <x:v>1044</x:v>
      </x:c>
      <x:c r="P222" s="42" t="str">
        <x:v>Lv40~50</x:v>
      </x:c>
      <x:c r="Q222" s="42" t="str">
        <x:v>II</x:v>
      </x:c>
      <x:c r="R222" s="42" t="str">
        <x:v>4</x:v>
      </x:c>
      <x:c r="S222" s="42" t="str">
        <x:v>정예/다중경로 대응</x:v>
      </x:c>
      <x:c r="T222" s="42" t="n">
        <x:v>14</x:v>
      </x:c>
      <x:c r="U222" s="42" t="n">
        <x:v>364</x:v>
      </x:c>
      <x:c r="V222" s="42" t="n">
        <x:v>110</x:v>
      </x:c>
      <x:c r="W222" s="42" t="n">
        <x:v>11</x:v>
      </x:c>
      <x:c r="X222" s="42" t="n">
        <x:v>33</x:v>
      </x:c>
      <x:c r="Y222" s="42" t="str"/>
    </x:row>
    <x:row r="223">
      <x:c r="A223" s="1">
        <x:v>23</x:v>
      </x:c>
      <x:c r="B223" s="1" t="s">
        <x:v>501</x:v>
      </x:c>
      <x:c r="C223" s="1" t="s">
        <x:v>403</x:v>
      </x:c>
      <x:c r="D223" s="1">
        <x:v>3</x:v>
      </x:c>
      <x:c r="E223" s="1">
        <x:v>3</x:v>
      </x:c>
      <x:c r="F223" s="1">
        <x:v>2</x:v>
      </x:c>
      <x:c r="G223" s="1" t="s">
        <x:v>1042</x:v>
      </x:c>
      <x:c r="H223" s="1">
        <x:v>28</x:v>
      </x:c>
      <x:c r="I223" s="1">
        <x:v>16</x:v>
      </x:c>
      <x:c r="J223" s="1">
        <x:v>0.87</x:v>
      </x:c>
      <x:c r="K223" s="1" t="s">
        <x:v>1152</x:v>
      </x:c>
      <x:c r="L223" s="1">
        <x:v>2.02</x:v>
      </x:c>
      <x:c r="M223" s="1">
        <x:v>1.79</x:v>
      </x:c>
      <x:c r="N223" s="1">
        <x:v>1471</x:v>
      </x:c>
      <x:c r="O223" s="1" t="s">
        <x:v>1044</x:v>
      </x:c>
      <x:c r="P223" s="42" t="str">
        <x:v>Lv40~50</x:v>
      </x:c>
      <x:c r="Q223" s="42" t="str">
        <x:v>II</x:v>
      </x:c>
      <x:c r="R223" s="42" t="str">
        <x:v>4</x:v>
      </x:c>
      <x:c r="S223" s="42" t="str">
        <x:v>정예/다중경로 대응</x:v>
      </x:c>
      <x:c r="T223" s="42" t="n">
        <x:v>14</x:v>
      </x:c>
      <x:c r="U223" s="42" t="n">
        <x:v>392</x:v>
      </x:c>
      <x:c r="V223" s="42" t="n">
        <x:v>132</x:v>
      </x:c>
      <x:c r="W223" s="42" t="n">
        <x:v>13</x:v>
      </x:c>
      <x:c r="X223" s="42" t="n">
        <x:v>40</x:v>
      </x:c>
      <x:c r="Y223" s="42" t="str"/>
    </x:row>
    <x:row r="224">
      <x:c r="A224" s="1">
        <x:v>23</x:v>
      </x:c>
      <x:c r="B224" s="1" t="s">
        <x:v>501</x:v>
      </x:c>
      <x:c r="C224" s="1" t="s">
        <x:v>403</x:v>
      </x:c>
      <x:c r="D224" s="1">
        <x:v>3</x:v>
      </x:c>
      <x:c r="E224" s="1">
        <x:v>3</x:v>
      </x:c>
      <x:c r="F224" s="1">
        <x:v>3</x:v>
      </x:c>
      <x:c r="G224" s="1" t="s">
        <x:v>1042</x:v>
      </x:c>
      <x:c r="H224" s="1">
        <x:v>30</x:v>
      </x:c>
      <x:c r="I224" s="1">
        <x:v>17</x:v>
      </x:c>
      <x:c r="J224" s="1">
        <x:v>0.84</x:v>
      </x:c>
      <x:c r="K224" s="1" t="s">
        <x:v>1155</x:v>
      </x:c>
      <x:c r="L224" s="1">
        <x:v>2.06</x:v>
      </x:c>
      <x:c r="M224" s="1">
        <x:v>1.82</x:v>
      </x:c>
      <x:c r="N224" s="1">
        <x:v>1471</x:v>
      </x:c>
      <x:c r="O224" s="1" t="s">
        <x:v>1044</x:v>
      </x:c>
      <x:c r="P224" s="42" t="str">
        <x:v>Lv40~50</x:v>
      </x:c>
      <x:c r="Q224" s="42" t="str">
        <x:v>II</x:v>
      </x:c>
      <x:c r="R224" s="42" t="str">
        <x:v>4</x:v>
      </x:c>
      <x:c r="S224" s="42" t="str">
        <x:v>정예/다중경로 대응</x:v>
      </x:c>
      <x:c r="T224" s="42" t="n">
        <x:v>14</x:v>
      </x:c>
      <x:c r="U224" s="42" t="n">
        <x:v>420</x:v>
      </x:c>
      <x:c r="V224" s="42" t="n">
        <x:v>165</x:v>
      </x:c>
      <x:c r="W224" s="42" t="n">
        <x:v>16</x:v>
      </x:c>
      <x:c r="X224" s="42" t="n">
        <x:v>50</x:v>
      </x:c>
      <x:c r="Y224" s="42" t="str"/>
    </x:row>
    <x:row r="225">
      <x:c r="A225" s="1">
        <x:v>23</x:v>
      </x:c>
      <x:c r="B225" s="1" t="s">
        <x:v>501</x:v>
      </x:c>
      <x:c r="C225" s="1" t="s">
        <x:v>403</x:v>
      </x:c>
      <x:c r="D225" s="1">
        <x:v>3</x:v>
      </x:c>
      <x:c r="E225" s="1">
        <x:v>3</x:v>
      </x:c>
      <x:c r="F225" s="1">
        <x:v>4</x:v>
      </x:c>
      <x:c r="G225" s="1" t="s">
        <x:v>1042</x:v>
      </x:c>
      <x:c r="H225" s="1">
        <x:v>32</x:v>
      </x:c>
      <x:c r="I225" s="1">
        <x:v>19</x:v>
      </x:c>
      <x:c r="J225" s="1">
        <x:v>0.8</x:v>
      </x:c>
      <x:c r="K225" s="1" t="s">
        <x:v>1162</x:v>
      </x:c>
      <x:c r="L225" s="1">
        <x:v>2.1</x:v>
      </x:c>
      <x:c r="M225" s="1">
        <x:v>1.84</x:v>
      </x:c>
      <x:c r="N225" s="1">
        <x:v>1471</x:v>
      </x:c>
      <x:c r="O225" s="1" t="s">
        <x:v>1047</x:v>
      </x:c>
      <x:c r="P225" s="42" t="str">
        <x:v>Lv40~50</x:v>
      </x:c>
      <x:c r="Q225" s="42" t="str">
        <x:v>II</x:v>
      </x:c>
      <x:c r="R225" s="42" t="str">
        <x:v>4</x:v>
      </x:c>
      <x:c r="S225" s="42" t="str">
        <x:v>정예/다중경로 대응</x:v>
      </x:c>
      <x:c r="T225" s="42" t="n">
        <x:v>14</x:v>
      </x:c>
      <x:c r="U225" s="42" t="n">
        <x:v>448</x:v>
      </x:c>
      <x:c r="V225" s="42" t="n">
        <x:v>198</x:v>
      </x:c>
      <x:c r="W225" s="42" t="n">
        <x:v>20</x:v>
      </x:c>
      <x:c r="X225" s="42" t="n">
        <x:v>59</x:v>
      </x:c>
      <x:c r="Y225" s="42" t="str"/>
    </x:row>
    <x:row r="226">
      <x:c r="A226" s="1">
        <x:v>23</x:v>
      </x:c>
      <x:c r="B226" s="1" t="s">
        <x:v>501</x:v>
      </x:c>
      <x:c r="C226" s="1" t="s">
        <x:v>403</x:v>
      </x:c>
      <x:c r="D226" s="1">
        <x:v>3</x:v>
      </x:c>
      <x:c r="E226" s="1">
        <x:v>3</x:v>
      </x:c>
      <x:c r="F226" s="1">
        <x:v>5</x:v>
      </x:c>
      <x:c r="G226" s="1" t="s">
        <x:v>1048</x:v>
      </x:c>
      <x:c r="H226" s="1">
        <x:v>26</x:v>
      </x:c>
      <x:c r="I226" s="1">
        <x:v>20</x:v>
      </x:c>
      <x:c r="J226" s="1">
        <x:v>0.77</x:v>
      </x:c>
      <x:c r="K226" s="1" t="s">
        <x:v>1164</x:v>
      </x:c>
      <x:c r="L226" s="1">
        <x:v>2.13</x:v>
      </x:c>
      <x:c r="M226" s="1">
        <x:v>1.87</x:v>
      </x:c>
      <x:c r="N226" s="1">
        <x:v>1471</x:v>
      </x:c>
      <x:c r="O226" s="1" t="s">
        <x:v>1050</x:v>
      </x:c>
      <x:c r="P226" s="42" t="str">
        <x:v>Lv40~50</x:v>
      </x:c>
      <x:c r="Q226" s="42" t="str">
        <x:v>II</x:v>
      </x:c>
      <x:c r="R226" s="42" t="str">
        <x:v>4</x:v>
      </x:c>
      <x:c r="S226" s="42" t="str">
        <x:v>정예/다중경로 대응</x:v>
      </x:c>
      <x:c r="T226" s="42" t="n">
        <x:v>14</x:v>
      </x:c>
      <x:c r="U226" s="42" t="n">
        <x:v>589</x:v>
      </x:c>
      <x:c r="V226" s="42" t="n">
        <x:v>330</x:v>
      </x:c>
      <x:c r="W226" s="42" t="n">
        <x:v>33</x:v>
      </x:c>
      <x:c r="X226" s="42" t="n">
        <x:v>99</x:v>
      </x:c>
      <x:c r="Y226" s="42" t="str">
        <x:v>중간보스 현상금 포함</x:v>
      </x:c>
    </x:row>
    <x:row r="227">
      <x:c r="A227" s="1">
        <x:v>23</x:v>
      </x:c>
      <x:c r="B227" s="1" t="s">
        <x:v>501</x:v>
      </x:c>
      <x:c r="C227" s="1" t="s">
        <x:v>403</x:v>
      </x:c>
      <x:c r="D227" s="1">
        <x:v>3</x:v>
      </x:c>
      <x:c r="E227" s="1">
        <x:v>3</x:v>
      </x:c>
      <x:c r="F227" s="1">
        <x:v>6</x:v>
      </x:c>
      <x:c r="G227" s="1" t="s">
        <x:v>1042</x:v>
      </x:c>
      <x:c r="H227" s="1">
        <x:v>36</x:v>
      </x:c>
      <x:c r="I227" s="1">
        <x:v>21</x:v>
      </x:c>
      <x:c r="J227" s="1">
        <x:v>0.73</x:v>
      </x:c>
      <x:c r="K227" s="1" t="s">
        <x:v>1153</x:v>
      </x:c>
      <x:c r="L227" s="1">
        <x:v>2.17</x:v>
      </x:c>
      <x:c r="M227" s="1">
        <x:v>1.9</x:v>
      </x:c>
      <x:c r="N227" s="1">
        <x:v>1471</x:v>
      </x:c>
      <x:c r="O227" s="1" t="s">
        <x:v>1052</x:v>
      </x:c>
      <x:c r="P227" s="42" t="str">
        <x:v>Lv40~50</x:v>
      </x:c>
      <x:c r="Q227" s="42" t="str">
        <x:v>II</x:v>
      </x:c>
      <x:c r="R227" s="42" t="str">
        <x:v>4</x:v>
      </x:c>
      <x:c r="S227" s="42" t="str">
        <x:v>정예/다중경로 대응</x:v>
      </x:c>
      <x:c r="T227" s="42" t="n">
        <x:v>14</x:v>
      </x:c>
      <x:c r="U227" s="42" t="n">
        <x:v>504</x:v>
      </x:c>
      <x:c r="V227" s="42" t="n">
        <x:v>242</x:v>
      </x:c>
      <x:c r="W227" s="42" t="n">
        <x:v>24</x:v>
      </x:c>
      <x:c r="X227" s="42" t="n">
        <x:v>73</x:v>
      </x:c>
      <x:c r="Y227" s="42" t="str"/>
    </x:row>
    <x:row r="228">
      <x:c r="A228" s="1">
        <x:v>23</x:v>
      </x:c>
      <x:c r="B228" s="1" t="s">
        <x:v>501</x:v>
      </x:c>
      <x:c r="C228" s="1" t="s">
        <x:v>403</x:v>
      </x:c>
      <x:c r="D228" s="1">
        <x:v>3</x:v>
      </x:c>
      <x:c r="E228" s="1">
        <x:v>3</x:v>
      </x:c>
      <x:c r="F228" s="1">
        <x:v>7</x:v>
      </x:c>
      <x:c r="G228" s="1" t="s">
        <x:v>1042</x:v>
      </x:c>
      <x:c r="H228" s="1">
        <x:v>38</x:v>
      </x:c>
      <x:c r="I228" s="1">
        <x:v>22</x:v>
      </x:c>
      <x:c r="J228" s="1">
        <x:v>0.7</x:v>
      </x:c>
      <x:c r="K228" s="1" t="s">
        <x:v>1155</x:v>
      </x:c>
      <x:c r="L228" s="1">
        <x:v>2.2000000000000002</x:v>
      </x:c>
      <x:c r="M228" s="1">
        <x:v>1.92</x:v>
      </x:c>
      <x:c r="N228" s="1">
        <x:v>1471</x:v>
      </x:c>
      <x:c r="O228" s="1" t="s">
        <x:v>1052</x:v>
      </x:c>
      <x:c r="P228" s="42" t="str">
        <x:v>Lv40~50</x:v>
      </x:c>
      <x:c r="Q228" s="42" t="str">
        <x:v>II</x:v>
      </x:c>
      <x:c r="R228" s="42" t="str">
        <x:v>4</x:v>
      </x:c>
      <x:c r="S228" s="42" t="str">
        <x:v>정예/다중경로 대응</x:v>
      </x:c>
      <x:c r="T228" s="42" t="n">
        <x:v>14</x:v>
      </x:c>
      <x:c r="U228" s="42" t="n">
        <x:v>532</x:v>
      </x:c>
      <x:c r="V228" s="42" t="n">
        <x:v>330</x:v>
      </x:c>
      <x:c r="W228" s="42" t="n">
        <x:v>33</x:v>
      </x:c>
      <x:c r="X228" s="42" t="n">
        <x:v>99</x:v>
      </x:c>
      <x:c r="Y228" s="42" t="str"/>
    </x:row>
    <x:row r="229">
      <x:c r="A229" s="1">
        <x:v>23</x:v>
      </x:c>
      <x:c r="B229" s="1" t="s">
        <x:v>501</x:v>
      </x:c>
      <x:c r="C229" s="1" t="s">
        <x:v>403</x:v>
      </x:c>
      <x:c r="D229" s="1">
        <x:v>3</x:v>
      </x:c>
      <x:c r="E229" s="1">
        <x:v>3</x:v>
      </x:c>
      <x:c r="F229" s="1">
        <x:v>8</x:v>
      </x:c>
      <x:c r="G229" s="1" t="s">
        <x:v>1042</x:v>
      </x:c>
      <x:c r="H229" s="1">
        <x:v>40</x:v>
      </x:c>
      <x:c r="I229" s="1">
        <x:v>23</x:v>
      </x:c>
      <x:c r="J229" s="1">
        <x:v>0.66</x:v>
      </x:c>
      <x:c r="K229" s="1" t="s">
        <x:v>1162</x:v>
      </x:c>
      <x:c r="L229" s="1">
        <x:v>2.23</x:v>
      </x:c>
      <x:c r="M229" s="1">
        <x:v>1.95</x:v>
      </x:c>
      <x:c r="N229" s="1">
        <x:v>1471</x:v>
      </x:c>
      <x:c r="O229" s="1" t="s">
        <x:v>1052</x:v>
      </x:c>
      <x:c r="P229" s="42" t="str">
        <x:v>Lv40~50</x:v>
      </x:c>
      <x:c r="Q229" s="42" t="str">
        <x:v>II</x:v>
      </x:c>
      <x:c r="R229" s="42" t="str">
        <x:v>4</x:v>
      </x:c>
      <x:c r="S229" s="42" t="str">
        <x:v>정예/다중경로 대응</x:v>
      </x:c>
      <x:c r="T229" s="42" t="n">
        <x:v>14</x:v>
      </x:c>
      <x:c r="U229" s="42" t="n">
        <x:v>560</x:v>
      </x:c>
      <x:c r="V229" s="42" t="n">
        <x:v>440</x:v>
      </x:c>
      <x:c r="W229" s="42" t="n">
        <x:v>44</x:v>
      </x:c>
      <x:c r="X229" s="42" t="n">
        <x:v>132</x:v>
      </x:c>
      <x:c r="Y229" s="42" t="str"/>
    </x:row>
    <x:row r="230">
      <x:c r="A230" s="1">
        <x:v>23</x:v>
      </x:c>
      <x:c r="B230" s="1" t="s">
        <x:v>501</x:v>
      </x:c>
      <x:c r="C230" s="1" t="s">
        <x:v>403</x:v>
      </x:c>
      <x:c r="D230" s="1">
        <x:v>3</x:v>
      </x:c>
      <x:c r="E230" s="1">
        <x:v>3</x:v>
      </x:c>
      <x:c r="F230" s="1">
        <x:v>9</x:v>
      </x:c>
      <x:c r="G230" s="1" t="s">
        <x:v>1042</x:v>
      </x:c>
      <x:c r="H230" s="1">
        <x:v>42</x:v>
      </x:c>
      <x:c r="I230" s="1">
        <x:v>24</x:v>
      </x:c>
      <x:c r="J230" s="1">
        <x:v>0.63</x:v>
      </x:c>
      <x:c r="K230" s="1" t="s">
        <x:v>1152</x:v>
      </x:c>
      <x:c r="L230" s="1">
        <x:v>2.27</x:v>
      </x:c>
      <x:c r="M230" s="1">
        <x:v>1.97</x:v>
      </x:c>
      <x:c r="N230" s="1">
        <x:v>1471</x:v>
      </x:c>
      <x:c r="O230" s="1" t="s">
        <x:v>1056</x:v>
      </x:c>
      <x:c r="P230" s="42" t="str">
        <x:v>Lv40~50</x:v>
      </x:c>
      <x:c r="Q230" s="42" t="str">
        <x:v>II</x:v>
      </x:c>
      <x:c r="R230" s="42" t="str">
        <x:v>4</x:v>
      </x:c>
      <x:c r="S230" s="42" t="str">
        <x:v>정예/다중경로 대응</x:v>
      </x:c>
      <x:c r="T230" s="42" t="n">
        <x:v>14</x:v>
      </x:c>
      <x:c r="U230" s="42" t="n">
        <x:v>588</x:v>
      </x:c>
      <x:c r="V230" s="42" t="n">
        <x:v>550</x:v>
      </x:c>
      <x:c r="W230" s="42" t="n">
        <x:v>55</x:v>
      </x:c>
      <x:c r="X230" s="42" t="n">
        <x:v>165</x:v>
      </x:c>
      <x:c r="Y230" s="42" t="str"/>
    </x:row>
    <x:row r="231">
      <x:c r="A231" s="1">
        <x:v>23</x:v>
      </x:c>
      <x:c r="B231" s="1" t="s">
        <x:v>501</x:v>
      </x:c>
      <x:c r="C231" s="1" t="s">
        <x:v>403</x:v>
      </x:c>
      <x:c r="D231" s="1">
        <x:v>3</x:v>
      </x:c>
      <x:c r="E231" s="1">
        <x:v>3</x:v>
      </x:c>
      <x:c r="F231" s="1">
        <x:v>10</x:v>
      </x:c>
      <x:c r="G231" s="1" t="s">
        <x:v>1057</x:v>
      </x:c>
      <x:c r="H231" s="1">
        <x:v>34</x:v>
      </x:c>
      <x:c r="I231" s="1">
        <x:v>26</x:v>
      </x:c>
      <x:c r="J231" s="1">
        <x:v>0.59</x:v>
      </x:c>
      <x:c r="K231" s="1" t="s">
        <x:v>1165</x:v>
      </x:c>
      <x:c r="L231" s="1">
        <x:v>2.31</x:v>
      </x:c>
      <x:c r="M231" s="1">
        <x:v>2</x:v>
      </x:c>
      <x:c r="N231" s="1">
        <x:v>1471</x:v>
      </x:c>
      <x:c r="O231" s="1" t="s">
        <x:v>1059</x:v>
      </x:c>
      <x:c r="P231" s="42" t="str">
        <x:v>Lv40~50</x:v>
      </x:c>
      <x:c r="Q231" s="42" t="str">
        <x:v>II</x:v>
      </x:c>
      <x:c r="R231" s="42" t="str">
        <x:v>4</x:v>
      </x:c>
      <x:c r="S231" s="42" t="str">
        <x:v>정예/다중경로 대응</x:v>
      </x:c>
      <x:c r="T231" s="42" t="n">
        <x:v>14</x:v>
      </x:c>
      <x:c r="U231" s="42" t="n">
        <x:v>462</x:v>
      </x:c>
      <x:c r="V231" s="42" t="n">
        <x:v>0</x:v>
      </x:c>
      <x:c r="W231" s="42" t="n">
        <x:v>0</x:v>
      </x:c>
      <x:c r="X231" s="42" t="n">
        <x:v>0</x:v>
      </x:c>
      <x:c r="Y231" s="42" t="str">
        <x:v>보스 처치 보상은 로비 보상으로 분리</x:v>
      </x:c>
    </x:row>
    <x:row r="232">
      <x:c r="A232" s="1">
        <x:v>24</x:v>
      </x:c>
      <x:c r="B232" s="1" t="s">
        <x:v>501</x:v>
      </x:c>
      <x:c r="C232" s="1" t="s">
        <x:v>403</x:v>
      </x:c>
      <x:c r="D232" s="1">
        <x:v>4</x:v>
      </x:c>
      <x:c r="E232" s="1">
        <x:v>3</x:v>
      </x:c>
      <x:c r="F232" s="1">
        <x:v>1</x:v>
      </x:c>
      <x:c r="G232" s="1" t="s">
        <x:v>1042</x:v>
      </x:c>
      <x:c r="H232" s="1">
        <x:v>27</x:v>
      </x:c>
      <x:c r="I232" s="1">
        <x:v>16</x:v>
      </x:c>
      <x:c r="J232" s="1">
        <x:v>0.9</x:v>
      </x:c>
      <x:c r="K232" s="1" t="s">
        <x:v>1153</x:v>
      </x:c>
      <x:c r="L232" s="1">
        <x:v>2.04</x:v>
      </x:c>
      <x:c r="M232" s="1">
        <x:v>1.81</x:v>
      </x:c>
      <x:c r="N232" s="1">
        <x:v>1663</x:v>
      </x:c>
      <x:c r="O232" s="1" t="s">
        <x:v>1044</x:v>
      </x:c>
      <x:c r="P232" s="42" t="str">
        <x:v>Lv40~50</x:v>
      </x:c>
      <x:c r="Q232" s="42" t="str">
        <x:v>II</x:v>
      </x:c>
      <x:c r="R232" s="42" t="str">
        <x:v>4</x:v>
      </x:c>
      <x:c r="S232" s="42" t="str">
        <x:v>정예/다중경로 대응</x:v>
      </x:c>
      <x:c r="T232" s="42" t="n">
        <x:v>14</x:v>
      </x:c>
      <x:c r="U232" s="42" t="n">
        <x:v>378</x:v>
      </x:c>
      <x:c r="V232" s="42" t="n">
        <x:v>110</x:v>
      </x:c>
      <x:c r="W232" s="42" t="n">
        <x:v>11</x:v>
      </x:c>
      <x:c r="X232" s="42" t="n">
        <x:v>33</x:v>
      </x:c>
      <x:c r="Y232" s="42" t="str"/>
    </x:row>
    <x:row r="233">
      <x:c r="A233" s="1">
        <x:v>24</x:v>
      </x:c>
      <x:c r="B233" s="1" t="s">
        <x:v>501</x:v>
      </x:c>
      <x:c r="C233" s="1" t="s">
        <x:v>403</x:v>
      </x:c>
      <x:c r="D233" s="1">
        <x:v>4</x:v>
      </x:c>
      <x:c r="E233" s="1">
        <x:v>3</x:v>
      </x:c>
      <x:c r="F233" s="1">
        <x:v>2</x:v>
      </x:c>
      <x:c r="G233" s="1" t="s">
        <x:v>1042</x:v>
      </x:c>
      <x:c r="H233" s="1">
        <x:v>29</x:v>
      </x:c>
      <x:c r="I233" s="1">
        <x:v>17</x:v>
      </x:c>
      <x:c r="J233" s="1">
        <x:v>0.86</x:v>
      </x:c>
      <x:c r="K233" s="1" t="s">
        <x:v>1155</x:v>
      </x:c>
      <x:c r="L233" s="1">
        <x:v>2.0699999999999998</x:v>
      </x:c>
      <x:c r="M233" s="1">
        <x:v>1.83</x:v>
      </x:c>
      <x:c r="N233" s="1">
        <x:v>1663</x:v>
      </x:c>
      <x:c r="O233" s="1" t="s">
        <x:v>1044</x:v>
      </x:c>
      <x:c r="P233" s="42" t="str">
        <x:v>Lv40~50</x:v>
      </x:c>
      <x:c r="Q233" s="42" t="str">
        <x:v>II</x:v>
      </x:c>
      <x:c r="R233" s="42" t="str">
        <x:v>4</x:v>
      </x:c>
      <x:c r="S233" s="42" t="str">
        <x:v>정예/다중경로 대응</x:v>
      </x:c>
      <x:c r="T233" s="42" t="n">
        <x:v>14</x:v>
      </x:c>
      <x:c r="U233" s="42" t="n">
        <x:v>406</x:v>
      </x:c>
      <x:c r="V233" s="42" t="n">
        <x:v>132</x:v>
      </x:c>
      <x:c r="W233" s="42" t="n">
        <x:v>13</x:v>
      </x:c>
      <x:c r="X233" s="42" t="n">
        <x:v>40</x:v>
      </x:c>
      <x:c r="Y233" s="42" t="str"/>
    </x:row>
    <x:row r="234">
      <x:c r="A234" s="1">
        <x:v>24</x:v>
      </x:c>
      <x:c r="B234" s="1" t="s">
        <x:v>501</x:v>
      </x:c>
      <x:c r="C234" s="1" t="s">
        <x:v>403</x:v>
      </x:c>
      <x:c r="D234" s="1">
        <x:v>4</x:v>
      </x:c>
      <x:c r="E234" s="1">
        <x:v>3</x:v>
      </x:c>
      <x:c r="F234" s="1">
        <x:v>3</x:v>
      </x:c>
      <x:c r="G234" s="1" t="s">
        <x:v>1042</x:v>
      </x:c>
      <x:c r="H234" s="1">
        <x:v>31</x:v>
      </x:c>
      <x:c r="I234" s="1">
        <x:v>18</x:v>
      </x:c>
      <x:c r="J234" s="1">
        <x:v>0.83</x:v>
      </x:c>
      <x:c r="K234" s="1" t="s">
        <x:v>1166</x:v>
      </x:c>
      <x:c r="L234" s="1">
        <x:v>2.1</x:v>
      </x:c>
      <x:c r="M234" s="1">
        <x:v>1.86</x:v>
      </x:c>
      <x:c r="N234" s="1">
        <x:v>1663</x:v>
      </x:c>
      <x:c r="O234" s="1" t="s">
        <x:v>1044</x:v>
      </x:c>
      <x:c r="P234" s="42" t="str">
        <x:v>Lv40~50</x:v>
      </x:c>
      <x:c r="Q234" s="42" t="str">
        <x:v>II</x:v>
      </x:c>
      <x:c r="R234" s="42" t="str">
        <x:v>4</x:v>
      </x:c>
      <x:c r="S234" s="42" t="str">
        <x:v>정예/다중경로 대응</x:v>
      </x:c>
      <x:c r="T234" s="42" t="n">
        <x:v>14</x:v>
      </x:c>
      <x:c r="U234" s="42" t="n">
        <x:v>434</x:v>
      </x:c>
      <x:c r="V234" s="42" t="n">
        <x:v>165</x:v>
      </x:c>
      <x:c r="W234" s="42" t="n">
        <x:v>16</x:v>
      </x:c>
      <x:c r="X234" s="42" t="n">
        <x:v>50</x:v>
      </x:c>
      <x:c r="Y234" s="42" t="str"/>
    </x:row>
    <x:row r="235">
      <x:c r="A235" s="1">
        <x:v>24</x:v>
      </x:c>
      <x:c r="B235" s="1" t="s">
        <x:v>501</x:v>
      </x:c>
      <x:c r="C235" s="1" t="s">
        <x:v>403</x:v>
      </x:c>
      <x:c r="D235" s="1">
        <x:v>4</x:v>
      </x:c>
      <x:c r="E235" s="1">
        <x:v>3</x:v>
      </x:c>
      <x:c r="F235" s="1">
        <x:v>4</x:v>
      </x:c>
      <x:c r="G235" s="1" t="s">
        <x:v>1042</x:v>
      </x:c>
      <x:c r="H235" s="1">
        <x:v>33</x:v>
      </x:c>
      <x:c r="I235" s="1">
        <x:v>19</x:v>
      </x:c>
      <x:c r="J235" s="1">
        <x:v>0.79</x:v>
      </x:c>
      <x:c r="K235" s="1" t="s">
        <x:v>1152</x:v>
      </x:c>
      <x:c r="L235" s="1">
        <x:v>2.14</x:v>
      </x:c>
      <x:c r="M235" s="1">
        <x:v>1.88</x:v>
      </x:c>
      <x:c r="N235" s="1">
        <x:v>1663</x:v>
      </x:c>
      <x:c r="O235" s="1" t="s">
        <x:v>1047</x:v>
      </x:c>
      <x:c r="P235" s="42" t="str">
        <x:v>Lv40~50</x:v>
      </x:c>
      <x:c r="Q235" s="42" t="str">
        <x:v>II</x:v>
      </x:c>
      <x:c r="R235" s="42" t="str">
        <x:v>4</x:v>
      </x:c>
      <x:c r="S235" s="42" t="str">
        <x:v>정예/다중경로 대응</x:v>
      </x:c>
      <x:c r="T235" s="42" t="n">
        <x:v>14</x:v>
      </x:c>
      <x:c r="U235" s="42" t="n">
        <x:v>462</x:v>
      </x:c>
      <x:c r="V235" s="42" t="n">
        <x:v>198</x:v>
      </x:c>
      <x:c r="W235" s="42" t="n">
        <x:v>20</x:v>
      </x:c>
      <x:c r="X235" s="42" t="n">
        <x:v>59</x:v>
      </x:c>
      <x:c r="Y235" s="42" t="str"/>
    </x:row>
    <x:row r="236">
      <x:c r="A236" s="1">
        <x:v>24</x:v>
      </x:c>
      <x:c r="B236" s="1" t="s">
        <x:v>501</x:v>
      </x:c>
      <x:c r="C236" s="1" t="s">
        <x:v>403</x:v>
      </x:c>
      <x:c r="D236" s="1">
        <x:v>4</x:v>
      </x:c>
      <x:c r="E236" s="1">
        <x:v>3</x:v>
      </x:c>
      <x:c r="F236" s="1">
        <x:v>5</x:v>
      </x:c>
      <x:c r="G236" s="1" t="s">
        <x:v>1048</x:v>
      </x:c>
      <x:c r="H236" s="1">
        <x:v>27</x:v>
      </x:c>
      <x:c r="I236" s="1">
        <x:v>20</x:v>
      </x:c>
      <x:c r="J236" s="1">
        <x:v>0.76</x:v>
      </x:c>
      <x:c r="K236" s="1" t="s">
        <x:v>1167</x:v>
      </x:c>
      <x:c r="L236" s="1">
        <x:v>2.1800000000000002</x:v>
      </x:c>
      <x:c r="M236" s="1">
        <x:v>1.91</x:v>
      </x:c>
      <x:c r="N236" s="1">
        <x:v>1663</x:v>
      </x:c>
      <x:c r="O236" s="1" t="s">
        <x:v>1050</x:v>
      </x:c>
      <x:c r="P236" s="42" t="str">
        <x:v>Lv40~50</x:v>
      </x:c>
      <x:c r="Q236" s="42" t="str">
        <x:v>II</x:v>
      </x:c>
      <x:c r="R236" s="42" t="str">
        <x:v>4</x:v>
      </x:c>
      <x:c r="S236" s="42" t="str">
        <x:v>정예/다중경로 대응</x:v>
      </x:c>
      <x:c r="T236" s="42" t="n">
        <x:v>14</x:v>
      </x:c>
      <x:c r="U236" s="42" t="n">
        <x:v>606</x:v>
      </x:c>
      <x:c r="V236" s="42" t="n">
        <x:v>330</x:v>
      </x:c>
      <x:c r="W236" s="42" t="n">
        <x:v>33</x:v>
      </x:c>
      <x:c r="X236" s="42" t="n">
        <x:v>99</x:v>
      </x:c>
      <x:c r="Y236" s="42" t="str">
        <x:v>중간보스 현상금 포함</x:v>
      </x:c>
    </x:row>
    <x:row r="237">
      <x:c r="A237" s="1">
        <x:v>24</x:v>
      </x:c>
      <x:c r="B237" s="1" t="s">
        <x:v>501</x:v>
      </x:c>
      <x:c r="C237" s="1" t="s">
        <x:v>403</x:v>
      </x:c>
      <x:c r="D237" s="1">
        <x:v>4</x:v>
      </x:c>
      <x:c r="E237" s="1">
        <x:v>3</x:v>
      </x:c>
      <x:c r="F237" s="1">
        <x:v>6</x:v>
      </x:c>
      <x:c r="G237" s="1" t="s">
        <x:v>1042</x:v>
      </x:c>
      <x:c r="H237" s="1">
        <x:v>37</x:v>
      </x:c>
      <x:c r="I237" s="1">
        <x:v>21</x:v>
      </x:c>
      <x:c r="J237" s="1">
        <x:v>0.72</x:v>
      </x:c>
      <x:c r="K237" s="1" t="s">
        <x:v>1168</x:v>
      </x:c>
      <x:c r="L237" s="1">
        <x:v>2.21</x:v>
      </x:c>
      <x:c r="M237" s="1">
        <x:v>1.93</x:v>
      </x:c>
      <x:c r="N237" s="1">
        <x:v>1663</x:v>
      </x:c>
      <x:c r="O237" s="1" t="s">
        <x:v>1052</x:v>
      </x:c>
      <x:c r="P237" s="42" t="str">
        <x:v>Lv40~50</x:v>
      </x:c>
      <x:c r="Q237" s="42" t="str">
        <x:v>II</x:v>
      </x:c>
      <x:c r="R237" s="42" t="str">
        <x:v>4</x:v>
      </x:c>
      <x:c r="S237" s="42" t="str">
        <x:v>정예/다중경로 대응</x:v>
      </x:c>
      <x:c r="T237" s="42" t="n">
        <x:v>14</x:v>
      </x:c>
      <x:c r="U237" s="42" t="n">
        <x:v>518</x:v>
      </x:c>
      <x:c r="V237" s="42" t="n">
        <x:v>242</x:v>
      </x:c>
      <x:c r="W237" s="42" t="n">
        <x:v>24</x:v>
      </x:c>
      <x:c r="X237" s="42" t="n">
        <x:v>73</x:v>
      </x:c>
      <x:c r="Y237" s="42" t="str"/>
    </x:row>
    <x:row r="238">
      <x:c r="A238" s="1">
        <x:v>24</x:v>
      </x:c>
      <x:c r="B238" s="1" t="s">
        <x:v>501</x:v>
      </x:c>
      <x:c r="C238" s="1" t="s">
        <x:v>403</x:v>
      </x:c>
      <x:c r="D238" s="1">
        <x:v>4</x:v>
      </x:c>
      <x:c r="E238" s="1">
        <x:v>3</x:v>
      </x:c>
      <x:c r="F238" s="1">
        <x:v>7</x:v>
      </x:c>
      <x:c r="G238" s="1" t="s">
        <x:v>1042</x:v>
      </x:c>
      <x:c r="H238" s="1">
        <x:v>39</x:v>
      </x:c>
      <x:c r="I238" s="1">
        <x:v>23</x:v>
      </x:c>
      <x:c r="J238" s="1">
        <x:v>0.69</x:v>
      </x:c>
      <x:c r="K238" s="1" t="s">
        <x:v>1169</x:v>
      </x:c>
      <x:c r="L238" s="1">
        <x:v>2.25</x:v>
      </x:c>
      <x:c r="M238" s="1">
        <x:v>1.96</x:v>
      </x:c>
      <x:c r="N238" s="1">
        <x:v>1663</x:v>
      </x:c>
      <x:c r="O238" s="1" t="s">
        <x:v>1052</x:v>
      </x:c>
      <x:c r="P238" s="42" t="str">
        <x:v>Lv40~50</x:v>
      </x:c>
      <x:c r="Q238" s="42" t="str">
        <x:v>II</x:v>
      </x:c>
      <x:c r="R238" s="42" t="str">
        <x:v>4</x:v>
      </x:c>
      <x:c r="S238" s="42" t="str">
        <x:v>정예/다중경로 대응</x:v>
      </x:c>
      <x:c r="T238" s="42" t="n">
        <x:v>14</x:v>
      </x:c>
      <x:c r="U238" s="42" t="n">
        <x:v>546</x:v>
      </x:c>
      <x:c r="V238" s="42" t="n">
        <x:v>330</x:v>
      </x:c>
      <x:c r="W238" s="42" t="n">
        <x:v>33</x:v>
      </x:c>
      <x:c r="X238" s="42" t="n">
        <x:v>99</x:v>
      </x:c>
      <x:c r="Y238" s="42" t="str"/>
    </x:row>
    <x:row r="239">
      <x:c r="A239" s="1">
        <x:v>24</x:v>
      </x:c>
      <x:c r="B239" s="1" t="s">
        <x:v>501</x:v>
      </x:c>
      <x:c r="C239" s="1" t="s">
        <x:v>403</x:v>
      </x:c>
      <x:c r="D239" s="1">
        <x:v>4</x:v>
      </x:c>
      <x:c r="E239" s="1">
        <x:v>3</x:v>
      </x:c>
      <x:c r="F239" s="1">
        <x:v>8</x:v>
      </x:c>
      <x:c r="G239" s="1" t="s">
        <x:v>1042</x:v>
      </x:c>
      <x:c r="H239" s="1">
        <x:v>41</x:v>
      </x:c>
      <x:c r="I239" s="1">
        <x:v>24</x:v>
      </x:c>
      <x:c r="J239" s="1">
        <x:v>0.65</x:v>
      </x:c>
      <x:c r="K239" s="1" t="s">
        <x:v>1152</x:v>
      </x:c>
      <x:c r="L239" s="1">
        <x:v>2.2799999999999998</x:v>
      </x:c>
      <x:c r="M239" s="1">
        <x:v>1.98</x:v>
      </x:c>
      <x:c r="N239" s="1">
        <x:v>1663</x:v>
      </x:c>
      <x:c r="O239" s="1" t="s">
        <x:v>1052</x:v>
      </x:c>
      <x:c r="P239" s="42" t="str">
        <x:v>Lv40~50</x:v>
      </x:c>
      <x:c r="Q239" s="42" t="str">
        <x:v>II</x:v>
      </x:c>
      <x:c r="R239" s="42" t="str">
        <x:v>4</x:v>
      </x:c>
      <x:c r="S239" s="42" t="str">
        <x:v>정예/다중경로 대응</x:v>
      </x:c>
      <x:c r="T239" s="42" t="n">
        <x:v>14</x:v>
      </x:c>
      <x:c r="U239" s="42" t="n">
        <x:v>574</x:v>
      </x:c>
      <x:c r="V239" s="42" t="n">
        <x:v>440</x:v>
      </x:c>
      <x:c r="W239" s="42" t="n">
        <x:v>44</x:v>
      </x:c>
      <x:c r="X239" s="42" t="n">
        <x:v>132</x:v>
      </x:c>
      <x:c r="Y239" s="42" t="str"/>
    </x:row>
    <x:row r="240">
      <x:c r="A240" s="1">
        <x:v>24</x:v>
      </x:c>
      <x:c r="B240" s="1" t="s">
        <x:v>501</x:v>
      </x:c>
      <x:c r="C240" s="1" t="s">
        <x:v>403</x:v>
      </x:c>
      <x:c r="D240" s="1">
        <x:v>4</x:v>
      </x:c>
      <x:c r="E240" s="1">
        <x:v>3</x:v>
      </x:c>
      <x:c r="F240" s="1">
        <x:v>9</x:v>
      </x:c>
      <x:c r="G240" s="1" t="s">
        <x:v>1042</x:v>
      </x:c>
      <x:c r="H240" s="1">
        <x:v>43</x:v>
      </x:c>
      <x:c r="I240" s="1">
        <x:v>25</x:v>
      </x:c>
      <x:c r="J240" s="1">
        <x:v>0.62</x:v>
      </x:c>
      <x:c r="K240" s="1" t="s">
        <x:v>1170</x:v>
      </x:c>
      <x:c r="L240" s="1">
        <x:v>2.3199999999999998</x:v>
      </x:c>
      <x:c r="M240" s="1">
        <x:v>2.0099999999999998</x:v>
      </x:c>
      <x:c r="N240" s="1">
        <x:v>1663</x:v>
      </x:c>
      <x:c r="O240" s="1" t="s">
        <x:v>1056</x:v>
      </x:c>
      <x:c r="P240" s="42" t="str">
        <x:v>Lv40~50</x:v>
      </x:c>
      <x:c r="Q240" s="42" t="str">
        <x:v>II</x:v>
      </x:c>
      <x:c r="R240" s="42" t="str">
        <x:v>4</x:v>
      </x:c>
      <x:c r="S240" s="42" t="str">
        <x:v>정예/다중경로 대응</x:v>
      </x:c>
      <x:c r="T240" s="42" t="n">
        <x:v>14</x:v>
      </x:c>
      <x:c r="U240" s="42" t="n">
        <x:v>602</x:v>
      </x:c>
      <x:c r="V240" s="42" t="n">
        <x:v>550</x:v>
      </x:c>
      <x:c r="W240" s="42" t="n">
        <x:v>55</x:v>
      </x:c>
      <x:c r="X240" s="42" t="n">
        <x:v>165</x:v>
      </x:c>
      <x:c r="Y240" s="42" t="str"/>
    </x:row>
    <x:row r="241">
      <x:c r="A241" s="1">
        <x:v>24</x:v>
      </x:c>
      <x:c r="B241" s="1" t="s">
        <x:v>501</x:v>
      </x:c>
      <x:c r="C241" s="1" t="s">
        <x:v>403</x:v>
      </x:c>
      <x:c r="D241" s="1">
        <x:v>4</x:v>
      </x:c>
      <x:c r="E241" s="1">
        <x:v>3</x:v>
      </x:c>
      <x:c r="F241" s="1">
        <x:v>10</x:v>
      </x:c>
      <x:c r="G241" s="1" t="s">
        <x:v>1057</x:v>
      </x:c>
      <x:c r="H241" s="1">
        <x:v>35</x:v>
      </x:c>
      <x:c r="I241" s="1">
        <x:v>26</x:v>
      </x:c>
      <x:c r="J241" s="1">
        <x:v>0.57999999999999996</x:v>
      </x:c>
      <x:c r="K241" s="1" t="s">
        <x:v>1171</x:v>
      </x:c>
      <x:c r="L241" s="1">
        <x:v>2.35</x:v>
      </x:c>
      <x:c r="M241" s="1">
        <x:v>2.0299999999999998</x:v>
      </x:c>
      <x:c r="N241" s="1">
        <x:v>1663</x:v>
      </x:c>
      <x:c r="O241" s="1" t="s">
        <x:v>1059</x:v>
      </x:c>
      <x:c r="P241" s="42" t="str">
        <x:v>Lv40~50</x:v>
      </x:c>
      <x:c r="Q241" s="42" t="str">
        <x:v>II</x:v>
      </x:c>
      <x:c r="R241" s="42" t="str">
        <x:v>4</x:v>
      </x:c>
      <x:c r="S241" s="42" t="str">
        <x:v>정예/다중경로 대응</x:v>
      </x:c>
      <x:c r="T241" s="42" t="n">
        <x:v>14</x:v>
      </x:c>
      <x:c r="U241" s="42" t="n">
        <x:v>476</x:v>
      </x:c>
      <x:c r="V241" s="42" t="n">
        <x:v>0</x:v>
      </x:c>
      <x:c r="W241" s="42" t="n">
        <x:v>0</x:v>
      </x:c>
      <x:c r="X241" s="42" t="n">
        <x:v>0</x:v>
      </x:c>
      <x:c r="Y241" s="42" t="str">
        <x:v>보스 처치 보상은 로비 보상으로 분리</x:v>
      </x:c>
    </x:row>
    <x:row r="242">
      <x:c r="A242" s="1">
        <x:v>25</x:v>
      </x:c>
      <x:c r="B242" s="1" t="s">
        <x:v>501</x:v>
      </x:c>
      <x:c r="C242" s="1" t="s">
        <x:v>403</x:v>
      </x:c>
      <x:c r="D242" s="1">
        <x:v>5</x:v>
      </x:c>
      <x:c r="E242" s="1">
        <x:v>4</x:v>
      </x:c>
      <x:c r="F242" s="1">
        <x:v>1</x:v>
      </x:c>
      <x:c r="G242" s="1" t="s">
        <x:v>1042</x:v>
      </x:c>
      <x:c r="H242" s="1">
        <x:v>29</x:v>
      </x:c>
      <x:c r="I242" s="1">
        <x:v>17</x:v>
      </x:c>
      <x:c r="J242" s="1">
        <x:v>0.88</x:v>
      </x:c>
      <x:c r="K242" s="1" t="s">
        <x:v>1172</x:v>
      </x:c>
      <x:c r="L242" s="1">
        <x:v>2.08</x:v>
      </x:c>
      <x:c r="M242" s="1">
        <x:v>1.84</x:v>
      </x:c>
      <x:c r="N242" s="1">
        <x:v>1879</x:v>
      </x:c>
      <x:c r="O242" s="1" t="s">
        <x:v>1044</x:v>
      </x:c>
      <x:c r="P242" s="42" t="str">
        <x:v>Lv40~50</x:v>
      </x:c>
      <x:c r="Q242" s="42" t="str">
        <x:v>II</x:v>
      </x:c>
      <x:c r="R242" s="42" t="str">
        <x:v>4</x:v>
      </x:c>
      <x:c r="S242" s="42" t="str">
        <x:v>정예/다중경로 대응</x:v>
      </x:c>
      <x:c r="T242" s="42" t="n">
        <x:v>14</x:v>
      </x:c>
      <x:c r="U242" s="42" t="n">
        <x:v>406</x:v>
      </x:c>
      <x:c r="V242" s="42" t="n">
        <x:v>110</x:v>
      </x:c>
      <x:c r="W242" s="42" t="n">
        <x:v>11</x:v>
      </x:c>
      <x:c r="X242" s="42" t="n">
        <x:v>33</x:v>
      </x:c>
      <x:c r="Y242" s="42" t="str"/>
    </x:row>
    <x:row r="243">
      <x:c r="A243" s="1">
        <x:v>25</x:v>
      </x:c>
      <x:c r="B243" s="1" t="s">
        <x:v>501</x:v>
      </x:c>
      <x:c r="C243" s="1" t="s">
        <x:v>403</x:v>
      </x:c>
      <x:c r="D243" s="1">
        <x:v>5</x:v>
      </x:c>
      <x:c r="E243" s="1">
        <x:v>4</x:v>
      </x:c>
      <x:c r="F243" s="1">
        <x:v>2</x:v>
      </x:c>
      <x:c r="G243" s="1" t="s">
        <x:v>1042</x:v>
      </x:c>
      <x:c r="H243" s="1">
        <x:v>31</x:v>
      </x:c>
      <x:c r="I243" s="1">
        <x:v>18</x:v>
      </x:c>
      <x:c r="J243" s="1">
        <x:v>0.85</x:v>
      </x:c>
      <x:c r="K243" s="1" t="s">
        <x:v>1166</x:v>
      </x:c>
      <x:c r="L243" s="1">
        <x:v>2.12</x:v>
      </x:c>
      <x:c r="M243" s="1">
        <x:v>1.86</x:v>
      </x:c>
      <x:c r="N243" s="1">
        <x:v>1879</x:v>
      </x:c>
      <x:c r="O243" s="1" t="s">
        <x:v>1044</x:v>
      </x:c>
      <x:c r="P243" s="42" t="str">
        <x:v>Lv40~50</x:v>
      </x:c>
      <x:c r="Q243" s="42" t="str">
        <x:v>II</x:v>
      </x:c>
      <x:c r="R243" s="42" t="str">
        <x:v>4</x:v>
      </x:c>
      <x:c r="S243" s="42" t="str">
        <x:v>정예/다중경로 대응</x:v>
      </x:c>
      <x:c r="T243" s="42" t="n">
        <x:v>14</x:v>
      </x:c>
      <x:c r="U243" s="42" t="n">
        <x:v>434</x:v>
      </x:c>
      <x:c r="V243" s="42" t="n">
        <x:v>132</x:v>
      </x:c>
      <x:c r="W243" s="42" t="n">
        <x:v>13</x:v>
      </x:c>
      <x:c r="X243" s="42" t="n">
        <x:v>40</x:v>
      </x:c>
      <x:c r="Y243" s="42" t="str"/>
    </x:row>
    <x:row r="244">
      <x:c r="A244" s="1">
        <x:v>25</x:v>
      </x:c>
      <x:c r="B244" s="1" t="s">
        <x:v>501</x:v>
      </x:c>
      <x:c r="C244" s="1" t="s">
        <x:v>403</x:v>
      </x:c>
      <x:c r="D244" s="1">
        <x:v>5</x:v>
      </x:c>
      <x:c r="E244" s="1">
        <x:v>4</x:v>
      </x:c>
      <x:c r="F244" s="1">
        <x:v>3</x:v>
      </x:c>
      <x:c r="G244" s="1" t="s">
        <x:v>1042</x:v>
      </x:c>
      <x:c r="H244" s="1">
        <x:v>33</x:v>
      </x:c>
      <x:c r="I244" s="1">
        <x:v>19</x:v>
      </x:c>
      <x:c r="J244" s="1">
        <x:v>0.81</x:v>
      </x:c>
      <x:c r="K244" s="1" t="s">
        <x:v>1173</x:v>
      </x:c>
      <x:c r="L244" s="1">
        <x:v>2.15</x:v>
      </x:c>
      <x:c r="M244" s="1">
        <x:v>1.89</x:v>
      </x:c>
      <x:c r="N244" s="1">
        <x:v>1879</x:v>
      </x:c>
      <x:c r="O244" s="1" t="s">
        <x:v>1044</x:v>
      </x:c>
      <x:c r="P244" s="42" t="str">
        <x:v>Lv40~50</x:v>
      </x:c>
      <x:c r="Q244" s="42" t="str">
        <x:v>II</x:v>
      </x:c>
      <x:c r="R244" s="42" t="str">
        <x:v>4</x:v>
      </x:c>
      <x:c r="S244" s="42" t="str">
        <x:v>정예/다중경로 대응</x:v>
      </x:c>
      <x:c r="T244" s="42" t="n">
        <x:v>14</x:v>
      </x:c>
      <x:c r="U244" s="42" t="n">
        <x:v>462</x:v>
      </x:c>
      <x:c r="V244" s="42" t="n">
        <x:v>165</x:v>
      </x:c>
      <x:c r="W244" s="42" t="n">
        <x:v>16</x:v>
      </x:c>
      <x:c r="X244" s="42" t="n">
        <x:v>50</x:v>
      </x:c>
      <x:c r="Y244" s="42" t="str"/>
    </x:row>
    <x:row r="245">
      <x:c r="A245" s="1">
        <x:v>25</x:v>
      </x:c>
      <x:c r="B245" s="1" t="s">
        <x:v>501</x:v>
      </x:c>
      <x:c r="C245" s="1" t="s">
        <x:v>403</x:v>
      </x:c>
      <x:c r="D245" s="1">
        <x:v>5</x:v>
      </x:c>
      <x:c r="E245" s="1">
        <x:v>4</x:v>
      </x:c>
      <x:c r="F245" s="1">
        <x:v>4</x:v>
      </x:c>
      <x:c r="G245" s="1" t="s">
        <x:v>1042</x:v>
      </x:c>
      <x:c r="H245" s="1">
        <x:v>35</x:v>
      </x:c>
      <x:c r="I245" s="1">
        <x:v>20</x:v>
      </x:c>
      <x:c r="J245" s="1">
        <x:v>0.78</x:v>
      </x:c>
      <x:c r="K245" s="1" t="s">
        <x:v>1174</x:v>
      </x:c>
      <x:c r="L245" s="1">
        <x:v>2.19</x:v>
      </x:c>
      <x:c r="M245" s="1">
        <x:v>1.92</x:v>
      </x:c>
      <x:c r="N245" s="1">
        <x:v>1879</x:v>
      </x:c>
      <x:c r="O245" s="1" t="s">
        <x:v>1047</x:v>
      </x:c>
      <x:c r="P245" s="42" t="str">
        <x:v>Lv40~50</x:v>
      </x:c>
      <x:c r="Q245" s="42" t="str">
        <x:v>II</x:v>
      </x:c>
      <x:c r="R245" s="42" t="str">
        <x:v>4</x:v>
      </x:c>
      <x:c r="S245" s="42" t="str">
        <x:v>정예/다중경로 대응</x:v>
      </x:c>
      <x:c r="T245" s="42" t="n">
        <x:v>14</x:v>
      </x:c>
      <x:c r="U245" s="42" t="n">
        <x:v>490</x:v>
      </x:c>
      <x:c r="V245" s="42" t="n">
        <x:v>198</x:v>
      </x:c>
      <x:c r="W245" s="42" t="n">
        <x:v>20</x:v>
      </x:c>
      <x:c r="X245" s="42" t="n">
        <x:v>59</x:v>
      </x:c>
      <x:c r="Y245" s="42" t="str"/>
    </x:row>
    <x:row r="246">
      <x:c r="A246" s="1">
        <x:v>25</x:v>
      </x:c>
      <x:c r="B246" s="1" t="s">
        <x:v>501</x:v>
      </x:c>
      <x:c r="C246" s="1" t="s">
        <x:v>403</x:v>
      </x:c>
      <x:c r="D246" s="1">
        <x:v>5</x:v>
      </x:c>
      <x:c r="E246" s="1">
        <x:v>4</x:v>
      </x:c>
      <x:c r="F246" s="1">
        <x:v>5</x:v>
      </x:c>
      <x:c r="G246" s="1" t="s">
        <x:v>1048</x:v>
      </x:c>
      <x:c r="H246" s="1">
        <x:v>29</x:v>
      </x:c>
      <x:c r="I246" s="1">
        <x:v>21</x:v>
      </x:c>
      <x:c r="J246" s="1">
        <x:v>0.74</x:v>
      </x:c>
      <x:c r="K246" s="1" t="s">
        <x:v>1175</x:v>
      </x:c>
      <x:c r="L246" s="1">
        <x:v>2.2200000000000002</x:v>
      </x:c>
      <x:c r="M246" s="1">
        <x:v>1.94</x:v>
      </x:c>
      <x:c r="N246" s="1">
        <x:v>1879</x:v>
      </x:c>
      <x:c r="O246" s="1" t="s">
        <x:v>1050</x:v>
      </x:c>
      <x:c r="P246" s="42" t="str">
        <x:v>Lv40~50</x:v>
      </x:c>
      <x:c r="Q246" s="42" t="str">
        <x:v>II</x:v>
      </x:c>
      <x:c r="R246" s="42" t="str">
        <x:v>4</x:v>
      </x:c>
      <x:c r="S246" s="42" t="str">
        <x:v>정예/다중경로 대응</x:v>
      </x:c>
      <x:c r="T246" s="42" t="n">
        <x:v>14</x:v>
      </x:c>
      <x:c r="U246" s="42" t="n">
        <x:v>637</x:v>
      </x:c>
      <x:c r="V246" s="42" t="n">
        <x:v>330</x:v>
      </x:c>
      <x:c r="W246" s="42" t="n">
        <x:v>33</x:v>
      </x:c>
      <x:c r="X246" s="42" t="n">
        <x:v>99</x:v>
      </x:c>
      <x:c r="Y246" s="42" t="str">
        <x:v>중간보스 현상금 포함</x:v>
      </x:c>
    </x:row>
    <x:row r="247">
      <x:c r="A247" s="1">
        <x:v>25</x:v>
      </x:c>
      <x:c r="B247" s="1" t="s">
        <x:v>501</x:v>
      </x:c>
      <x:c r="C247" s="1" t="s">
        <x:v>403</x:v>
      </x:c>
      <x:c r="D247" s="1">
        <x:v>5</x:v>
      </x:c>
      <x:c r="E247" s="1">
        <x:v>4</x:v>
      </x:c>
      <x:c r="F247" s="1">
        <x:v>6</x:v>
      </x:c>
      <x:c r="G247" s="1" t="s">
        <x:v>1042</x:v>
      </x:c>
      <x:c r="H247" s="1">
        <x:v>39</x:v>
      </x:c>
      <x:c r="I247" s="1">
        <x:v>23</x:v>
      </x:c>
      <x:c r="J247" s="1">
        <x:v>0.71</x:v>
      </x:c>
      <x:c r="K247" s="1" t="s">
        <x:v>1173</x:v>
      </x:c>
      <x:c r="L247" s="1">
        <x:v>2.25</x:v>
      </x:c>
      <x:c r="M247" s="1">
        <x:v>1.97</x:v>
      </x:c>
      <x:c r="N247" s="1">
        <x:v>1879</x:v>
      </x:c>
      <x:c r="O247" s="1" t="s">
        <x:v>1052</x:v>
      </x:c>
      <x:c r="P247" s="42" t="str">
        <x:v>Lv40~50</x:v>
      </x:c>
      <x:c r="Q247" s="42" t="str">
        <x:v>II</x:v>
      </x:c>
      <x:c r="R247" s="42" t="str">
        <x:v>4</x:v>
      </x:c>
      <x:c r="S247" s="42" t="str">
        <x:v>정예/다중경로 대응</x:v>
      </x:c>
      <x:c r="T247" s="42" t="n">
        <x:v>14</x:v>
      </x:c>
      <x:c r="U247" s="42" t="n">
        <x:v>546</x:v>
      </x:c>
      <x:c r="V247" s="42" t="n">
        <x:v>242</x:v>
      </x:c>
      <x:c r="W247" s="42" t="n">
        <x:v>24</x:v>
      </x:c>
      <x:c r="X247" s="42" t="n">
        <x:v>73</x:v>
      </x:c>
      <x:c r="Y247" s="42" t="str"/>
    </x:row>
    <x:row r="248">
      <x:c r="A248" s="1">
        <x:v>25</x:v>
      </x:c>
      <x:c r="B248" s="1" t="s">
        <x:v>501</x:v>
      </x:c>
      <x:c r="C248" s="1" t="s">
        <x:v>403</x:v>
      </x:c>
      <x:c r="D248" s="1">
        <x:v>5</x:v>
      </x:c>
      <x:c r="E248" s="1">
        <x:v>4</x:v>
      </x:c>
      <x:c r="F248" s="1">
        <x:v>7</x:v>
      </x:c>
      <x:c r="G248" s="1" t="s">
        <x:v>1042</x:v>
      </x:c>
      <x:c r="H248" s="1">
        <x:v>41</x:v>
      </x:c>
      <x:c r="I248" s="1">
        <x:v>24</x:v>
      </x:c>
      <x:c r="J248" s="1">
        <x:v>0.67</x:v>
      </x:c>
      <x:c r="K248" s="1" t="s">
        <x:v>1174</x:v>
      </x:c>
      <x:c r="L248" s="1">
        <x:v>2.29</x:v>
      </x:c>
      <x:c r="M248" s="1">
        <x:v>1.99</x:v>
      </x:c>
      <x:c r="N248" s="1">
        <x:v>1879</x:v>
      </x:c>
      <x:c r="O248" s="1" t="s">
        <x:v>1052</x:v>
      </x:c>
      <x:c r="P248" s="42" t="str">
        <x:v>Lv40~50</x:v>
      </x:c>
      <x:c r="Q248" s="42" t="str">
        <x:v>II</x:v>
      </x:c>
      <x:c r="R248" s="42" t="str">
        <x:v>4</x:v>
      </x:c>
      <x:c r="S248" s="42" t="str">
        <x:v>정예/다중경로 대응</x:v>
      </x:c>
      <x:c r="T248" s="42" t="n">
        <x:v>14</x:v>
      </x:c>
      <x:c r="U248" s="42" t="n">
        <x:v>574</x:v>
      </x:c>
      <x:c r="V248" s="42" t="n">
        <x:v>330</x:v>
      </x:c>
      <x:c r="W248" s="42" t="n">
        <x:v>33</x:v>
      </x:c>
      <x:c r="X248" s="42" t="n">
        <x:v>99</x:v>
      </x:c>
      <x:c r="Y248" s="42" t="str"/>
    </x:row>
    <x:row r="249">
      <x:c r="A249" s="1">
        <x:v>25</x:v>
      </x:c>
      <x:c r="B249" s="1" t="s">
        <x:v>501</x:v>
      </x:c>
      <x:c r="C249" s="1" t="s">
        <x:v>403</x:v>
      </x:c>
      <x:c r="D249" s="1">
        <x:v>5</x:v>
      </x:c>
      <x:c r="E249" s="1">
        <x:v>4</x:v>
      </x:c>
      <x:c r="F249" s="1">
        <x:v>8</x:v>
      </x:c>
      <x:c r="G249" s="1" t="s">
        <x:v>1042</x:v>
      </x:c>
      <x:c r="H249" s="1">
        <x:v>43</x:v>
      </x:c>
      <x:c r="I249" s="1">
        <x:v>25</x:v>
      </x:c>
      <x:c r="J249" s="1">
        <x:v>0.64</x:v>
      </x:c>
      <x:c r="K249" s="1" t="s">
        <x:v>1170</x:v>
      </x:c>
      <x:c r="L249" s="1">
        <x:v>2.33</x:v>
      </x:c>
      <x:c r="M249" s="1">
        <x:v>2.02</x:v>
      </x:c>
      <x:c r="N249" s="1">
        <x:v>1879</x:v>
      </x:c>
      <x:c r="O249" s="1" t="s">
        <x:v>1052</x:v>
      </x:c>
      <x:c r="P249" s="42" t="str">
        <x:v>Lv40~50</x:v>
      </x:c>
      <x:c r="Q249" s="42" t="str">
        <x:v>II</x:v>
      </x:c>
      <x:c r="R249" s="42" t="str">
        <x:v>4</x:v>
      </x:c>
      <x:c r="S249" s="42" t="str">
        <x:v>정예/다중경로 대응</x:v>
      </x:c>
      <x:c r="T249" s="42" t="n">
        <x:v>14</x:v>
      </x:c>
      <x:c r="U249" s="42" t="n">
        <x:v>602</x:v>
      </x:c>
      <x:c r="V249" s="42" t="n">
        <x:v>440</x:v>
      </x:c>
      <x:c r="W249" s="42" t="n">
        <x:v>44</x:v>
      </x:c>
      <x:c r="X249" s="42" t="n">
        <x:v>132</x:v>
      </x:c>
      <x:c r="Y249" s="42" t="str"/>
    </x:row>
    <x:row r="250">
      <x:c r="A250" s="1">
        <x:v>25</x:v>
      </x:c>
      <x:c r="B250" s="1" t="s">
        <x:v>501</x:v>
      </x:c>
      <x:c r="C250" s="1" t="s">
        <x:v>403</x:v>
      </x:c>
      <x:c r="D250" s="1">
        <x:v>5</x:v>
      </x:c>
      <x:c r="E250" s="1">
        <x:v>4</x:v>
      </x:c>
      <x:c r="F250" s="1">
        <x:v>9</x:v>
      </x:c>
      <x:c r="G250" s="1" t="s">
        <x:v>1042</x:v>
      </x:c>
      <x:c r="H250" s="1">
        <x:v>45</x:v>
      </x:c>
      <x:c r="I250" s="1">
        <x:v>26</x:v>
      </x:c>
      <x:c r="J250" s="1">
        <x:v>0.6</x:v>
      </x:c>
      <x:c r="K250" s="1" t="s">
        <x:v>1173</x:v>
      </x:c>
      <x:c r="L250" s="1">
        <x:v>2.36</x:v>
      </x:c>
      <x:c r="M250" s="1">
        <x:v>2.04</x:v>
      </x:c>
      <x:c r="N250" s="1">
        <x:v>1879</x:v>
      </x:c>
      <x:c r="O250" s="1" t="s">
        <x:v>1056</x:v>
      </x:c>
      <x:c r="P250" s="42" t="str">
        <x:v>Lv40~50</x:v>
      </x:c>
      <x:c r="Q250" s="42" t="str">
        <x:v>II</x:v>
      </x:c>
      <x:c r="R250" s="42" t="str">
        <x:v>4</x:v>
      </x:c>
      <x:c r="S250" s="42" t="str">
        <x:v>정예/다중경로 대응</x:v>
      </x:c>
      <x:c r="T250" s="42" t="n">
        <x:v>14</x:v>
      </x:c>
      <x:c r="U250" s="42" t="n">
        <x:v>630</x:v>
      </x:c>
      <x:c r="V250" s="42" t="n">
        <x:v>550</x:v>
      </x:c>
      <x:c r="W250" s="42" t="n">
        <x:v>55</x:v>
      </x:c>
      <x:c r="X250" s="42" t="n">
        <x:v>165</x:v>
      </x:c>
      <x:c r="Y250" s="42" t="str"/>
    </x:row>
    <x:row r="251">
      <x:c r="A251" s="1">
        <x:v>25</x:v>
      </x:c>
      <x:c r="B251" s="1" t="s">
        <x:v>501</x:v>
      </x:c>
      <x:c r="C251" s="1" t="s">
        <x:v>403</x:v>
      </x:c>
      <x:c r="D251" s="1">
        <x:v>5</x:v>
      </x:c>
      <x:c r="E251" s="1">
        <x:v>4</x:v>
      </x:c>
      <x:c r="F251" s="1">
        <x:v>10</x:v>
      </x:c>
      <x:c r="G251" s="1" t="s">
        <x:v>1057</x:v>
      </x:c>
      <x:c r="H251" s="1">
        <x:v>37</x:v>
      </x:c>
      <x:c r="I251" s="1">
        <x:v>27</x:v>
      </x:c>
      <x:c r="J251" s="1">
        <x:v>0.56999999999999995</x:v>
      </x:c>
      <x:c r="K251" s="1" t="s">
        <x:v>1176</x:v>
      </x:c>
      <x:c r="L251" s="1">
        <x:v>2.4</x:v>
      </x:c>
      <x:c r="M251" s="1">
        <x:v>2.06</x:v>
      </x:c>
      <x:c r="N251" s="1">
        <x:v>1879</x:v>
      </x:c>
      <x:c r="O251" s="1" t="s">
        <x:v>1059</x:v>
      </x:c>
      <x:c r="P251" s="42" t="str">
        <x:v>Lv40~50</x:v>
      </x:c>
      <x:c r="Q251" s="42" t="str">
        <x:v>II</x:v>
      </x:c>
      <x:c r="R251" s="42" t="str">
        <x:v>4</x:v>
      </x:c>
      <x:c r="S251" s="42" t="str">
        <x:v>정예/다중경로 대응</x:v>
      </x:c>
      <x:c r="T251" s="42" t="n">
        <x:v>14</x:v>
      </x:c>
      <x:c r="U251" s="42" t="n">
        <x:v>504</x:v>
      </x:c>
      <x:c r="V251" s="42" t="n">
        <x:v>0</x:v>
      </x:c>
      <x:c r="W251" s="42" t="n">
        <x:v>0</x:v>
      </x:c>
      <x:c r="X251" s="42" t="n">
        <x:v>0</x:v>
      </x:c>
      <x:c r="Y251" s="42" t="str">
        <x:v>보스 처치 보상은 로비 보상으로 분리</x:v>
      </x:c>
    </x:row>
    <x:row r="252">
      <x:c r="A252" s="1">
        <x:v>26</x:v>
      </x:c>
      <x:c r="B252" s="1" t="s">
        <x:v>501</x:v>
      </x:c>
      <x:c r="C252" s="1" t="s">
        <x:v>446</x:v>
      </x:c>
      <x:c r="D252" s="1">
        <x:v>1</x:v>
      </x:c>
      <x:c r="E252" s="1">
        <x:v>2</x:v>
      </x:c>
      <x:c r="F252" s="1">
        <x:v>1</x:v>
      </x:c>
      <x:c r="G252" s="1" t="s">
        <x:v>1042</x:v>
      </x:c>
      <x:c r="H252" s="1">
        <x:v>26</x:v>
      </x:c>
      <x:c r="I252" s="1">
        <x:v>15</x:v>
      </x:c>
      <x:c r="J252" s="1">
        <x:v>0.87</x:v>
      </x:c>
      <x:c r="K252" s="1" t="s">
        <x:v>1177</x:v>
      </x:c>
      <x:c r="L252" s="1">
        <x:v>2.12</x:v>
      </x:c>
      <x:c r="M252" s="1">
        <x:v>1.88</x:v>
      </x:c>
      <x:c r="N252" s="1">
        <x:v>2123</x:v>
      </x:c>
      <x:c r="O252" s="1" t="s">
        <x:v>1044</x:v>
      </x:c>
      <x:c r="P252" s="42" t="str">
        <x:v>Lv50~60</x:v>
      </x:c>
      <x:c r="Q252" s="42" t="str">
        <x:v>II</x:v>
      </x:c>
      <x:c r="R252" s="42" t="str">
        <x:v>4~5</x:v>
      </x:c>
      <x:c r="S252" s="42" t="str">
        <x:v>노멀 최종 성장 점검</x:v>
      </x:c>
      <x:c r="T252" s="42" t="n">
        <x:v>14</x:v>
      </x:c>
      <x:c r="U252" s="42" t="n">
        <x:v>364</x:v>
      </x:c>
      <x:c r="V252" s="42" t="n">
        <x:v>110</x:v>
      </x:c>
      <x:c r="W252" s="42" t="n">
        <x:v>11</x:v>
      </x:c>
      <x:c r="X252" s="42" t="n">
        <x:v>33</x:v>
      </x:c>
      <x:c r="Y252" s="42" t="str"/>
    </x:row>
    <x:row r="253">
      <x:c r="A253" s="1">
        <x:v>26</x:v>
      </x:c>
      <x:c r="B253" s="1" t="s">
        <x:v>501</x:v>
      </x:c>
      <x:c r="C253" s="1" t="s">
        <x:v>446</x:v>
      </x:c>
      <x:c r="D253" s="1">
        <x:v>1</x:v>
      </x:c>
      <x:c r="E253" s="1">
        <x:v>2</x:v>
      </x:c>
      <x:c r="F253" s="1">
        <x:v>2</x:v>
      </x:c>
      <x:c r="G253" s="1" t="s">
        <x:v>1042</x:v>
      </x:c>
      <x:c r="H253" s="1">
        <x:v>28</x:v>
      </x:c>
      <x:c r="I253" s="1">
        <x:v>16</x:v>
      </x:c>
      <x:c r="J253" s="1">
        <x:v>0.84</x:v>
      </x:c>
      <x:c r="K253" s="1" t="s">
        <x:v>1178</x:v>
      </x:c>
      <x:c r="L253" s="1">
        <x:v>2.16</x:v>
      </x:c>
      <x:c r="M253" s="1">
        <x:v>1.9</x:v>
      </x:c>
      <x:c r="N253" s="1">
        <x:v>2123</x:v>
      </x:c>
      <x:c r="O253" s="1" t="s">
        <x:v>1044</x:v>
      </x:c>
      <x:c r="P253" s="42" t="str">
        <x:v>Lv50~60</x:v>
      </x:c>
      <x:c r="Q253" s="42" t="str">
        <x:v>II</x:v>
      </x:c>
      <x:c r="R253" s="42" t="str">
        <x:v>4~5</x:v>
      </x:c>
      <x:c r="S253" s="42" t="str">
        <x:v>노멀 최종 성장 점검</x:v>
      </x:c>
      <x:c r="T253" s="42" t="n">
        <x:v>14</x:v>
      </x:c>
      <x:c r="U253" s="42" t="n">
        <x:v>392</x:v>
      </x:c>
      <x:c r="V253" s="42" t="n">
        <x:v>132</x:v>
      </x:c>
      <x:c r="W253" s="42" t="n">
        <x:v>13</x:v>
      </x:c>
      <x:c r="X253" s="42" t="n">
        <x:v>40</x:v>
      </x:c>
      <x:c r="Y253" s="42" t="str"/>
    </x:row>
    <x:row r="254">
      <x:c r="A254" s="1">
        <x:v>26</x:v>
      </x:c>
      <x:c r="B254" s="1" t="s">
        <x:v>501</x:v>
      </x:c>
      <x:c r="C254" s="1" t="s">
        <x:v>446</x:v>
      </x:c>
      <x:c r="D254" s="1">
        <x:v>1</x:v>
      </x:c>
      <x:c r="E254" s="1">
        <x:v>2</x:v>
      </x:c>
      <x:c r="F254" s="1">
        <x:v>3</x:v>
      </x:c>
      <x:c r="G254" s="1" t="s">
        <x:v>1042</x:v>
      </x:c>
      <x:c r="H254" s="1">
        <x:v>30</x:v>
      </x:c>
      <x:c r="I254" s="1">
        <x:v>17</x:v>
      </x:c>
      <x:c r="J254" s="1">
        <x:v>0.8</x:v>
      </x:c>
      <x:c r="K254" s="1" t="s">
        <x:v>1179</x:v>
      </x:c>
      <x:c r="L254" s="1">
        <x:v>2.19</x:v>
      </x:c>
      <x:c r="M254" s="1">
        <x:v>1.93</x:v>
      </x:c>
      <x:c r="N254" s="1">
        <x:v>2123</x:v>
      </x:c>
      <x:c r="O254" s="1" t="s">
        <x:v>1044</x:v>
      </x:c>
      <x:c r="P254" s="42" t="str">
        <x:v>Lv50~60</x:v>
      </x:c>
      <x:c r="Q254" s="42" t="str">
        <x:v>II</x:v>
      </x:c>
      <x:c r="R254" s="42" t="str">
        <x:v>4~5</x:v>
      </x:c>
      <x:c r="S254" s="42" t="str">
        <x:v>노멀 최종 성장 점검</x:v>
      </x:c>
      <x:c r="T254" s="42" t="n">
        <x:v>14</x:v>
      </x:c>
      <x:c r="U254" s="42" t="n">
        <x:v>420</x:v>
      </x:c>
      <x:c r="V254" s="42" t="n">
        <x:v>165</x:v>
      </x:c>
      <x:c r="W254" s="42" t="n">
        <x:v>16</x:v>
      </x:c>
      <x:c r="X254" s="42" t="n">
        <x:v>50</x:v>
      </x:c>
      <x:c r="Y254" s="42" t="str"/>
    </x:row>
    <x:row r="255">
      <x:c r="A255" s="1">
        <x:v>26</x:v>
      </x:c>
      <x:c r="B255" s="1" t="s">
        <x:v>501</x:v>
      </x:c>
      <x:c r="C255" s="1" t="s">
        <x:v>446</x:v>
      </x:c>
      <x:c r="D255" s="1">
        <x:v>1</x:v>
      </x:c>
      <x:c r="E255" s="1">
        <x:v>2</x:v>
      </x:c>
      <x:c r="F255" s="1">
        <x:v>4</x:v>
      </x:c>
      <x:c r="G255" s="1" t="s">
        <x:v>1042</x:v>
      </x:c>
      <x:c r="H255" s="1">
        <x:v>32</x:v>
      </x:c>
      <x:c r="I255" s="1">
        <x:v>19</x:v>
      </x:c>
      <x:c r="J255" s="1">
        <x:v>0.77</x:v>
      </x:c>
      <x:c r="K255" s="1" t="s">
        <x:v>1180</x:v>
      </x:c>
      <x:c r="L255" s="1">
        <x:v>2.23</x:v>
      </x:c>
      <x:c r="M255" s="1">
        <x:v>1.95</x:v>
      </x:c>
      <x:c r="N255" s="1">
        <x:v>2123</x:v>
      </x:c>
      <x:c r="O255" s="1" t="s">
        <x:v>1047</x:v>
      </x:c>
      <x:c r="P255" s="42" t="str">
        <x:v>Lv50~60</x:v>
      </x:c>
      <x:c r="Q255" s="42" t="str">
        <x:v>II</x:v>
      </x:c>
      <x:c r="R255" s="42" t="str">
        <x:v>4~5</x:v>
      </x:c>
      <x:c r="S255" s="42" t="str">
        <x:v>노멀 최종 성장 점검</x:v>
      </x:c>
      <x:c r="T255" s="42" t="n">
        <x:v>14</x:v>
      </x:c>
      <x:c r="U255" s="42" t="n">
        <x:v>448</x:v>
      </x:c>
      <x:c r="V255" s="42" t="n">
        <x:v>198</x:v>
      </x:c>
      <x:c r="W255" s="42" t="n">
        <x:v>20</x:v>
      </x:c>
      <x:c r="X255" s="42" t="n">
        <x:v>59</x:v>
      </x:c>
      <x:c r="Y255" s="42" t="str"/>
    </x:row>
    <x:row r="256">
      <x:c r="A256" s="1">
        <x:v>26</x:v>
      </x:c>
      <x:c r="B256" s="1" t="s">
        <x:v>501</x:v>
      </x:c>
      <x:c r="C256" s="1" t="s">
        <x:v>446</x:v>
      </x:c>
      <x:c r="D256" s="1">
        <x:v>1</x:v>
      </x:c>
      <x:c r="E256" s="1">
        <x:v>2</x:v>
      </x:c>
      <x:c r="F256" s="1">
        <x:v>5</x:v>
      </x:c>
      <x:c r="G256" s="1" t="s">
        <x:v>1048</x:v>
      </x:c>
      <x:c r="H256" s="1">
        <x:v>26</x:v>
      </x:c>
      <x:c r="I256" s="1">
        <x:v>20</x:v>
      </x:c>
      <x:c r="J256" s="1">
        <x:v>0.73</x:v>
      </x:c>
      <x:c r="K256" s="1" t="s">
        <x:v>1181</x:v>
      </x:c>
      <x:c r="L256" s="1">
        <x:v>2.27</x:v>
      </x:c>
      <x:c r="M256" s="1">
        <x:v>1.98</x:v>
      </x:c>
      <x:c r="N256" s="1">
        <x:v>2123</x:v>
      </x:c>
      <x:c r="O256" s="1" t="s">
        <x:v>1050</x:v>
      </x:c>
      <x:c r="P256" s="42" t="str">
        <x:v>Lv50~60</x:v>
      </x:c>
      <x:c r="Q256" s="42" t="str">
        <x:v>II</x:v>
      </x:c>
      <x:c r="R256" s="42" t="str">
        <x:v>4~5</x:v>
      </x:c>
      <x:c r="S256" s="42" t="str">
        <x:v>노멀 최종 성장 점검</x:v>
      </x:c>
      <x:c r="T256" s="42" t="n">
        <x:v>14</x:v>
      </x:c>
      <x:c r="U256" s="42" t="n">
        <x:v>598</x:v>
      </x:c>
      <x:c r="V256" s="42" t="n">
        <x:v>330</x:v>
      </x:c>
      <x:c r="W256" s="42" t="n">
        <x:v>33</x:v>
      </x:c>
      <x:c r="X256" s="42" t="n">
        <x:v>99</x:v>
      </x:c>
      <x:c r="Y256" s="42" t="str">
        <x:v>중간보스 현상금 포함</x:v>
      </x:c>
    </x:row>
    <x:row r="257">
      <x:c r="A257" s="1">
        <x:v>26</x:v>
      </x:c>
      <x:c r="B257" s="1" t="s">
        <x:v>501</x:v>
      </x:c>
      <x:c r="C257" s="1" t="s">
        <x:v>446</x:v>
      </x:c>
      <x:c r="D257" s="1">
        <x:v>1</x:v>
      </x:c>
      <x:c r="E257" s="1">
        <x:v>2</x:v>
      </x:c>
      <x:c r="F257" s="1">
        <x:v>6</x:v>
      </x:c>
      <x:c r="G257" s="1" t="s">
        <x:v>1042</x:v>
      </x:c>
      <x:c r="H257" s="1">
        <x:v>36</x:v>
      </x:c>
      <x:c r="I257" s="1">
        <x:v>21</x:v>
      </x:c>
      <x:c r="J257" s="1">
        <x:v>0.7</x:v>
      </x:c>
      <x:c r="K257" s="1" t="s">
        <x:v>1182</x:v>
      </x:c>
      <x:c r="L257" s="1">
        <x:v>2.2999999999999998</x:v>
      </x:c>
      <x:c r="M257" s="1">
        <x:v>2</x:v>
      </x:c>
      <x:c r="N257" s="1">
        <x:v>2123</x:v>
      </x:c>
      <x:c r="O257" s="1" t="s">
        <x:v>1052</x:v>
      </x:c>
      <x:c r="P257" s="42" t="str">
        <x:v>Lv50~60</x:v>
      </x:c>
      <x:c r="Q257" s="42" t="str">
        <x:v>II</x:v>
      </x:c>
      <x:c r="R257" s="42" t="str">
        <x:v>4~5</x:v>
      </x:c>
      <x:c r="S257" s="42" t="str">
        <x:v>노멀 최종 성장 점검</x:v>
      </x:c>
      <x:c r="T257" s="42" t="n">
        <x:v>14</x:v>
      </x:c>
      <x:c r="U257" s="42" t="n">
        <x:v>504</x:v>
      </x:c>
      <x:c r="V257" s="42" t="n">
        <x:v>242</x:v>
      </x:c>
      <x:c r="W257" s="42" t="n">
        <x:v>24</x:v>
      </x:c>
      <x:c r="X257" s="42" t="n">
        <x:v>73</x:v>
      </x:c>
      <x:c r="Y257" s="42" t="str"/>
    </x:row>
    <x:row r="258">
      <x:c r="A258" s="1">
        <x:v>26</x:v>
      </x:c>
      <x:c r="B258" s="1" t="s">
        <x:v>501</x:v>
      </x:c>
      <x:c r="C258" s="1" t="s">
        <x:v>446</x:v>
      </x:c>
      <x:c r="D258" s="1">
        <x:v>1</x:v>
      </x:c>
      <x:c r="E258" s="1">
        <x:v>2</x:v>
      </x:c>
      <x:c r="F258" s="1">
        <x:v>7</x:v>
      </x:c>
      <x:c r="G258" s="1" t="s">
        <x:v>1042</x:v>
      </x:c>
      <x:c r="H258" s="1">
        <x:v>38</x:v>
      </x:c>
      <x:c r="I258" s="1">
        <x:v>22</x:v>
      </x:c>
      <x:c r="J258" s="1">
        <x:v>0.66</x:v>
      </x:c>
      <x:c r="K258" s="1" t="s">
        <x:v>1183</x:v>
      </x:c>
      <x:c r="L258" s="1">
        <x:v>2.33</x:v>
      </x:c>
      <x:c r="M258" s="1">
        <x:v>2.02</x:v>
      </x:c>
      <x:c r="N258" s="1">
        <x:v>2123</x:v>
      </x:c>
      <x:c r="O258" s="1" t="s">
        <x:v>1052</x:v>
      </x:c>
      <x:c r="P258" s="42" t="str">
        <x:v>Lv50~60</x:v>
      </x:c>
      <x:c r="Q258" s="42" t="str">
        <x:v>II</x:v>
      </x:c>
      <x:c r="R258" s="42" t="str">
        <x:v>4~5</x:v>
      </x:c>
      <x:c r="S258" s="42" t="str">
        <x:v>노멀 최종 성장 점검</x:v>
      </x:c>
      <x:c r="T258" s="42" t="n">
        <x:v>14</x:v>
      </x:c>
      <x:c r="U258" s="42" t="n">
        <x:v>532</x:v>
      </x:c>
      <x:c r="V258" s="42" t="n">
        <x:v>330</x:v>
      </x:c>
      <x:c r="W258" s="42" t="n">
        <x:v>33</x:v>
      </x:c>
      <x:c r="X258" s="42" t="n">
        <x:v>99</x:v>
      </x:c>
      <x:c r="Y258" s="42" t="str"/>
    </x:row>
    <x:row r="259">
      <x:c r="A259" s="1">
        <x:v>26</x:v>
      </x:c>
      <x:c r="B259" s="1" t="s">
        <x:v>501</x:v>
      </x:c>
      <x:c r="C259" s="1" t="s">
        <x:v>446</x:v>
      </x:c>
      <x:c r="D259" s="1">
        <x:v>1</x:v>
      </x:c>
      <x:c r="E259" s="1">
        <x:v>2</x:v>
      </x:c>
      <x:c r="F259" s="1">
        <x:v>8</x:v>
      </x:c>
      <x:c r="G259" s="1" t="s">
        <x:v>1042</x:v>
      </x:c>
      <x:c r="H259" s="1">
        <x:v>40</x:v>
      </x:c>
      <x:c r="I259" s="1">
        <x:v>23</x:v>
      </x:c>
      <x:c r="J259" s="1">
        <x:v>0.63</x:v>
      </x:c>
      <x:c r="K259" s="1" t="s">
        <x:v>1184</x:v>
      </x:c>
      <x:c r="L259" s="1">
        <x:v>2.37</x:v>
      </x:c>
      <x:c r="M259" s="1">
        <x:v>2.0499999999999998</x:v>
      </x:c>
      <x:c r="N259" s="1">
        <x:v>2123</x:v>
      </x:c>
      <x:c r="O259" s="1" t="s">
        <x:v>1052</x:v>
      </x:c>
      <x:c r="P259" s="42" t="str">
        <x:v>Lv50~60</x:v>
      </x:c>
      <x:c r="Q259" s="42" t="str">
        <x:v>II</x:v>
      </x:c>
      <x:c r="R259" s="42" t="str">
        <x:v>4~5</x:v>
      </x:c>
      <x:c r="S259" s="42" t="str">
        <x:v>노멀 최종 성장 점검</x:v>
      </x:c>
      <x:c r="T259" s="42" t="n">
        <x:v>14</x:v>
      </x:c>
      <x:c r="U259" s="42" t="n">
        <x:v>560</x:v>
      </x:c>
      <x:c r="V259" s="42" t="n">
        <x:v>440</x:v>
      </x:c>
      <x:c r="W259" s="42" t="n">
        <x:v>44</x:v>
      </x:c>
      <x:c r="X259" s="42" t="n">
        <x:v>132</x:v>
      </x:c>
      <x:c r="Y259" s="42" t="str"/>
    </x:row>
    <x:row r="260">
      <x:c r="A260" s="1">
        <x:v>26</x:v>
      </x:c>
      <x:c r="B260" s="1" t="s">
        <x:v>501</x:v>
      </x:c>
      <x:c r="C260" s="1" t="s">
        <x:v>446</x:v>
      </x:c>
      <x:c r="D260" s="1">
        <x:v>1</x:v>
      </x:c>
      <x:c r="E260" s="1">
        <x:v>2</x:v>
      </x:c>
      <x:c r="F260" s="1">
        <x:v>9</x:v>
      </x:c>
      <x:c r="G260" s="1" t="s">
        <x:v>1042</x:v>
      </x:c>
      <x:c r="H260" s="1">
        <x:v>42</x:v>
      </x:c>
      <x:c r="I260" s="1">
        <x:v>24</x:v>
      </x:c>
      <x:c r="J260" s="1">
        <x:v>0.59</x:v>
      </x:c>
      <x:c r="K260" s="1" t="s">
        <x:v>1185</x:v>
      </x:c>
      <x:c r="L260" s="1">
        <x:v>2.41</x:v>
      </x:c>
      <x:c r="M260" s="1">
        <x:v>2.08</x:v>
      </x:c>
      <x:c r="N260" s="1">
        <x:v>2123</x:v>
      </x:c>
      <x:c r="O260" s="1" t="s">
        <x:v>1056</x:v>
      </x:c>
      <x:c r="P260" s="42" t="str">
        <x:v>Lv50~60</x:v>
      </x:c>
      <x:c r="Q260" s="42" t="str">
        <x:v>II</x:v>
      </x:c>
      <x:c r="R260" s="42" t="str">
        <x:v>4~5</x:v>
      </x:c>
      <x:c r="S260" s="42" t="str">
        <x:v>노멀 최종 성장 점검</x:v>
      </x:c>
      <x:c r="T260" s="42" t="n">
        <x:v>14</x:v>
      </x:c>
      <x:c r="U260" s="42" t="n">
        <x:v>588</x:v>
      </x:c>
      <x:c r="V260" s="42" t="n">
        <x:v>550</x:v>
      </x:c>
      <x:c r="W260" s="42" t="n">
        <x:v>55</x:v>
      </x:c>
      <x:c r="X260" s="42" t="n">
        <x:v>165</x:v>
      </x:c>
      <x:c r="Y260" s="42" t="str"/>
    </x:row>
    <x:row r="261">
      <x:c r="A261" s="1">
        <x:v>26</x:v>
      </x:c>
      <x:c r="B261" s="1" t="s">
        <x:v>501</x:v>
      </x:c>
      <x:c r="C261" s="1" t="s">
        <x:v>446</x:v>
      </x:c>
      <x:c r="D261" s="1">
        <x:v>1</x:v>
      </x:c>
      <x:c r="E261" s="1">
        <x:v>2</x:v>
      </x:c>
      <x:c r="F261" s="1">
        <x:v>10</x:v>
      </x:c>
      <x:c r="G261" s="1" t="s">
        <x:v>1057</x:v>
      </x:c>
      <x:c r="H261" s="1">
        <x:v>34</x:v>
      </x:c>
      <x:c r="I261" s="1">
        <x:v>26</x:v>
      </x:c>
      <x:c r="J261" s="1">
        <x:v>0.56000000000000005</x:v>
      </x:c>
      <x:c r="K261" s="1" t="s">
        <x:v>1186</x:v>
      </x:c>
      <x:c r="L261" s="1">
        <x:v>2.44</x:v>
      </x:c>
      <x:c r="M261" s="1">
        <x:v>2.1</x:v>
      </x:c>
      <x:c r="N261" s="1">
        <x:v>2123</x:v>
      </x:c>
      <x:c r="O261" s="1" t="s">
        <x:v>1059</x:v>
      </x:c>
      <x:c r="P261" s="42" t="str">
        <x:v>Lv50~60</x:v>
      </x:c>
      <x:c r="Q261" s="42" t="str">
        <x:v>II</x:v>
      </x:c>
      <x:c r="R261" s="42" t="str">
        <x:v>4~5</x:v>
      </x:c>
      <x:c r="S261" s="42" t="str">
        <x:v>노멀 최종 성장 점검</x:v>
      </x:c>
      <x:c r="T261" s="42" t="n">
        <x:v>14</x:v>
      </x:c>
      <x:c r="U261" s="42" t="n">
        <x:v>462</x:v>
      </x:c>
      <x:c r="V261" s="42" t="n">
        <x:v>0</x:v>
      </x:c>
      <x:c r="W261" s="42" t="n">
        <x:v>0</x:v>
      </x:c>
      <x:c r="X261" s="42" t="n">
        <x:v>0</x:v>
      </x:c>
      <x:c r="Y261" s="42" t="str">
        <x:v>보스 처치 보상은 로비 보상으로 분리</x:v>
      </x:c>
    </x:row>
    <x:row r="262">
      <x:c r="A262" s="1">
        <x:v>27</x:v>
      </x:c>
      <x:c r="B262" s="1" t="s">
        <x:v>501</x:v>
      </x:c>
      <x:c r="C262" s="1" t="s">
        <x:v>446</x:v>
      </x:c>
      <x:c r="D262" s="1">
        <x:v>2</x:v>
      </x:c>
      <x:c r="E262" s="1">
        <x:v>2</x:v>
      </x:c>
      <x:c r="F262" s="1">
        <x:v>1</x:v>
      </x:c>
      <x:c r="G262" s="1" t="s">
        <x:v>1042</x:v>
      </x:c>
      <x:c r="H262" s="1">
        <x:v>27</x:v>
      </x:c>
      <x:c r="I262" s="1">
        <x:v>16</x:v>
      </x:c>
      <x:c r="J262" s="1">
        <x:v>0.86</x:v>
      </x:c>
      <x:c r="K262" s="1" t="s">
        <x:v>1177</x:v>
      </x:c>
      <x:c r="L262" s="1">
        <x:v>2.17</x:v>
      </x:c>
      <x:c r="M262" s="1">
        <x:v>1.91</x:v>
      </x:c>
      <x:c r="N262" s="1">
        <x:v>2399</x:v>
      </x:c>
      <x:c r="O262" s="1" t="s">
        <x:v>1044</x:v>
      </x:c>
      <x:c r="P262" s="42" t="str">
        <x:v>Lv50~60</x:v>
      </x:c>
      <x:c r="Q262" s="42" t="str">
        <x:v>II</x:v>
      </x:c>
      <x:c r="R262" s="42" t="str">
        <x:v>4~5</x:v>
      </x:c>
      <x:c r="S262" s="42" t="str">
        <x:v>노멀 최종 성장 점검</x:v>
      </x:c>
      <x:c r="T262" s="42" t="n">
        <x:v>14</x:v>
      </x:c>
      <x:c r="U262" s="42" t="n">
        <x:v>378</x:v>
      </x:c>
      <x:c r="V262" s="42" t="n">
        <x:v>110</x:v>
      </x:c>
      <x:c r="W262" s="42" t="n">
        <x:v>11</x:v>
      </x:c>
      <x:c r="X262" s="42" t="n">
        <x:v>33</x:v>
      </x:c>
      <x:c r="Y262" s="42" t="str"/>
    </x:row>
    <x:row r="263">
      <x:c r="A263" s="1">
        <x:v>27</x:v>
      </x:c>
      <x:c r="B263" s="1" t="s">
        <x:v>501</x:v>
      </x:c>
      <x:c r="C263" s="1" t="s">
        <x:v>446</x:v>
      </x:c>
      <x:c r="D263" s="1">
        <x:v>2</x:v>
      </x:c>
      <x:c r="E263" s="1">
        <x:v>2</x:v>
      </x:c>
      <x:c r="F263" s="1">
        <x:v>2</x:v>
      </x:c>
      <x:c r="G263" s="1" t="s">
        <x:v>1042</x:v>
      </x:c>
      <x:c r="H263" s="1">
        <x:v>29</x:v>
      </x:c>
      <x:c r="I263" s="1">
        <x:v>17</x:v>
      </x:c>
      <x:c r="J263" s="1">
        <x:v>0.83</x:v>
      </x:c>
      <x:c r="K263" s="1" t="s">
        <x:v>1179</x:v>
      </x:c>
      <x:c r="L263" s="1">
        <x:v>2.21</x:v>
      </x:c>
      <x:c r="M263" s="1">
        <x:v>1.94</x:v>
      </x:c>
      <x:c r="N263" s="1">
        <x:v>2399</x:v>
      </x:c>
      <x:c r="O263" s="1" t="s">
        <x:v>1044</x:v>
      </x:c>
      <x:c r="P263" s="42" t="str">
        <x:v>Lv50~60</x:v>
      </x:c>
      <x:c r="Q263" s="42" t="str">
        <x:v>II</x:v>
      </x:c>
      <x:c r="R263" s="42" t="str">
        <x:v>4~5</x:v>
      </x:c>
      <x:c r="S263" s="42" t="str">
        <x:v>노멀 최종 성장 점검</x:v>
      </x:c>
      <x:c r="T263" s="42" t="n">
        <x:v>14</x:v>
      </x:c>
      <x:c r="U263" s="42" t="n">
        <x:v>406</x:v>
      </x:c>
      <x:c r="V263" s="42" t="n">
        <x:v>132</x:v>
      </x:c>
      <x:c r="W263" s="42" t="n">
        <x:v>13</x:v>
      </x:c>
      <x:c r="X263" s="42" t="n">
        <x:v>40</x:v>
      </x:c>
      <x:c r="Y263" s="42" t="str"/>
    </x:row>
    <x:row r="264">
      <x:c r="A264" s="1">
        <x:v>27</x:v>
      </x:c>
      <x:c r="B264" s="1" t="s">
        <x:v>501</x:v>
      </x:c>
      <x:c r="C264" s="1" t="s">
        <x:v>446</x:v>
      </x:c>
      <x:c r="D264" s="1">
        <x:v>2</x:v>
      </x:c>
      <x:c r="E264" s="1">
        <x:v>2</x:v>
      </x:c>
      <x:c r="F264" s="1">
        <x:v>3</x:v>
      </x:c>
      <x:c r="G264" s="1" t="s">
        <x:v>1042</x:v>
      </x:c>
      <x:c r="H264" s="1">
        <x:v>31</x:v>
      </x:c>
      <x:c r="I264" s="1">
        <x:v>18</x:v>
      </x:c>
      <x:c r="J264" s="1">
        <x:v>0.79</x:v>
      </x:c>
      <x:c r="K264" s="1" t="s">
        <x:v>1177</x:v>
      </x:c>
      <x:c r="L264" s="1">
        <x:v>2.2400000000000002</x:v>
      </x:c>
      <x:c r="M264" s="1">
        <x:v>1.96</x:v>
      </x:c>
      <x:c r="N264" s="1">
        <x:v>2399</x:v>
      </x:c>
      <x:c r="O264" s="1" t="s">
        <x:v>1044</x:v>
      </x:c>
      <x:c r="P264" s="42" t="str">
        <x:v>Lv50~60</x:v>
      </x:c>
      <x:c r="Q264" s="42" t="str">
        <x:v>II</x:v>
      </x:c>
      <x:c r="R264" s="42" t="str">
        <x:v>4~5</x:v>
      </x:c>
      <x:c r="S264" s="42" t="str">
        <x:v>노멀 최종 성장 점검</x:v>
      </x:c>
      <x:c r="T264" s="42" t="n">
        <x:v>14</x:v>
      </x:c>
      <x:c r="U264" s="42" t="n">
        <x:v>434</x:v>
      </x:c>
      <x:c r="V264" s="42" t="n">
        <x:v>165</x:v>
      </x:c>
      <x:c r="W264" s="42" t="n">
        <x:v>16</x:v>
      </x:c>
      <x:c r="X264" s="42" t="n">
        <x:v>50</x:v>
      </x:c>
      <x:c r="Y264" s="42" t="str"/>
    </x:row>
    <x:row r="265">
      <x:c r="A265" s="1">
        <x:v>27</x:v>
      </x:c>
      <x:c r="B265" s="1" t="s">
        <x:v>501</x:v>
      </x:c>
      <x:c r="C265" s="1" t="s">
        <x:v>446</x:v>
      </x:c>
      <x:c r="D265" s="1">
        <x:v>2</x:v>
      </x:c>
      <x:c r="E265" s="1">
        <x:v>2</x:v>
      </x:c>
      <x:c r="F265" s="1">
        <x:v>4</x:v>
      </x:c>
      <x:c r="G265" s="1" t="s">
        <x:v>1042</x:v>
      </x:c>
      <x:c r="H265" s="1">
        <x:v>33</x:v>
      </x:c>
      <x:c r="I265" s="1">
        <x:v>19</x:v>
      </x:c>
      <x:c r="J265" s="1">
        <x:v>0.76</x:v>
      </x:c>
      <x:c r="K265" s="1" t="s">
        <x:v>1179</x:v>
      </x:c>
      <x:c r="L265" s="1">
        <x:v>2.27</x:v>
      </x:c>
      <x:c r="M265" s="1">
        <x:v>1.99</x:v>
      </x:c>
      <x:c r="N265" s="1">
        <x:v>2399</x:v>
      </x:c>
      <x:c r="O265" s="1" t="s">
        <x:v>1047</x:v>
      </x:c>
      <x:c r="P265" s="42" t="str">
        <x:v>Lv50~60</x:v>
      </x:c>
      <x:c r="Q265" s="42" t="str">
        <x:v>II</x:v>
      </x:c>
      <x:c r="R265" s="42" t="str">
        <x:v>4~5</x:v>
      </x:c>
      <x:c r="S265" s="42" t="str">
        <x:v>노멀 최종 성장 점검</x:v>
      </x:c>
      <x:c r="T265" s="42" t="n">
        <x:v>14</x:v>
      </x:c>
      <x:c r="U265" s="42" t="n">
        <x:v>462</x:v>
      </x:c>
      <x:c r="V265" s="42" t="n">
        <x:v>198</x:v>
      </x:c>
      <x:c r="W265" s="42" t="n">
        <x:v>20</x:v>
      </x:c>
      <x:c r="X265" s="42" t="n">
        <x:v>59</x:v>
      </x:c>
      <x:c r="Y265" s="42" t="str"/>
    </x:row>
    <x:row r="266">
      <x:c r="A266" s="1">
        <x:v>27</x:v>
      </x:c>
      <x:c r="B266" s="1" t="s">
        <x:v>501</x:v>
      </x:c>
      <x:c r="C266" s="1" t="s">
        <x:v>446</x:v>
      </x:c>
      <x:c r="D266" s="1">
        <x:v>2</x:v>
      </x:c>
      <x:c r="E266" s="1">
        <x:v>2</x:v>
      </x:c>
      <x:c r="F266" s="1">
        <x:v>5</x:v>
      </x:c>
      <x:c r="G266" s="1" t="s">
        <x:v>1048</x:v>
      </x:c>
      <x:c r="H266" s="1">
        <x:v>27</x:v>
      </x:c>
      <x:c r="I266" s="1">
        <x:v>20</x:v>
      </x:c>
      <x:c r="J266" s="1">
        <x:v>0.72</x:v>
      </x:c>
      <x:c r="K266" s="1" t="s">
        <x:v>1187</x:v>
      </x:c>
      <x:c r="L266" s="1">
        <x:v>2.31</x:v>
      </x:c>
      <x:c r="M266" s="1">
        <x:v>2.0099999999999998</x:v>
      </x:c>
      <x:c r="N266" s="1">
        <x:v>2399</x:v>
      </x:c>
      <x:c r="O266" s="1" t="s">
        <x:v>1050</x:v>
      </x:c>
      <x:c r="P266" s="42" t="str">
        <x:v>Lv50~60</x:v>
      </x:c>
      <x:c r="Q266" s="42" t="str">
        <x:v>II</x:v>
      </x:c>
      <x:c r="R266" s="42" t="str">
        <x:v>4~5</x:v>
      </x:c>
      <x:c r="S266" s="42" t="str">
        <x:v>노멀 최종 성장 점검</x:v>
      </x:c>
      <x:c r="T266" s="42" t="n">
        <x:v>14</x:v>
      </x:c>
      <x:c r="U266" s="42" t="n">
        <x:v>614</x:v>
      </x:c>
      <x:c r="V266" s="42" t="n">
        <x:v>330</x:v>
      </x:c>
      <x:c r="W266" s="42" t="n">
        <x:v>33</x:v>
      </x:c>
      <x:c r="X266" s="42" t="n">
        <x:v>99</x:v>
      </x:c>
      <x:c r="Y266" s="42" t="str">
        <x:v>중간보스 현상금 포함</x:v>
      </x:c>
    </x:row>
    <x:row r="267">
      <x:c r="A267" s="1">
        <x:v>27</x:v>
      </x:c>
      <x:c r="B267" s="1" t="s">
        <x:v>501</x:v>
      </x:c>
      <x:c r="C267" s="1" t="s">
        <x:v>446</x:v>
      </x:c>
      <x:c r="D267" s="1">
        <x:v>2</x:v>
      </x:c>
      <x:c r="E267" s="1">
        <x:v>2</x:v>
      </x:c>
      <x:c r="F267" s="1">
        <x:v>6</x:v>
      </x:c>
      <x:c r="G267" s="1" t="s">
        <x:v>1042</x:v>
      </x:c>
      <x:c r="H267" s="1">
        <x:v>37</x:v>
      </x:c>
      <x:c r="I267" s="1">
        <x:v>21</x:v>
      </x:c>
      <x:c r="J267" s="1">
        <x:v>0.69</x:v>
      </x:c>
      <x:c r="K267" s="1" t="s">
        <x:v>1188</x:v>
      </x:c>
      <x:c r="L267" s="1">
        <x:v>2.34</x:v>
      </x:c>
      <x:c r="M267" s="1">
        <x:v>2.04</x:v>
      </x:c>
      <x:c r="N267" s="1">
        <x:v>2399</x:v>
      </x:c>
      <x:c r="O267" s="1" t="s">
        <x:v>1052</x:v>
      </x:c>
      <x:c r="P267" s="42" t="str">
        <x:v>Lv50~60</x:v>
      </x:c>
      <x:c r="Q267" s="42" t="str">
        <x:v>II</x:v>
      </x:c>
      <x:c r="R267" s="42" t="str">
        <x:v>4~5</x:v>
      </x:c>
      <x:c r="S267" s="42" t="str">
        <x:v>노멀 최종 성장 점검</x:v>
      </x:c>
      <x:c r="T267" s="42" t="n">
        <x:v>14</x:v>
      </x:c>
      <x:c r="U267" s="42" t="n">
        <x:v>518</x:v>
      </x:c>
      <x:c r="V267" s="42" t="n">
        <x:v>242</x:v>
      </x:c>
      <x:c r="W267" s="42" t="n">
        <x:v>24</x:v>
      </x:c>
      <x:c r="X267" s="42" t="n">
        <x:v>73</x:v>
      </x:c>
      <x:c r="Y267" s="42" t="str"/>
    </x:row>
    <x:row r="268">
      <x:c r="A268" s="1">
        <x:v>27</x:v>
      </x:c>
      <x:c r="B268" s="1" t="s">
        <x:v>501</x:v>
      </x:c>
      <x:c r="C268" s="1" t="s">
        <x:v>446</x:v>
      </x:c>
      <x:c r="D268" s="1">
        <x:v>2</x:v>
      </x:c>
      <x:c r="E268" s="1">
        <x:v>2</x:v>
      </x:c>
      <x:c r="F268" s="1">
        <x:v>7</x:v>
      </x:c>
      <x:c r="G268" s="1" t="s">
        <x:v>1042</x:v>
      </x:c>
      <x:c r="H268" s="1">
        <x:v>39</x:v>
      </x:c>
      <x:c r="I268" s="1">
        <x:v>23</x:v>
      </x:c>
      <x:c r="J268" s="1">
        <x:v>0.65</x:v>
      </x:c>
      <x:c r="K268" s="1" t="s">
        <x:v>1189</x:v>
      </x:c>
      <x:c r="L268" s="1">
        <x:v>2.38</x:v>
      </x:c>
      <x:c r="M268" s="1">
        <x:v>2.06</x:v>
      </x:c>
      <x:c r="N268" s="1">
        <x:v>2399</x:v>
      </x:c>
      <x:c r="O268" s="1" t="s">
        <x:v>1052</x:v>
      </x:c>
      <x:c r="P268" s="42" t="str">
        <x:v>Lv50~60</x:v>
      </x:c>
      <x:c r="Q268" s="42" t="str">
        <x:v>II</x:v>
      </x:c>
      <x:c r="R268" s="42" t="str">
        <x:v>4~5</x:v>
      </x:c>
      <x:c r="S268" s="42" t="str">
        <x:v>노멀 최종 성장 점검</x:v>
      </x:c>
      <x:c r="T268" s="42" t="n">
        <x:v>14</x:v>
      </x:c>
      <x:c r="U268" s="42" t="n">
        <x:v>546</x:v>
      </x:c>
      <x:c r="V268" s="42" t="n">
        <x:v>330</x:v>
      </x:c>
      <x:c r="W268" s="42" t="n">
        <x:v>33</x:v>
      </x:c>
      <x:c r="X268" s="42" t="n">
        <x:v>99</x:v>
      </x:c>
      <x:c r="Y268" s="42" t="str"/>
    </x:row>
    <x:row r="269">
      <x:c r="A269" s="1">
        <x:v>27</x:v>
      </x:c>
      <x:c r="B269" s="1" t="s">
        <x:v>501</x:v>
      </x:c>
      <x:c r="C269" s="1" t="s">
        <x:v>446</x:v>
      </x:c>
      <x:c r="D269" s="1">
        <x:v>2</x:v>
      </x:c>
      <x:c r="E269" s="1">
        <x:v>2</x:v>
      </x:c>
      <x:c r="F269" s="1">
        <x:v>8</x:v>
      </x:c>
      <x:c r="G269" s="1" t="s">
        <x:v>1042</x:v>
      </x:c>
      <x:c r="H269" s="1">
        <x:v>41</x:v>
      </x:c>
      <x:c r="I269" s="1">
        <x:v>24</x:v>
      </x:c>
      <x:c r="J269" s="1">
        <x:v>0.62</x:v>
      </x:c>
      <x:c r="K269" s="1" t="s">
        <x:v>1185</x:v>
      </x:c>
      <x:c r="L269" s="1">
        <x:v>2.42</x:v>
      </x:c>
      <x:c r="M269" s="1">
        <x:v>2.08</x:v>
      </x:c>
      <x:c r="N269" s="1">
        <x:v>2399</x:v>
      </x:c>
      <x:c r="O269" s="1" t="s">
        <x:v>1052</x:v>
      </x:c>
      <x:c r="P269" s="42" t="str">
        <x:v>Lv50~60</x:v>
      </x:c>
      <x:c r="Q269" s="42" t="str">
        <x:v>II</x:v>
      </x:c>
      <x:c r="R269" s="42" t="str">
        <x:v>4~5</x:v>
      </x:c>
      <x:c r="S269" s="42" t="str">
        <x:v>노멀 최종 성장 점검</x:v>
      </x:c>
      <x:c r="T269" s="42" t="n">
        <x:v>14</x:v>
      </x:c>
      <x:c r="U269" s="42" t="n">
        <x:v>574</x:v>
      </x:c>
      <x:c r="V269" s="42" t="n">
        <x:v>440</x:v>
      </x:c>
      <x:c r="W269" s="42" t="n">
        <x:v>44</x:v>
      </x:c>
      <x:c r="X269" s="42" t="n">
        <x:v>132</x:v>
      </x:c>
      <x:c r="Y269" s="42" t="str"/>
    </x:row>
    <x:row r="270">
      <x:c r="A270" s="1">
        <x:v>27</x:v>
      </x:c>
      <x:c r="B270" s="1" t="s">
        <x:v>501</x:v>
      </x:c>
      <x:c r="C270" s="1" t="s">
        <x:v>446</x:v>
      </x:c>
      <x:c r="D270" s="1">
        <x:v>2</x:v>
      </x:c>
      <x:c r="E270" s="1">
        <x:v>2</x:v>
      </x:c>
      <x:c r="F270" s="1">
        <x:v>9</x:v>
      </x:c>
      <x:c r="G270" s="1" t="s">
        <x:v>1042</x:v>
      </x:c>
      <x:c r="H270" s="1">
        <x:v>43</x:v>
      </x:c>
      <x:c r="I270" s="1">
        <x:v>25</x:v>
      </x:c>
      <x:c r="J270" s="1">
        <x:v>0.57999999999999996</x:v>
      </x:c>
      <x:c r="K270" s="1" t="s">
        <x:v>1179</x:v>
      </x:c>
      <x:c r="L270" s="1">
        <x:v>2.4500000000000002</x:v>
      </x:c>
      <x:c r="M270" s="1">
        <x:v>2.11</x:v>
      </x:c>
      <x:c r="N270" s="1">
        <x:v>2399</x:v>
      </x:c>
      <x:c r="O270" s="1" t="s">
        <x:v>1056</x:v>
      </x:c>
      <x:c r="P270" s="42" t="str">
        <x:v>Lv50~60</x:v>
      </x:c>
      <x:c r="Q270" s="42" t="str">
        <x:v>II</x:v>
      </x:c>
      <x:c r="R270" s="42" t="str">
        <x:v>4~5</x:v>
      </x:c>
      <x:c r="S270" s="42" t="str">
        <x:v>노멀 최종 성장 점검</x:v>
      </x:c>
      <x:c r="T270" s="42" t="n">
        <x:v>14</x:v>
      </x:c>
      <x:c r="U270" s="42" t="n">
        <x:v>602</x:v>
      </x:c>
      <x:c r="V270" s="42" t="n">
        <x:v>550</x:v>
      </x:c>
      <x:c r="W270" s="42" t="n">
        <x:v>55</x:v>
      </x:c>
      <x:c r="X270" s="42" t="n">
        <x:v>165</x:v>
      </x:c>
      <x:c r="Y270" s="42" t="str"/>
    </x:row>
    <x:row r="271">
      <x:c r="A271" s="1">
        <x:v>27</x:v>
      </x:c>
      <x:c r="B271" s="1" t="s">
        <x:v>501</x:v>
      </x:c>
      <x:c r="C271" s="1" t="s">
        <x:v>446</x:v>
      </x:c>
      <x:c r="D271" s="1">
        <x:v>2</x:v>
      </x:c>
      <x:c r="E271" s="1">
        <x:v>2</x:v>
      </x:c>
      <x:c r="F271" s="1">
        <x:v>10</x:v>
      </x:c>
      <x:c r="G271" s="1" t="s">
        <x:v>1057</x:v>
      </x:c>
      <x:c r="H271" s="1">
        <x:v>35</x:v>
      </x:c>
      <x:c r="I271" s="1">
        <x:v>26</x:v>
      </x:c>
      <x:c r="J271" s="1">
        <x:v>0.55000000000000004</x:v>
      </x:c>
      <x:c r="K271" s="1" t="s">
        <x:v>1190</x:v>
      </x:c>
      <x:c r="L271" s="1">
        <x:v>2.48</x:v>
      </x:c>
      <x:c r="M271" s="1">
        <x:v>2.14</x:v>
      </x:c>
      <x:c r="N271" s="1">
        <x:v>2399</x:v>
      </x:c>
      <x:c r="O271" s="1" t="s">
        <x:v>1059</x:v>
      </x:c>
      <x:c r="P271" s="42" t="str">
        <x:v>Lv50~60</x:v>
      </x:c>
      <x:c r="Q271" s="42" t="str">
        <x:v>II</x:v>
      </x:c>
      <x:c r="R271" s="42" t="str">
        <x:v>4~5</x:v>
      </x:c>
      <x:c r="S271" s="42" t="str">
        <x:v>노멀 최종 성장 점검</x:v>
      </x:c>
      <x:c r="T271" s="42" t="n">
        <x:v>14</x:v>
      </x:c>
      <x:c r="U271" s="42" t="n">
        <x:v>476</x:v>
      </x:c>
      <x:c r="V271" s="42" t="n">
        <x:v>0</x:v>
      </x:c>
      <x:c r="W271" s="42" t="n">
        <x:v>0</x:v>
      </x:c>
      <x:c r="X271" s="42" t="n">
        <x:v>0</x:v>
      </x:c>
      <x:c r="Y271" s="42" t="str">
        <x:v>보스 처치 보상은 로비 보상으로 분리</x:v>
      </x:c>
    </x:row>
    <x:row r="272">
      <x:c r="A272" s="1">
        <x:v>28</x:v>
      </x:c>
      <x:c r="B272" s="1" t="s">
        <x:v>501</x:v>
      </x:c>
      <x:c r="C272" s="1" t="s">
        <x:v>446</x:v>
      </x:c>
      <x:c r="D272" s="1">
        <x:v>3</x:v>
      </x:c>
      <x:c r="E272" s="1">
        <x:v>3</x:v>
      </x:c>
      <x:c r="F272" s="1">
        <x:v>1</x:v>
      </x:c>
      <x:c r="G272" s="1" t="s">
        <x:v>1042</x:v>
      </x:c>
      <x:c r="H272" s="1">
        <x:v>29</x:v>
      </x:c>
      <x:c r="I272" s="1">
        <x:v>17</x:v>
      </x:c>
      <x:c r="J272" s="1">
        <x:v>0.85</x:v>
      </x:c>
      <x:c r="K272" s="1" t="s">
        <x:v>1184</x:v>
      </x:c>
      <x:c r="L272" s="1">
        <x:v>2.21</x:v>
      </x:c>
      <x:c r="M272" s="1">
        <x:v>1.95</x:v>
      </x:c>
      <x:c r="N272" s="1">
        <x:v>2711</x:v>
      </x:c>
      <x:c r="O272" s="1" t="s">
        <x:v>1044</x:v>
      </x:c>
      <x:c r="P272" s="42" t="str">
        <x:v>Lv50~60</x:v>
      </x:c>
      <x:c r="Q272" s="42" t="str">
        <x:v>II</x:v>
      </x:c>
      <x:c r="R272" s="42" t="str">
        <x:v>4~5</x:v>
      </x:c>
      <x:c r="S272" s="42" t="str">
        <x:v>노멀 최종 성장 점검</x:v>
      </x:c>
      <x:c r="T272" s="42" t="n">
        <x:v>14</x:v>
      </x:c>
      <x:c r="U272" s="42" t="n">
        <x:v>406</x:v>
      </x:c>
      <x:c r="V272" s="42" t="n">
        <x:v>110</x:v>
      </x:c>
      <x:c r="W272" s="42" t="n">
        <x:v>11</x:v>
      </x:c>
      <x:c r="X272" s="42" t="n">
        <x:v>33</x:v>
      </x:c>
      <x:c r="Y272" s="42" t="str"/>
    </x:row>
    <x:row r="273">
      <x:c r="A273" s="1">
        <x:v>28</x:v>
      </x:c>
      <x:c r="B273" s="1" t="s">
        <x:v>501</x:v>
      </x:c>
      <x:c r="C273" s="1" t="s">
        <x:v>446</x:v>
      </x:c>
      <x:c r="D273" s="1">
        <x:v>3</x:v>
      </x:c>
      <x:c r="E273" s="1">
        <x:v>3</x:v>
      </x:c>
      <x:c r="F273" s="1">
        <x:v>2</x:v>
      </x:c>
      <x:c r="G273" s="1" t="s">
        <x:v>1042</x:v>
      </x:c>
      <x:c r="H273" s="1">
        <x:v>31</x:v>
      </x:c>
      <x:c r="I273" s="1">
        <x:v>18</x:v>
      </x:c>
      <x:c r="J273" s="1">
        <x:v>0.81</x:v>
      </x:c>
      <x:c r="K273" s="1" t="s">
        <x:v>1177</x:v>
      </x:c>
      <x:c r="L273" s="1">
        <x:v>2.25</x:v>
      </x:c>
      <x:c r="M273" s="1">
        <x:v>1.97</x:v>
      </x:c>
      <x:c r="N273" s="1">
        <x:v>2711</x:v>
      </x:c>
      <x:c r="O273" s="1" t="s">
        <x:v>1044</x:v>
      </x:c>
      <x:c r="P273" s="42" t="str">
        <x:v>Lv50~60</x:v>
      </x:c>
      <x:c r="Q273" s="42" t="str">
        <x:v>II</x:v>
      </x:c>
      <x:c r="R273" s="42" t="str">
        <x:v>4~5</x:v>
      </x:c>
      <x:c r="S273" s="42" t="str">
        <x:v>노멀 최종 성장 점검</x:v>
      </x:c>
      <x:c r="T273" s="42" t="n">
        <x:v>14</x:v>
      </x:c>
      <x:c r="U273" s="42" t="n">
        <x:v>434</x:v>
      </x:c>
      <x:c r="V273" s="42" t="n">
        <x:v>132</x:v>
      </x:c>
      <x:c r="W273" s="42" t="n">
        <x:v>13</x:v>
      </x:c>
      <x:c r="X273" s="42" t="n">
        <x:v>40</x:v>
      </x:c>
      <x:c r="Y273" s="42" t="str"/>
    </x:row>
    <x:row r="274">
      <x:c r="A274" s="1">
        <x:v>28</x:v>
      </x:c>
      <x:c r="B274" s="1" t="s">
        <x:v>501</x:v>
      </x:c>
      <x:c r="C274" s="1" t="s">
        <x:v>446</x:v>
      </x:c>
      <x:c r="D274" s="1">
        <x:v>3</x:v>
      </x:c>
      <x:c r="E274" s="1">
        <x:v>3</x:v>
      </x:c>
      <x:c r="F274" s="1">
        <x:v>3</x:v>
      </x:c>
      <x:c r="G274" s="1" t="s">
        <x:v>1042</x:v>
      </x:c>
      <x:c r="H274" s="1">
        <x:v>33</x:v>
      </x:c>
      <x:c r="I274" s="1">
        <x:v>19</x:v>
      </x:c>
      <x:c r="J274" s="1">
        <x:v>0.78</x:v>
      </x:c>
      <x:c r="K274" s="1" t="s">
        <x:v>1179</x:v>
      </x:c>
      <x:c r="L274" s="1">
        <x:v>2.2799999999999998</x:v>
      </x:c>
      <x:c r="M274" s="1">
        <x:v>2</x:v>
      </x:c>
      <x:c r="N274" s="1">
        <x:v>2711</x:v>
      </x:c>
      <x:c r="O274" s="1" t="s">
        <x:v>1044</x:v>
      </x:c>
      <x:c r="P274" s="42" t="str">
        <x:v>Lv50~60</x:v>
      </x:c>
      <x:c r="Q274" s="42" t="str">
        <x:v>II</x:v>
      </x:c>
      <x:c r="R274" s="42" t="str">
        <x:v>4~5</x:v>
      </x:c>
      <x:c r="S274" s="42" t="str">
        <x:v>노멀 최종 성장 점검</x:v>
      </x:c>
      <x:c r="T274" s="42" t="n">
        <x:v>14</x:v>
      </x:c>
      <x:c r="U274" s="42" t="n">
        <x:v>462</x:v>
      </x:c>
      <x:c r="V274" s="42" t="n">
        <x:v>165</x:v>
      </x:c>
      <x:c r="W274" s="42" t="n">
        <x:v>16</x:v>
      </x:c>
      <x:c r="X274" s="42" t="n">
        <x:v>50</x:v>
      </x:c>
      <x:c r="Y274" s="42" t="str"/>
    </x:row>
    <x:row r="275">
      <x:c r="A275" s="1">
        <x:v>28</x:v>
      </x:c>
      <x:c r="B275" s="1" t="s">
        <x:v>501</x:v>
      </x:c>
      <x:c r="C275" s="1" t="s">
        <x:v>446</x:v>
      </x:c>
      <x:c r="D275" s="1">
        <x:v>3</x:v>
      </x:c>
      <x:c r="E275" s="1">
        <x:v>3</x:v>
      </x:c>
      <x:c r="F275" s="1">
        <x:v>4</x:v>
      </x:c>
      <x:c r="G275" s="1" t="s">
        <x:v>1042</x:v>
      </x:c>
      <x:c r="H275" s="1">
        <x:v>35</x:v>
      </x:c>
      <x:c r="I275" s="1">
        <x:v>20</x:v>
      </x:c>
      <x:c r="J275" s="1">
        <x:v>0.74</x:v>
      </x:c>
      <x:c r="K275" s="1" t="s">
        <x:v>1182</x:v>
      </x:c>
      <x:c r="L275" s="1">
        <x:v>2.3199999999999998</x:v>
      </x:c>
      <x:c r="M275" s="1">
        <x:v>2.02</x:v>
      </x:c>
      <x:c r="N275" s="1">
        <x:v>2711</x:v>
      </x:c>
      <x:c r="O275" s="1" t="s">
        <x:v>1047</x:v>
      </x:c>
      <x:c r="P275" s="42" t="str">
        <x:v>Lv50~60</x:v>
      </x:c>
      <x:c r="Q275" s="42" t="str">
        <x:v>II</x:v>
      </x:c>
      <x:c r="R275" s="42" t="str">
        <x:v>4~5</x:v>
      </x:c>
      <x:c r="S275" s="42" t="str">
        <x:v>노멀 최종 성장 점검</x:v>
      </x:c>
      <x:c r="T275" s="42" t="n">
        <x:v>14</x:v>
      </x:c>
      <x:c r="U275" s="42" t="n">
        <x:v>490</x:v>
      </x:c>
      <x:c r="V275" s="42" t="n">
        <x:v>198</x:v>
      </x:c>
      <x:c r="W275" s="42" t="n">
        <x:v>20</x:v>
      </x:c>
      <x:c r="X275" s="42" t="n">
        <x:v>59</x:v>
      </x:c>
      <x:c r="Y275" s="42" t="str"/>
    </x:row>
    <x:row r="276">
      <x:c r="A276" s="1">
        <x:v>28</x:v>
      </x:c>
      <x:c r="B276" s="1" t="s">
        <x:v>501</x:v>
      </x:c>
      <x:c r="C276" s="1" t="s">
        <x:v>446</x:v>
      </x:c>
      <x:c r="D276" s="1">
        <x:v>3</x:v>
      </x:c>
      <x:c r="E276" s="1">
        <x:v>3</x:v>
      </x:c>
      <x:c r="F276" s="1">
        <x:v>5</x:v>
      </x:c>
      <x:c r="G276" s="1" t="s">
        <x:v>1048</x:v>
      </x:c>
      <x:c r="H276" s="1">
        <x:v>29</x:v>
      </x:c>
      <x:c r="I276" s="1">
        <x:v>21</x:v>
      </x:c>
      <x:c r="J276" s="1">
        <x:v>0.71</x:v>
      </x:c>
      <x:c r="K276" s="1" t="s">
        <x:v>1191</x:v>
      </x:c>
      <x:c r="L276" s="1">
        <x:v>2.35</x:v>
      </x:c>
      <x:c r="M276" s="1">
        <x:v>2.04</x:v>
      </x:c>
      <x:c r="N276" s="1">
        <x:v>2711</x:v>
      </x:c>
      <x:c r="O276" s="1" t="s">
        <x:v>1050</x:v>
      </x:c>
      <x:c r="P276" s="42" t="str">
        <x:v>Lv50~60</x:v>
      </x:c>
      <x:c r="Q276" s="42" t="str">
        <x:v>II</x:v>
      </x:c>
      <x:c r="R276" s="42" t="str">
        <x:v>4~5</x:v>
      </x:c>
      <x:c r="S276" s="42" t="str">
        <x:v>노멀 최종 성장 점검</x:v>
      </x:c>
      <x:c r="T276" s="42" t="n">
        <x:v>14</x:v>
      </x:c>
      <x:c r="U276" s="42" t="n">
        <x:v>645</x:v>
      </x:c>
      <x:c r="V276" s="42" t="n">
        <x:v>330</x:v>
      </x:c>
      <x:c r="W276" s="42" t="n">
        <x:v>33</x:v>
      </x:c>
      <x:c r="X276" s="42" t="n">
        <x:v>99</x:v>
      </x:c>
      <x:c r="Y276" s="42" t="str">
        <x:v>중간보스 현상금 포함</x:v>
      </x:c>
    </x:row>
    <x:row r="277">
      <x:c r="A277" s="1">
        <x:v>28</x:v>
      </x:c>
      <x:c r="B277" s="1" t="s">
        <x:v>501</x:v>
      </x:c>
      <x:c r="C277" s="1" t="s">
        <x:v>446</x:v>
      </x:c>
      <x:c r="D277" s="1">
        <x:v>3</x:v>
      </x:c>
      <x:c r="E277" s="1">
        <x:v>3</x:v>
      </x:c>
      <x:c r="F277" s="1">
        <x:v>6</x:v>
      </x:c>
      <x:c r="G277" s="1" t="s">
        <x:v>1042</x:v>
      </x:c>
      <x:c r="H277" s="1">
        <x:v>39</x:v>
      </x:c>
      <x:c r="I277" s="1">
        <x:v>23</x:v>
      </x:c>
      <x:c r="J277" s="1">
        <x:v>0.67</x:v>
      </x:c>
      <x:c r="K277" s="1" t="s">
        <x:v>1192</x:v>
      </x:c>
      <x:c r="L277" s="1">
        <x:v>2.39</x:v>
      </x:c>
      <x:c r="M277" s="1">
        <x:v>2.0699999999999998</x:v>
      </x:c>
      <x:c r="N277" s="1">
        <x:v>2711</x:v>
      </x:c>
      <x:c r="O277" s="1" t="s">
        <x:v>1052</x:v>
      </x:c>
      <x:c r="P277" s="42" t="str">
        <x:v>Lv50~60</x:v>
      </x:c>
      <x:c r="Q277" s="42" t="str">
        <x:v>II</x:v>
      </x:c>
      <x:c r="R277" s="42" t="str">
        <x:v>4~5</x:v>
      </x:c>
      <x:c r="S277" s="42" t="str">
        <x:v>노멀 최종 성장 점검</x:v>
      </x:c>
      <x:c r="T277" s="42" t="n">
        <x:v>14</x:v>
      </x:c>
      <x:c r="U277" s="42" t="n">
        <x:v>546</x:v>
      </x:c>
      <x:c r="V277" s="42" t="n">
        <x:v>242</x:v>
      </x:c>
      <x:c r="W277" s="42" t="n">
        <x:v>24</x:v>
      </x:c>
      <x:c r="X277" s="42" t="n">
        <x:v>73</x:v>
      </x:c>
      <x:c r="Y277" s="42" t="str"/>
    </x:row>
    <x:row r="278">
      <x:c r="A278" s="1">
        <x:v>28</x:v>
      </x:c>
      <x:c r="B278" s="1" t="s">
        <x:v>501</x:v>
      </x:c>
      <x:c r="C278" s="1" t="s">
        <x:v>446</x:v>
      </x:c>
      <x:c r="D278" s="1">
        <x:v>3</x:v>
      </x:c>
      <x:c r="E278" s="1">
        <x:v>3</x:v>
      </x:c>
      <x:c r="F278" s="1">
        <x:v>7</x:v>
      </x:c>
      <x:c r="G278" s="1" t="s">
        <x:v>1042</x:v>
      </x:c>
      <x:c r="H278" s="1">
        <x:v>41</x:v>
      </x:c>
      <x:c r="I278" s="1">
        <x:v>24</x:v>
      </x:c>
      <x:c r="J278" s="1">
        <x:v>0.64</x:v>
      </x:c>
      <x:c r="K278" s="1" t="s">
        <x:v>1177</x:v>
      </x:c>
      <x:c r="L278" s="1">
        <x:v>2.42</x:v>
      </x:c>
      <x:c r="M278" s="1">
        <x:v>2.1</x:v>
      </x:c>
      <x:c r="N278" s="1">
        <x:v>2711</x:v>
      </x:c>
      <x:c r="O278" s="1" t="s">
        <x:v>1052</x:v>
      </x:c>
      <x:c r="P278" s="42" t="str">
        <x:v>Lv50~60</x:v>
      </x:c>
      <x:c r="Q278" s="42" t="str">
        <x:v>II</x:v>
      </x:c>
      <x:c r="R278" s="42" t="str">
        <x:v>4~5</x:v>
      </x:c>
      <x:c r="S278" s="42" t="str">
        <x:v>노멀 최종 성장 점검</x:v>
      </x:c>
      <x:c r="T278" s="42" t="n">
        <x:v>14</x:v>
      </x:c>
      <x:c r="U278" s="42" t="n">
        <x:v>574</x:v>
      </x:c>
      <x:c r="V278" s="42" t="n">
        <x:v>330</x:v>
      </x:c>
      <x:c r="W278" s="42" t="n">
        <x:v>33</x:v>
      </x:c>
      <x:c r="X278" s="42" t="n">
        <x:v>99</x:v>
      </x:c>
      <x:c r="Y278" s="42" t="str"/>
    </x:row>
    <x:row r="279">
      <x:c r="A279" s="1">
        <x:v>28</x:v>
      </x:c>
      <x:c r="B279" s="1" t="s">
        <x:v>501</x:v>
      </x:c>
      <x:c r="C279" s="1" t="s">
        <x:v>446</x:v>
      </x:c>
      <x:c r="D279" s="1">
        <x:v>3</x:v>
      </x:c>
      <x:c r="E279" s="1">
        <x:v>3</x:v>
      </x:c>
      <x:c r="F279" s="1">
        <x:v>8</x:v>
      </x:c>
      <x:c r="G279" s="1" t="s">
        <x:v>1042</x:v>
      </x:c>
      <x:c r="H279" s="1">
        <x:v>43</x:v>
      </x:c>
      <x:c r="I279" s="1">
        <x:v>25</x:v>
      </x:c>
      <x:c r="J279" s="1">
        <x:v>0.6</x:v>
      </x:c>
      <x:c r="K279" s="1" t="s">
        <x:v>1179</x:v>
      </x:c>
      <x:c r="L279" s="1">
        <x:v>2.46</x:v>
      </x:c>
      <x:c r="M279" s="1">
        <x:v>2.12</x:v>
      </x:c>
      <x:c r="N279" s="1">
        <x:v>2711</x:v>
      </x:c>
      <x:c r="O279" s="1" t="s">
        <x:v>1052</x:v>
      </x:c>
      <x:c r="P279" s="42" t="str">
        <x:v>Lv50~60</x:v>
      </x:c>
      <x:c r="Q279" s="42" t="str">
        <x:v>II</x:v>
      </x:c>
      <x:c r="R279" s="42" t="str">
        <x:v>4~5</x:v>
      </x:c>
      <x:c r="S279" s="42" t="str">
        <x:v>노멀 최종 성장 점검</x:v>
      </x:c>
      <x:c r="T279" s="42" t="n">
        <x:v>14</x:v>
      </x:c>
      <x:c r="U279" s="42" t="n">
        <x:v>602</x:v>
      </x:c>
      <x:c r="V279" s="42" t="n">
        <x:v>440</x:v>
      </x:c>
      <x:c r="W279" s="42" t="n">
        <x:v>44</x:v>
      </x:c>
      <x:c r="X279" s="42" t="n">
        <x:v>132</x:v>
      </x:c>
      <x:c r="Y279" s="42" t="str"/>
    </x:row>
    <x:row r="280">
      <x:c r="A280" s="1">
        <x:v>28</x:v>
      </x:c>
      <x:c r="B280" s="1" t="s">
        <x:v>501</x:v>
      </x:c>
      <x:c r="C280" s="1" t="s">
        <x:v>446</x:v>
      </x:c>
      <x:c r="D280" s="1">
        <x:v>3</x:v>
      </x:c>
      <x:c r="E280" s="1">
        <x:v>3</x:v>
      </x:c>
      <x:c r="F280" s="1">
        <x:v>9</x:v>
      </x:c>
      <x:c r="G280" s="1" t="s">
        <x:v>1042</x:v>
      </x:c>
      <x:c r="H280" s="1">
        <x:v>45</x:v>
      </x:c>
      <x:c r="I280" s="1">
        <x:v>26</x:v>
      </x:c>
      <x:c r="J280" s="1">
        <x:v>0.56999999999999995</x:v>
      </x:c>
      <x:c r="K280" s="1" t="s">
        <x:v>1193</x:v>
      </x:c>
      <x:c r="L280" s="1">
        <x:v>2.5</x:v>
      </x:c>
      <x:c r="M280" s="1">
        <x:v>2.15</x:v>
      </x:c>
      <x:c r="N280" s="1">
        <x:v>2711</x:v>
      </x:c>
      <x:c r="O280" s="1" t="s">
        <x:v>1056</x:v>
      </x:c>
      <x:c r="P280" s="42" t="str">
        <x:v>Lv50~60</x:v>
      </x:c>
      <x:c r="Q280" s="42" t="str">
        <x:v>II</x:v>
      </x:c>
      <x:c r="R280" s="42" t="str">
        <x:v>4~5</x:v>
      </x:c>
      <x:c r="S280" s="42" t="str">
        <x:v>노멀 최종 성장 점검</x:v>
      </x:c>
      <x:c r="T280" s="42" t="n">
        <x:v>14</x:v>
      </x:c>
      <x:c r="U280" s="42" t="n">
        <x:v>630</x:v>
      </x:c>
      <x:c r="V280" s="42" t="n">
        <x:v>550</x:v>
      </x:c>
      <x:c r="W280" s="42" t="n">
        <x:v>55</x:v>
      </x:c>
      <x:c r="X280" s="42" t="n">
        <x:v>165</x:v>
      </x:c>
      <x:c r="Y280" s="42" t="str"/>
    </x:row>
    <x:row r="281">
      <x:c r="A281" s="1">
        <x:v>28</x:v>
      </x:c>
      <x:c r="B281" s="1" t="s">
        <x:v>501</x:v>
      </x:c>
      <x:c r="C281" s="1" t="s">
        <x:v>446</x:v>
      </x:c>
      <x:c r="D281" s="1">
        <x:v>3</x:v>
      </x:c>
      <x:c r="E281" s="1">
        <x:v>3</x:v>
      </x:c>
      <x:c r="F281" s="1">
        <x:v>10</x:v>
      </x:c>
      <x:c r="G281" s="1" t="s">
        <x:v>1057</x:v>
      </x:c>
      <x:c r="H281" s="1">
        <x:v>37</x:v>
      </x:c>
      <x:c r="I281" s="1">
        <x:v>27</x:v>
      </x:c>
      <x:c r="J281" s="1">
        <x:v>0.55000000000000004</x:v>
      </x:c>
      <x:c r="K281" s="1" t="s">
        <x:v>1194</x:v>
      </x:c>
      <x:c r="L281" s="1">
        <x:v>2.5299999999999998</x:v>
      </x:c>
      <x:c r="M281" s="1">
        <x:v>2.17</x:v>
      </x:c>
      <x:c r="N281" s="1">
        <x:v>2711</x:v>
      </x:c>
      <x:c r="O281" s="1" t="s">
        <x:v>1059</x:v>
      </x:c>
      <x:c r="P281" s="42" t="str">
        <x:v>Lv50~60</x:v>
      </x:c>
      <x:c r="Q281" s="42" t="str">
        <x:v>II</x:v>
      </x:c>
      <x:c r="R281" s="42" t="str">
        <x:v>4~5</x:v>
      </x:c>
      <x:c r="S281" s="42" t="str">
        <x:v>노멀 최종 성장 점검</x:v>
      </x:c>
      <x:c r="T281" s="42" t="n">
        <x:v>14</x:v>
      </x:c>
      <x:c r="U281" s="42" t="n">
        <x:v>504</x:v>
      </x:c>
      <x:c r="V281" s="42" t="n">
        <x:v>0</x:v>
      </x:c>
      <x:c r="W281" s="42" t="n">
        <x:v>0</x:v>
      </x:c>
      <x:c r="X281" s="42" t="n">
        <x:v>0</x:v>
      </x:c>
      <x:c r="Y281" s="42" t="str">
        <x:v>보스 처치 보상은 로비 보상으로 분리</x:v>
      </x:c>
    </x:row>
    <x:row r="282">
      <x:c r="A282" s="1">
        <x:v>29</x:v>
      </x:c>
      <x:c r="B282" s="1" t="s">
        <x:v>501</x:v>
      </x:c>
      <x:c r="C282" s="1" t="s">
        <x:v>446</x:v>
      </x:c>
      <x:c r="D282" s="1">
        <x:v>4</x:v>
      </x:c>
      <x:c r="E282" s="1">
        <x:v>3</x:v>
      </x:c>
      <x:c r="F282" s="1">
        <x:v>1</x:v>
      </x:c>
      <x:c r="G282" s="1" t="s">
        <x:v>1042</x:v>
      </x:c>
      <x:c r="H282" s="1">
        <x:v>29</x:v>
      </x:c>
      <x:c r="I282" s="1">
        <x:v>17</x:v>
      </x:c>
      <x:c r="J282" s="1">
        <x:v>0.84</x:v>
      </x:c>
      <x:c r="K282" s="1" t="s">
        <x:v>1177</x:v>
      </x:c>
      <x:c r="L282" s="1">
        <x:v>2.2599999999999998</x:v>
      </x:c>
      <x:c r="M282" s="1">
        <x:v>1.98</x:v>
      </x:c>
      <x:c r="N282" s="1">
        <x:v>3063</x:v>
      </x:c>
      <x:c r="O282" s="1" t="s">
        <x:v>1044</x:v>
      </x:c>
      <x:c r="P282" s="42" t="str">
        <x:v>Lv50~60</x:v>
      </x:c>
      <x:c r="Q282" s="42" t="str">
        <x:v>II</x:v>
      </x:c>
      <x:c r="R282" s="42" t="str">
        <x:v>4~5</x:v>
      </x:c>
      <x:c r="S282" s="42" t="str">
        <x:v>노멀 최종 성장 점검</x:v>
      </x:c>
      <x:c r="T282" s="42" t="n">
        <x:v>14</x:v>
      </x:c>
      <x:c r="U282" s="42" t="n">
        <x:v>406</x:v>
      </x:c>
      <x:c r="V282" s="42" t="n">
        <x:v>110</x:v>
      </x:c>
      <x:c r="W282" s="42" t="n">
        <x:v>11</x:v>
      </x:c>
      <x:c r="X282" s="42" t="n">
        <x:v>33</x:v>
      </x:c>
      <x:c r="Y282" s="42" t="str"/>
    </x:row>
    <x:row r="283">
      <x:c r="A283" s="1">
        <x:v>29</x:v>
      </x:c>
      <x:c r="B283" s="1" t="s">
        <x:v>501</x:v>
      </x:c>
      <x:c r="C283" s="1" t="s">
        <x:v>446</x:v>
      </x:c>
      <x:c r="D283" s="1">
        <x:v>4</x:v>
      </x:c>
      <x:c r="E283" s="1">
        <x:v>3</x:v>
      </x:c>
      <x:c r="F283" s="1">
        <x:v>2</x:v>
      </x:c>
      <x:c r="G283" s="1" t="s">
        <x:v>1042</x:v>
      </x:c>
      <x:c r="H283" s="1">
        <x:v>31</x:v>
      </x:c>
      <x:c r="I283" s="1">
        <x:v>18</x:v>
      </x:c>
      <x:c r="J283" s="1">
        <x:v>0.8</x:v>
      </x:c>
      <x:c r="K283" s="1" t="s">
        <x:v>1179</x:v>
      </x:c>
      <x:c r="L283" s="1">
        <x:v>2.29</x:v>
      </x:c>
      <x:c r="M283" s="1">
        <x:v>2</x:v>
      </x:c>
      <x:c r="N283" s="1">
        <x:v>3063</x:v>
      </x:c>
      <x:c r="O283" s="1" t="s">
        <x:v>1044</x:v>
      </x:c>
      <x:c r="P283" s="42" t="str">
        <x:v>Lv50~60</x:v>
      </x:c>
      <x:c r="Q283" s="42" t="str">
        <x:v>II</x:v>
      </x:c>
      <x:c r="R283" s="42" t="str">
        <x:v>4~5</x:v>
      </x:c>
      <x:c r="S283" s="42" t="str">
        <x:v>노멀 최종 성장 점검</x:v>
      </x:c>
      <x:c r="T283" s="42" t="n">
        <x:v>14</x:v>
      </x:c>
      <x:c r="U283" s="42" t="n">
        <x:v>434</x:v>
      </x:c>
      <x:c r="V283" s="42" t="n">
        <x:v>132</x:v>
      </x:c>
      <x:c r="W283" s="42" t="n">
        <x:v>13</x:v>
      </x:c>
      <x:c r="X283" s="42" t="n">
        <x:v>40</x:v>
      </x:c>
      <x:c r="Y283" s="42" t="str"/>
    </x:row>
    <x:row r="284">
      <x:c r="A284" s="1">
        <x:v>29</x:v>
      </x:c>
      <x:c r="B284" s="1" t="s">
        <x:v>501</x:v>
      </x:c>
      <x:c r="C284" s="1" t="s">
        <x:v>446</x:v>
      </x:c>
      <x:c r="D284" s="1">
        <x:v>4</x:v>
      </x:c>
      <x:c r="E284" s="1">
        <x:v>3</x:v>
      </x:c>
      <x:c r="F284" s="1">
        <x:v>3</x:v>
      </x:c>
      <x:c r="G284" s="1" t="s">
        <x:v>1042</x:v>
      </x:c>
      <x:c r="H284" s="1">
        <x:v>33</x:v>
      </x:c>
      <x:c r="I284" s="1">
        <x:v>19</x:v>
      </x:c>
      <x:c r="J284" s="1">
        <x:v>0.77</x:v>
      </x:c>
      <x:c r="K284" s="1" t="s">
        <x:v>1195</x:v>
      </x:c>
      <x:c r="L284" s="1">
        <x:v>2.33</x:v>
      </x:c>
      <x:c r="M284" s="1">
        <x:v>2.0299999999999998</x:v>
      </x:c>
      <x:c r="N284" s="1">
        <x:v>3063</x:v>
      </x:c>
      <x:c r="O284" s="1" t="s">
        <x:v>1044</x:v>
      </x:c>
      <x:c r="P284" s="42" t="str">
        <x:v>Lv50~60</x:v>
      </x:c>
      <x:c r="Q284" s="42" t="str">
        <x:v>II</x:v>
      </x:c>
      <x:c r="R284" s="42" t="str">
        <x:v>4~5</x:v>
      </x:c>
      <x:c r="S284" s="42" t="str">
        <x:v>노멀 최종 성장 점검</x:v>
      </x:c>
      <x:c r="T284" s="42" t="n">
        <x:v>14</x:v>
      </x:c>
      <x:c r="U284" s="42" t="n">
        <x:v>462</x:v>
      </x:c>
      <x:c r="V284" s="42" t="n">
        <x:v>165</x:v>
      </x:c>
      <x:c r="W284" s="42" t="n">
        <x:v>16</x:v>
      </x:c>
      <x:c r="X284" s="42" t="n">
        <x:v>50</x:v>
      </x:c>
      <x:c r="Y284" s="42" t="str"/>
    </x:row>
    <x:row r="285">
      <x:c r="A285" s="1">
        <x:v>29</x:v>
      </x:c>
      <x:c r="B285" s="1" t="s">
        <x:v>501</x:v>
      </x:c>
      <x:c r="C285" s="1" t="s">
        <x:v>446</x:v>
      </x:c>
      <x:c r="D285" s="1">
        <x:v>4</x:v>
      </x:c>
      <x:c r="E285" s="1">
        <x:v>3</x:v>
      </x:c>
      <x:c r="F285" s="1">
        <x:v>4</x:v>
      </x:c>
      <x:c r="G285" s="1" t="s">
        <x:v>1042</x:v>
      </x:c>
      <x:c r="H285" s="1">
        <x:v>35</x:v>
      </x:c>
      <x:c r="I285" s="1">
        <x:v>20</x:v>
      </x:c>
      <x:c r="J285" s="1">
        <x:v>0.73</x:v>
      </x:c>
      <x:c r="K285" s="1" t="s">
        <x:v>1196</x:v>
      </x:c>
      <x:c r="L285" s="1">
        <x:v>2.36</x:v>
      </x:c>
      <x:c r="M285" s="1">
        <x:v>2.06</x:v>
      </x:c>
      <x:c r="N285" s="1">
        <x:v>3063</x:v>
      </x:c>
      <x:c r="O285" s="1" t="s">
        <x:v>1047</x:v>
      </x:c>
      <x:c r="P285" s="42" t="str">
        <x:v>Lv50~60</x:v>
      </x:c>
      <x:c r="Q285" s="42" t="str">
        <x:v>II</x:v>
      </x:c>
      <x:c r="R285" s="42" t="str">
        <x:v>4~5</x:v>
      </x:c>
      <x:c r="S285" s="42" t="str">
        <x:v>노멀 최종 성장 점검</x:v>
      </x:c>
      <x:c r="T285" s="42" t="n">
        <x:v>14</x:v>
      </x:c>
      <x:c r="U285" s="42" t="n">
        <x:v>490</x:v>
      </x:c>
      <x:c r="V285" s="42" t="n">
        <x:v>198</x:v>
      </x:c>
      <x:c r="W285" s="42" t="n">
        <x:v>20</x:v>
      </x:c>
      <x:c r="X285" s="42" t="n">
        <x:v>59</x:v>
      </x:c>
      <x:c r="Y285" s="42" t="str"/>
    </x:row>
    <x:row r="286">
      <x:c r="A286" s="1">
        <x:v>29</x:v>
      </x:c>
      <x:c r="B286" s="1" t="s">
        <x:v>501</x:v>
      </x:c>
      <x:c r="C286" s="1" t="s">
        <x:v>446</x:v>
      </x:c>
      <x:c r="D286" s="1">
        <x:v>4</x:v>
      </x:c>
      <x:c r="E286" s="1">
        <x:v>3</x:v>
      </x:c>
      <x:c r="F286" s="1">
        <x:v>5</x:v>
      </x:c>
      <x:c r="G286" s="1" t="s">
        <x:v>1048</x:v>
      </x:c>
      <x:c r="H286" s="1">
        <x:v>29</x:v>
      </x:c>
      <x:c r="I286" s="1">
        <x:v>21</x:v>
      </x:c>
      <x:c r="J286" s="1">
        <x:v>0.7</x:v>
      </x:c>
      <x:c r="K286" s="1" t="s">
        <x:v>1191</x:v>
      </x:c>
      <x:c r="L286" s="1">
        <x:v>2.4</x:v>
      </x:c>
      <x:c r="M286" s="1">
        <x:v>2.08</x:v>
      </x:c>
      <x:c r="N286" s="1">
        <x:v>3063</x:v>
      </x:c>
      <x:c r="O286" s="1" t="s">
        <x:v>1050</x:v>
      </x:c>
      <x:c r="P286" s="42" t="str">
        <x:v>Lv50~60</x:v>
      </x:c>
      <x:c r="Q286" s="42" t="str">
        <x:v>II</x:v>
      </x:c>
      <x:c r="R286" s="42" t="str">
        <x:v>4~5</x:v>
      </x:c>
      <x:c r="S286" s="42" t="str">
        <x:v>노멀 최종 성장 점검</x:v>
      </x:c>
      <x:c r="T286" s="42" t="n">
        <x:v>14</x:v>
      </x:c>
      <x:c r="U286" s="42" t="n">
        <x:v>648</x:v>
      </x:c>
      <x:c r="V286" s="42" t="n">
        <x:v>330</x:v>
      </x:c>
      <x:c r="W286" s="42" t="n">
        <x:v>33</x:v>
      </x:c>
      <x:c r="X286" s="42" t="n">
        <x:v>99</x:v>
      </x:c>
      <x:c r="Y286" s="42" t="str">
        <x:v>중간보스 현상금 포함</x:v>
      </x:c>
    </x:row>
    <x:row r="287">
      <x:c r="A287" s="1">
        <x:v>29</x:v>
      </x:c>
      <x:c r="B287" s="1" t="s">
        <x:v>501</x:v>
      </x:c>
      <x:c r="C287" s="1" t="s">
        <x:v>446</x:v>
      </x:c>
      <x:c r="D287" s="1">
        <x:v>4</x:v>
      </x:c>
      <x:c r="E287" s="1">
        <x:v>3</x:v>
      </x:c>
      <x:c r="F287" s="1">
        <x:v>6</x:v>
      </x:c>
      <x:c r="G287" s="1" t="s">
        <x:v>1042</x:v>
      </x:c>
      <x:c r="H287" s="1">
        <x:v>39</x:v>
      </x:c>
      <x:c r="I287" s="1">
        <x:v>23</x:v>
      </x:c>
      <x:c r="J287" s="1">
        <x:v>0.66</x:v>
      </x:c>
      <x:c r="K287" s="1" t="s">
        <x:v>1188</x:v>
      </x:c>
      <x:c r="L287" s="1">
        <x:v>2.4300000000000002</x:v>
      </x:c>
      <x:c r="M287" s="1">
        <x:v>2.1</x:v>
      </x:c>
      <x:c r="N287" s="1">
        <x:v>3063</x:v>
      </x:c>
      <x:c r="O287" s="1" t="s">
        <x:v>1052</x:v>
      </x:c>
      <x:c r="P287" s="42" t="str">
        <x:v>Lv50~60</x:v>
      </x:c>
      <x:c r="Q287" s="42" t="str">
        <x:v>II</x:v>
      </x:c>
      <x:c r="R287" s="42" t="str">
        <x:v>4~5</x:v>
      </x:c>
      <x:c r="S287" s="42" t="str">
        <x:v>노멀 최종 성장 점검</x:v>
      </x:c>
      <x:c r="T287" s="42" t="n">
        <x:v>14</x:v>
      </x:c>
      <x:c r="U287" s="42" t="n">
        <x:v>546</x:v>
      </x:c>
      <x:c r="V287" s="42" t="n">
        <x:v>242</x:v>
      </x:c>
      <x:c r="W287" s="42" t="n">
        <x:v>24</x:v>
      </x:c>
      <x:c r="X287" s="42" t="n">
        <x:v>73</x:v>
      </x:c>
      <x:c r="Y287" s="42" t="str"/>
    </x:row>
    <x:row r="288">
      <x:c r="A288" s="1">
        <x:v>29</x:v>
      </x:c>
      <x:c r="B288" s="1" t="s">
        <x:v>501</x:v>
      </x:c>
      <x:c r="C288" s="1" t="s">
        <x:v>446</x:v>
      </x:c>
      <x:c r="D288" s="1">
        <x:v>4</x:v>
      </x:c>
      <x:c r="E288" s="1">
        <x:v>3</x:v>
      </x:c>
      <x:c r="F288" s="1">
        <x:v>7</x:v>
      </x:c>
      <x:c r="G288" s="1" t="s">
        <x:v>1042</x:v>
      </x:c>
      <x:c r="H288" s="1">
        <x:v>41</x:v>
      </x:c>
      <x:c r="I288" s="1">
        <x:v>24</x:v>
      </x:c>
      <x:c r="J288" s="1">
        <x:v>0.63</x:v>
      </x:c>
      <x:c r="K288" s="1" t="s">
        <x:v>1195</x:v>
      </x:c>
      <x:c r="L288" s="1">
        <x:v>2.4700000000000002</x:v>
      </x:c>
      <x:c r="M288" s="1">
        <x:v>2.13</x:v>
      </x:c>
      <x:c r="N288" s="1">
        <x:v>3063</x:v>
      </x:c>
      <x:c r="O288" s="1" t="s">
        <x:v>1052</x:v>
      </x:c>
      <x:c r="P288" s="42" t="str">
        <x:v>Lv50~60</x:v>
      </x:c>
      <x:c r="Q288" s="42" t="str">
        <x:v>II</x:v>
      </x:c>
      <x:c r="R288" s="42" t="str">
        <x:v>4~5</x:v>
      </x:c>
      <x:c r="S288" s="42" t="str">
        <x:v>노멀 최종 성장 점검</x:v>
      </x:c>
      <x:c r="T288" s="42" t="n">
        <x:v>14</x:v>
      </x:c>
      <x:c r="U288" s="42" t="n">
        <x:v>574</x:v>
      </x:c>
      <x:c r="V288" s="42" t="n">
        <x:v>330</x:v>
      </x:c>
      <x:c r="W288" s="42" t="n">
        <x:v>33</x:v>
      </x:c>
      <x:c r="X288" s="42" t="n">
        <x:v>99</x:v>
      </x:c>
      <x:c r="Y288" s="42" t="str"/>
    </x:row>
    <x:row r="289">
      <x:c r="A289" s="1">
        <x:v>29</x:v>
      </x:c>
      <x:c r="B289" s="1" t="s">
        <x:v>501</x:v>
      </x:c>
      <x:c r="C289" s="1" t="s">
        <x:v>446</x:v>
      </x:c>
      <x:c r="D289" s="1">
        <x:v>4</x:v>
      </x:c>
      <x:c r="E289" s="1">
        <x:v>3</x:v>
      </x:c>
      <x:c r="F289" s="1">
        <x:v>8</x:v>
      </x:c>
      <x:c r="G289" s="1" t="s">
        <x:v>1042</x:v>
      </x:c>
      <x:c r="H289" s="1">
        <x:v>43</x:v>
      </x:c>
      <x:c r="I289" s="1">
        <x:v>25</x:v>
      </x:c>
      <x:c r="J289" s="1">
        <x:v>0.59</x:v>
      </x:c>
      <x:c r="K289" s="1" t="s">
        <x:v>1193</x:v>
      </x:c>
      <x:c r="L289" s="1">
        <x:v>2.5</x:v>
      </x:c>
      <x:c r="M289" s="1">
        <x:v>2.15</x:v>
      </x:c>
      <x:c r="N289" s="1">
        <x:v>3063</x:v>
      </x:c>
      <x:c r="O289" s="1" t="s">
        <x:v>1052</x:v>
      </x:c>
      <x:c r="P289" s="42" t="str">
        <x:v>Lv50~60</x:v>
      </x:c>
      <x:c r="Q289" s="42" t="str">
        <x:v>II</x:v>
      </x:c>
      <x:c r="R289" s="42" t="str">
        <x:v>4~5</x:v>
      </x:c>
      <x:c r="S289" s="42" t="str">
        <x:v>노멀 최종 성장 점검</x:v>
      </x:c>
      <x:c r="T289" s="42" t="n">
        <x:v>14</x:v>
      </x:c>
      <x:c r="U289" s="42" t="n">
        <x:v>602</x:v>
      </x:c>
      <x:c r="V289" s="42" t="n">
        <x:v>440</x:v>
      </x:c>
      <x:c r="W289" s="42" t="n">
        <x:v>44</x:v>
      </x:c>
      <x:c r="X289" s="42" t="n">
        <x:v>132</x:v>
      </x:c>
      <x:c r="Y289" s="42" t="str"/>
    </x:row>
    <x:row r="290">
      <x:c r="A290" s="1">
        <x:v>29</x:v>
      </x:c>
      <x:c r="B290" s="1" t="s">
        <x:v>501</x:v>
      </x:c>
      <x:c r="C290" s="1" t="s">
        <x:v>446</x:v>
      </x:c>
      <x:c r="D290" s="1">
        <x:v>4</x:v>
      </x:c>
      <x:c r="E290" s="1">
        <x:v>3</x:v>
      </x:c>
      <x:c r="F290" s="1">
        <x:v>9</x:v>
      </x:c>
      <x:c r="G290" s="1" t="s">
        <x:v>1042</x:v>
      </x:c>
      <x:c r="H290" s="1">
        <x:v>45</x:v>
      </x:c>
      <x:c r="I290" s="1">
        <x:v>26</x:v>
      </x:c>
      <x:c r="J290" s="1">
        <x:v>0.56000000000000005</x:v>
      </x:c>
      <x:c r="K290" s="1" t="s">
        <x:v>1182</x:v>
      </x:c>
      <x:c r="L290" s="1">
        <x:v>2.54</x:v>
      </x:c>
      <x:c r="M290" s="1">
        <x:v>2.1800000000000002</x:v>
      </x:c>
      <x:c r="N290" s="1">
        <x:v>3063</x:v>
      </x:c>
      <x:c r="O290" s="1" t="s">
        <x:v>1056</x:v>
      </x:c>
      <x:c r="P290" s="42" t="str">
        <x:v>Lv50~60</x:v>
      </x:c>
      <x:c r="Q290" s="42" t="str">
        <x:v>II</x:v>
      </x:c>
      <x:c r="R290" s="42" t="str">
        <x:v>4~5</x:v>
      </x:c>
      <x:c r="S290" s="42" t="str">
        <x:v>노멀 최종 성장 점검</x:v>
      </x:c>
      <x:c r="T290" s="42" t="n">
        <x:v>14</x:v>
      </x:c>
      <x:c r="U290" s="42" t="n">
        <x:v>630</x:v>
      </x:c>
      <x:c r="V290" s="42" t="n">
        <x:v>550</x:v>
      </x:c>
      <x:c r="W290" s="42" t="n">
        <x:v>55</x:v>
      </x:c>
      <x:c r="X290" s="42" t="n">
        <x:v>165</x:v>
      </x:c>
      <x:c r="Y290" s="42" t="str"/>
    </x:row>
    <x:row r="291">
      <x:c r="A291" s="1">
        <x:v>29</x:v>
      </x:c>
      <x:c r="B291" s="1" t="s">
        <x:v>501</x:v>
      </x:c>
      <x:c r="C291" s="1" t="s">
        <x:v>446</x:v>
      </x:c>
      <x:c r="D291" s="1">
        <x:v>4</x:v>
      </x:c>
      <x:c r="E291" s="1">
        <x:v>3</x:v>
      </x:c>
      <x:c r="F291" s="1">
        <x:v>10</x:v>
      </x:c>
      <x:c r="G291" s="1" t="s">
        <x:v>1057</x:v>
      </x:c>
      <x:c r="H291" s="1">
        <x:v>37</x:v>
      </x:c>
      <x:c r="I291" s="1">
        <x:v>27</x:v>
      </x:c>
      <x:c r="J291" s="1">
        <x:v>0.55000000000000004</x:v>
      </x:c>
      <x:c r="K291" s="1" t="s">
        <x:v>1197</x:v>
      </x:c>
      <x:c r="L291" s="1">
        <x:v>2.57</x:v>
      </x:c>
      <x:c r="M291" s="1">
        <x:v>2.21</x:v>
      </x:c>
      <x:c r="N291" s="1">
        <x:v>3063</x:v>
      </x:c>
      <x:c r="O291" s="1" t="s">
        <x:v>1059</x:v>
      </x:c>
      <x:c r="P291" s="42" t="str">
        <x:v>Lv50~60</x:v>
      </x:c>
      <x:c r="Q291" s="42" t="str">
        <x:v>II</x:v>
      </x:c>
      <x:c r="R291" s="42" t="str">
        <x:v>4~5</x:v>
      </x:c>
      <x:c r="S291" s="42" t="str">
        <x:v>노멀 최종 성장 점검</x:v>
      </x:c>
      <x:c r="T291" s="42" t="n">
        <x:v>14</x:v>
      </x:c>
      <x:c r="U291" s="42" t="n">
        <x:v>504</x:v>
      </x:c>
      <x:c r="V291" s="42" t="n">
        <x:v>0</x:v>
      </x:c>
      <x:c r="W291" s="42" t="n">
        <x:v>0</x:v>
      </x:c>
      <x:c r="X291" s="42" t="n">
        <x:v>0</x:v>
      </x:c>
      <x:c r="Y291" s="42" t="str">
        <x:v>보스 처치 보상은 로비 보상으로 분리</x:v>
      </x:c>
    </x:row>
    <x:row r="292">
      <x:c r="A292" s="1">
        <x:v>30</x:v>
      </x:c>
      <x:c r="B292" s="1" t="s">
        <x:v>501</x:v>
      </x:c>
      <x:c r="C292" s="1" t="s">
        <x:v>446</x:v>
      </x:c>
      <x:c r="D292" s="1">
        <x:v>5</x:v>
      </x:c>
      <x:c r="E292" s="1">
        <x:v>4</x:v>
      </x:c>
      <x:c r="F292" s="1">
        <x:v>1</x:v>
      </x:c>
      <x:c r="G292" s="1" t="s">
        <x:v>1042</x:v>
      </x:c>
      <x:c r="H292" s="1">
        <x:v>32</x:v>
      </x:c>
      <x:c r="I292" s="1">
        <x:v>19</x:v>
      </x:c>
      <x:c r="J292" s="1">
        <x:v>0.82</x:v>
      </x:c>
      <x:c r="K292" s="1" t="s">
        <x:v>1188</x:v>
      </x:c>
      <x:c r="L292" s="1">
        <x:v>2.2999999999999998</x:v>
      </x:c>
      <x:c r="M292" s="1">
        <x:v>2.02</x:v>
      </x:c>
      <x:c r="N292" s="1">
        <x:v>3462</x:v>
      </x:c>
      <x:c r="O292" s="1" t="s">
        <x:v>1044</x:v>
      </x:c>
      <x:c r="P292" s="42" t="str">
        <x:v>Lv50~60</x:v>
      </x:c>
      <x:c r="Q292" s="42" t="str">
        <x:v>II</x:v>
      </x:c>
      <x:c r="R292" s="42" t="str">
        <x:v>4~5</x:v>
      </x:c>
      <x:c r="S292" s="42" t="str">
        <x:v>노멀 최종 성장 점검</x:v>
      </x:c>
      <x:c r="T292" s="42" t="n">
        <x:v>14</x:v>
      </x:c>
      <x:c r="U292" s="42" t="n">
        <x:v>448</x:v>
      </x:c>
      <x:c r="V292" s="42" t="n">
        <x:v>110</x:v>
      </x:c>
      <x:c r="W292" s="42" t="n">
        <x:v>11</x:v>
      </x:c>
      <x:c r="X292" s="42" t="n">
        <x:v>33</x:v>
      </x:c>
      <x:c r="Y292" s="42" t="str"/>
    </x:row>
    <x:row r="293">
      <x:c r="A293" s="1">
        <x:v>30</x:v>
      </x:c>
      <x:c r="B293" s="1" t="s">
        <x:v>501</x:v>
      </x:c>
      <x:c r="C293" s="1" t="s">
        <x:v>446</x:v>
      </x:c>
      <x:c r="D293" s="1">
        <x:v>5</x:v>
      </x:c>
      <x:c r="E293" s="1">
        <x:v>4</x:v>
      </x:c>
      <x:c r="F293" s="1">
        <x:v>2</x:v>
      </x:c>
      <x:c r="G293" s="1" t="s">
        <x:v>1042</x:v>
      </x:c>
      <x:c r="H293" s="1">
        <x:v>34</x:v>
      </x:c>
      <x:c r="I293" s="1">
        <x:v>20</x:v>
      </x:c>
      <x:c r="J293" s="1">
        <x:v>0.79</x:v>
      </x:c>
      <x:c r="K293" s="1" t="s">
        <x:v>1195</x:v>
      </x:c>
      <x:c r="L293" s="1">
        <x:v>2.34</x:v>
      </x:c>
      <x:c r="M293" s="1">
        <x:v>2.04</x:v>
      </x:c>
      <x:c r="N293" s="1">
        <x:v>3462</x:v>
      </x:c>
      <x:c r="O293" s="1" t="s">
        <x:v>1044</x:v>
      </x:c>
      <x:c r="P293" s="42" t="str">
        <x:v>Lv50~60</x:v>
      </x:c>
      <x:c r="Q293" s="42" t="str">
        <x:v>II</x:v>
      </x:c>
      <x:c r="R293" s="42" t="str">
        <x:v>4~5</x:v>
      </x:c>
      <x:c r="S293" s="42" t="str">
        <x:v>노멀 최종 성장 점검</x:v>
      </x:c>
      <x:c r="T293" s="42" t="n">
        <x:v>14</x:v>
      </x:c>
      <x:c r="U293" s="42" t="n">
        <x:v>476</x:v>
      </x:c>
      <x:c r="V293" s="42" t="n">
        <x:v>132</x:v>
      </x:c>
      <x:c r="W293" s="42" t="n">
        <x:v>13</x:v>
      </x:c>
      <x:c r="X293" s="42" t="n">
        <x:v>40</x:v>
      </x:c>
      <x:c r="Y293" s="42" t="str"/>
    </x:row>
    <x:row r="294">
      <x:c r="A294" s="1">
        <x:v>30</x:v>
      </x:c>
      <x:c r="B294" s="1" t="s">
        <x:v>501</x:v>
      </x:c>
      <x:c r="C294" s="1" t="s">
        <x:v>446</x:v>
      </x:c>
      <x:c r="D294" s="1">
        <x:v>5</x:v>
      </x:c>
      <x:c r="E294" s="1">
        <x:v>4</x:v>
      </x:c>
      <x:c r="F294" s="1">
        <x:v>3</x:v>
      </x:c>
      <x:c r="G294" s="1" t="s">
        <x:v>1042</x:v>
      </x:c>
      <x:c r="H294" s="1">
        <x:v>36</x:v>
      </x:c>
      <x:c r="I294" s="1">
        <x:v>21</x:v>
      </x:c>
      <x:c r="J294" s="1">
        <x:v>0.76</x:v>
      </x:c>
      <x:c r="K294" s="1" t="s">
        <x:v>1179</x:v>
      </x:c>
      <x:c r="L294" s="1">
        <x:v>2.37</x:v>
      </x:c>
      <x:c r="M294" s="1">
        <x:v>2.06</x:v>
      </x:c>
      <x:c r="N294" s="1">
        <x:v>3462</x:v>
      </x:c>
      <x:c r="O294" s="1" t="s">
        <x:v>1044</x:v>
      </x:c>
      <x:c r="P294" s="42" t="str">
        <x:v>Lv50~60</x:v>
      </x:c>
      <x:c r="Q294" s="42" t="str">
        <x:v>II</x:v>
      </x:c>
      <x:c r="R294" s="42" t="str">
        <x:v>4~5</x:v>
      </x:c>
      <x:c r="S294" s="42" t="str">
        <x:v>노멀 최종 성장 점검</x:v>
      </x:c>
      <x:c r="T294" s="42" t="n">
        <x:v>14</x:v>
      </x:c>
      <x:c r="U294" s="42" t="n">
        <x:v>504</x:v>
      </x:c>
      <x:c r="V294" s="42" t="n">
        <x:v>165</x:v>
      </x:c>
      <x:c r="W294" s="42" t="n">
        <x:v>16</x:v>
      </x:c>
      <x:c r="X294" s="42" t="n">
        <x:v>50</x:v>
      </x:c>
      <x:c r="Y294" s="42" t="str"/>
    </x:row>
    <x:row r="295">
      <x:c r="A295" s="1">
        <x:v>30</x:v>
      </x:c>
      <x:c r="B295" s="1" t="s">
        <x:v>501</x:v>
      </x:c>
      <x:c r="C295" s="1" t="s">
        <x:v>446</x:v>
      </x:c>
      <x:c r="D295" s="1">
        <x:v>5</x:v>
      </x:c>
      <x:c r="E295" s="1">
        <x:v>4</x:v>
      </x:c>
      <x:c r="F295" s="1">
        <x:v>4</x:v>
      </x:c>
      <x:c r="G295" s="1" t="s">
        <x:v>1042</x:v>
      </x:c>
      <x:c r="H295" s="1">
        <x:v>38</x:v>
      </x:c>
      <x:c r="I295" s="1">
        <x:v>22</x:v>
      </x:c>
      <x:c r="J295" s="1">
        <x:v>0.72</x:v>
      </x:c>
      <x:c r="K295" s="1" t="s">
        <x:v>1182</x:v>
      </x:c>
      <x:c r="L295" s="1">
        <x:v>2.41</x:v>
      </x:c>
      <x:c r="M295" s="1">
        <x:v>2.09</x:v>
      </x:c>
      <x:c r="N295" s="1">
        <x:v>3462</x:v>
      </x:c>
      <x:c r="O295" s="1" t="s">
        <x:v>1047</x:v>
      </x:c>
      <x:c r="P295" s="42" t="str">
        <x:v>Lv50~60</x:v>
      </x:c>
      <x:c r="Q295" s="42" t="str">
        <x:v>II</x:v>
      </x:c>
      <x:c r="R295" s="42" t="str">
        <x:v>4~5</x:v>
      </x:c>
      <x:c r="S295" s="42" t="str">
        <x:v>노멀 최종 성장 점검</x:v>
      </x:c>
      <x:c r="T295" s="42" t="n">
        <x:v>14</x:v>
      </x:c>
      <x:c r="U295" s="42" t="n">
        <x:v>532</x:v>
      </x:c>
      <x:c r="V295" s="42" t="n">
        <x:v>198</x:v>
      </x:c>
      <x:c r="W295" s="42" t="n">
        <x:v>20</x:v>
      </x:c>
      <x:c r="X295" s="42" t="n">
        <x:v>59</x:v>
      </x:c>
      <x:c r="Y295" s="42" t="str"/>
    </x:row>
    <x:row r="296">
      <x:c r="A296" s="1">
        <x:v>30</x:v>
      </x:c>
      <x:c r="B296" s="1" t="s">
        <x:v>501</x:v>
      </x:c>
      <x:c r="C296" s="1" t="s">
        <x:v>446</x:v>
      </x:c>
      <x:c r="D296" s="1">
        <x:v>5</x:v>
      </x:c>
      <x:c r="E296" s="1">
        <x:v>4</x:v>
      </x:c>
      <x:c r="F296" s="1">
        <x:v>5</x:v>
      </x:c>
      <x:c r="G296" s="1" t="s">
        <x:v>1048</x:v>
      </x:c>
      <x:c r="H296" s="1">
        <x:v>32</x:v>
      </x:c>
      <x:c r="I296" s="1">
        <x:v>23</x:v>
      </x:c>
      <x:c r="J296" s="1">
        <x:v>0.68</x:v>
      </x:c>
      <x:c r="K296" s="1" t="s">
        <x:v>1198</x:v>
      </x:c>
      <x:c r="L296" s="1">
        <x:v>2.44</x:v>
      </x:c>
      <x:c r="M296" s="1">
        <x:v>2.12</x:v>
      </x:c>
      <x:c r="N296" s="1">
        <x:v>3462</x:v>
      </x:c>
      <x:c r="O296" s="1" t="s">
        <x:v>1050</x:v>
      </x:c>
      <x:c r="P296" s="42" t="str">
        <x:v>Lv50~60</x:v>
      </x:c>
      <x:c r="Q296" s="42" t="str">
        <x:v>II</x:v>
      </x:c>
      <x:c r="R296" s="42" t="str">
        <x:v>4~5</x:v>
      </x:c>
      <x:c r="S296" s="42" t="str">
        <x:v>노멀 최종 성장 점검</x:v>
      </x:c>
      <x:c r="T296" s="42" t="n">
        <x:v>14</x:v>
      </x:c>
      <x:c r="U296" s="42" t="n">
        <x:v>692</x:v>
      </x:c>
      <x:c r="V296" s="42" t="n">
        <x:v>330</x:v>
      </x:c>
      <x:c r="W296" s="42" t="n">
        <x:v>33</x:v>
      </x:c>
      <x:c r="X296" s="42" t="n">
        <x:v>99</x:v>
      </x:c>
      <x:c r="Y296" s="42" t="str">
        <x:v>중간보스 현상금 포함</x:v>
      </x:c>
    </x:row>
    <x:row r="297">
      <x:c r="A297" s="1">
        <x:v>30</x:v>
      </x:c>
      <x:c r="B297" s="1" t="s">
        <x:v>501</x:v>
      </x:c>
      <x:c r="C297" s="1" t="s">
        <x:v>446</x:v>
      </x:c>
      <x:c r="D297" s="1">
        <x:v>5</x:v>
      </x:c>
      <x:c r="E297" s="1">
        <x:v>4</x:v>
      </x:c>
      <x:c r="F297" s="1">
        <x:v>6</x:v>
      </x:c>
      <x:c r="G297" s="1" t="s">
        <x:v>1042</x:v>
      </x:c>
      <x:c r="H297" s="1">
        <x:v>42</x:v>
      </x:c>
      <x:c r="I297" s="1">
        <x:v>24</x:v>
      </x:c>
      <x:c r="J297" s="1">
        <x:v>0.65</x:v>
      </x:c>
      <x:c r="K297" s="1" t="s">
        <x:v>1177</x:v>
      </x:c>
      <x:c r="L297" s="1">
        <x:v>2.48</x:v>
      </x:c>
      <x:c r="M297" s="1">
        <x:v>2.14</x:v>
      </x:c>
      <x:c r="N297" s="1">
        <x:v>3462</x:v>
      </x:c>
      <x:c r="O297" s="1" t="s">
        <x:v>1052</x:v>
      </x:c>
      <x:c r="P297" s="42" t="str">
        <x:v>Lv50~60</x:v>
      </x:c>
      <x:c r="Q297" s="42" t="str">
        <x:v>II</x:v>
      </x:c>
      <x:c r="R297" s="42" t="str">
        <x:v>4~5</x:v>
      </x:c>
      <x:c r="S297" s="42" t="str">
        <x:v>노멀 최종 성장 점검</x:v>
      </x:c>
      <x:c r="T297" s="42" t="n">
        <x:v>14</x:v>
      </x:c>
      <x:c r="U297" s="42" t="n">
        <x:v>588</x:v>
      </x:c>
      <x:c r="V297" s="42" t="n">
        <x:v>242</x:v>
      </x:c>
      <x:c r="W297" s="42" t="n">
        <x:v>24</x:v>
      </x:c>
      <x:c r="X297" s="42" t="n">
        <x:v>73</x:v>
      </x:c>
      <x:c r="Y297" s="42" t="str"/>
    </x:row>
    <x:row r="298">
      <x:c r="A298" s="1">
        <x:v>30</x:v>
      </x:c>
      <x:c r="B298" s="1" t="s">
        <x:v>501</x:v>
      </x:c>
      <x:c r="C298" s="1" t="s">
        <x:v>446</x:v>
      </x:c>
      <x:c r="D298" s="1">
        <x:v>5</x:v>
      </x:c>
      <x:c r="E298" s="1">
        <x:v>4</x:v>
      </x:c>
      <x:c r="F298" s="1">
        <x:v>7</x:v>
      </x:c>
      <x:c r="G298" s="1" t="s">
        <x:v>1042</x:v>
      </x:c>
      <x:c r="H298" s="1">
        <x:v>44</x:v>
      </x:c>
      <x:c r="I298" s="1">
        <x:v>26</x:v>
      </x:c>
      <x:c r="J298" s="1">
        <x:v>0.61</x:v>
      </x:c>
      <x:c r="K298" s="1" t="s">
        <x:v>1179</x:v>
      </x:c>
      <x:c r="L298" s="1">
        <x:v>2.5099999999999998</x:v>
      </x:c>
      <x:c r="M298" s="1">
        <x:v>2.17</x:v>
      </x:c>
      <x:c r="N298" s="1">
        <x:v>3462</x:v>
      </x:c>
      <x:c r="O298" s="1" t="s">
        <x:v>1052</x:v>
      </x:c>
      <x:c r="P298" s="42" t="str">
        <x:v>Lv50~60</x:v>
      </x:c>
      <x:c r="Q298" s="42" t="str">
        <x:v>II</x:v>
      </x:c>
      <x:c r="R298" s="42" t="str">
        <x:v>4~5</x:v>
      </x:c>
      <x:c r="S298" s="42" t="str">
        <x:v>노멀 최종 성장 점검</x:v>
      </x:c>
      <x:c r="T298" s="42" t="n">
        <x:v>14</x:v>
      </x:c>
      <x:c r="U298" s="42" t="n">
        <x:v>616</x:v>
      </x:c>
      <x:c r="V298" s="42" t="n">
        <x:v>330</x:v>
      </x:c>
      <x:c r="W298" s="42" t="n">
        <x:v>33</x:v>
      </x:c>
      <x:c r="X298" s="42" t="n">
        <x:v>99</x:v>
      </x:c>
      <x:c r="Y298" s="42" t="str"/>
    </x:row>
    <x:row r="299">
      <x:c r="A299" s="1">
        <x:v>30</x:v>
      </x:c>
      <x:c r="B299" s="1" t="s">
        <x:v>501</x:v>
      </x:c>
      <x:c r="C299" s="1" t="s">
        <x:v>446</x:v>
      </x:c>
      <x:c r="D299" s="1">
        <x:v>5</x:v>
      </x:c>
      <x:c r="E299" s="1">
        <x:v>4</x:v>
      </x:c>
      <x:c r="F299" s="1">
        <x:v>8</x:v>
      </x:c>
      <x:c r="G299" s="1" t="s">
        <x:v>1042</x:v>
      </x:c>
      <x:c r="H299" s="1">
        <x:v>46</x:v>
      </x:c>
      <x:c r="I299" s="1">
        <x:v>27</x:v>
      </x:c>
      <x:c r="J299" s="1">
        <x:v>0.57999999999999996</x:v>
      </x:c>
      <x:c r="K299" s="1" t="s">
        <x:v>1182</x:v>
      </x:c>
      <x:c r="L299" s="1">
        <x:v>2.5499999999999998</x:v>
      </x:c>
      <x:c r="M299" s="1">
        <x:v>2.19</x:v>
      </x:c>
      <x:c r="N299" s="1">
        <x:v>3462</x:v>
      </x:c>
      <x:c r="O299" s="1" t="s">
        <x:v>1052</x:v>
      </x:c>
      <x:c r="P299" s="42" t="str">
        <x:v>Lv50~60</x:v>
      </x:c>
      <x:c r="Q299" s="42" t="str">
        <x:v>II</x:v>
      </x:c>
      <x:c r="R299" s="42" t="str">
        <x:v>4~5</x:v>
      </x:c>
      <x:c r="S299" s="42" t="str">
        <x:v>노멀 최종 성장 점검</x:v>
      </x:c>
      <x:c r="T299" s="42" t="n">
        <x:v>14</x:v>
      </x:c>
      <x:c r="U299" s="42" t="n">
        <x:v>644</x:v>
      </x:c>
      <x:c r="V299" s="42" t="n">
        <x:v>440</x:v>
      </x:c>
      <x:c r="W299" s="42" t="n">
        <x:v>44</x:v>
      </x:c>
      <x:c r="X299" s="42" t="n">
        <x:v>132</x:v>
      </x:c>
      <x:c r="Y299" s="42" t="str"/>
    </x:row>
    <x:row r="300">
      <x:c r="A300" s="1">
        <x:v>30</x:v>
      </x:c>
      <x:c r="B300" s="1" t="s">
        <x:v>501</x:v>
      </x:c>
      <x:c r="C300" s="1" t="s">
        <x:v>446</x:v>
      </x:c>
      <x:c r="D300" s="1">
        <x:v>5</x:v>
      </x:c>
      <x:c r="E300" s="1">
        <x:v>4</x:v>
      </x:c>
      <x:c r="F300" s="1">
        <x:v>9</x:v>
      </x:c>
      <x:c r="G300" s="1" t="s">
        <x:v>1042</x:v>
      </x:c>
      <x:c r="H300" s="1">
        <x:v>48</x:v>
      </x:c>
      <x:c r="I300" s="1">
        <x:v>28</x:v>
      </x:c>
      <x:c r="J300" s="1">
        <x:v>0.55000000000000004</x:v>
      </x:c>
      <x:c r="K300" s="1" t="s">
        <x:v>1199</x:v>
      </x:c>
      <x:c r="L300" s="1">
        <x:v>2.58</x:v>
      </x:c>
      <x:c r="M300" s="1">
        <x:v>2.2200000000000002</x:v>
      </x:c>
      <x:c r="N300" s="1">
        <x:v>3462</x:v>
      </x:c>
      <x:c r="O300" s="1" t="s">
        <x:v>1056</x:v>
      </x:c>
      <x:c r="P300" s="42" t="str">
        <x:v>Lv50~60</x:v>
      </x:c>
      <x:c r="Q300" s="42" t="str">
        <x:v>II</x:v>
      </x:c>
      <x:c r="R300" s="42" t="str">
        <x:v>4~5</x:v>
      </x:c>
      <x:c r="S300" s="42" t="str">
        <x:v>노멀 최종 성장 점검</x:v>
      </x:c>
      <x:c r="T300" s="42" t="n">
        <x:v>14</x:v>
      </x:c>
      <x:c r="U300" s="42" t="n">
        <x:v>672</x:v>
      </x:c>
      <x:c r="V300" s="42" t="n">
        <x:v>550</x:v>
      </x:c>
      <x:c r="W300" s="42" t="n">
        <x:v>55</x:v>
      </x:c>
      <x:c r="X300" s="42" t="n">
        <x:v>165</x:v>
      </x:c>
      <x:c r="Y300" s="42" t="str"/>
    </x:row>
    <x:row r="301">
      <x:c r="A301" s="1">
        <x:v>30</x:v>
      </x:c>
      <x:c r="B301" s="1" t="s">
        <x:v>501</x:v>
      </x:c>
      <x:c r="C301" s="1" t="s">
        <x:v>446</x:v>
      </x:c>
      <x:c r="D301" s="1">
        <x:v>5</x:v>
      </x:c>
      <x:c r="E301" s="1">
        <x:v>4</x:v>
      </x:c>
      <x:c r="F301" s="1">
        <x:v>10</x:v>
      </x:c>
      <x:c r="G301" s="1" t="s">
        <x:v>1057</x:v>
      </x:c>
      <x:c r="H301" s="1">
        <x:v>40</x:v>
      </x:c>
      <x:c r="I301" s="1">
        <x:v>29</x:v>
      </x:c>
      <x:c r="J301" s="1">
        <x:v>0.55000000000000004</x:v>
      </x:c>
      <x:c r="K301" s="1" t="s">
        <x:v>1200</x:v>
      </x:c>
      <x:c r="L301" s="1">
        <x:v>2.62</x:v>
      </x:c>
      <x:c r="M301" s="1">
        <x:v>2.2400000000000002</x:v>
      </x:c>
      <x:c r="N301" s="1">
        <x:v>3462</x:v>
      </x:c>
      <x:c r="O301" s="1" t="s">
        <x:v>1059</x:v>
      </x:c>
      <x:c r="P301" s="42" t="str">
        <x:v>Lv50~60</x:v>
      </x:c>
      <x:c r="Q301" s="42" t="str">
        <x:v>II</x:v>
      </x:c>
      <x:c r="R301" s="42" t="str">
        <x:v>4~5</x:v>
      </x:c>
      <x:c r="S301" s="42" t="str">
        <x:v>노멀 최종 성장 점검</x:v>
      </x:c>
      <x:c r="T301" s="42" t="n">
        <x:v>14</x:v>
      </x:c>
      <x:c r="U301" s="42" t="n">
        <x:v>546</x:v>
      </x:c>
      <x:c r="V301" s="42" t="n">
        <x:v>0</x:v>
      </x:c>
      <x:c r="W301" s="42" t="n">
        <x:v>0</x:v>
      </x:c>
      <x:c r="X301" s="42" t="n">
        <x:v>0</x:v>
      </x:c>
      <x:c r="Y301" s="42" t="str">
        <x:v>보스 처치 보상은 로비 보상으로 분리</x:v>
      </x:c>
    </x:row>
    <x:row r="302">
      <x:c r="A302" s="1">
        <x:v>31</x:v>
      </x:c>
      <x:c r="B302" s="1" t="s">
        <x:v>681</x:v>
      </x:c>
      <x:c r="C302" s="1" t="s">
        <x:v>212</x:v>
      </x:c>
      <x:c r="D302" s="1">
        <x:v>1</x:v>
      </x:c>
      <x:c r="E302" s="1">
        <x:v>3</x:v>
      </x:c>
      <x:c r="F302" s="1">
        <x:v>1</x:v>
      </x:c>
      <x:c r="G302" s="1" t="s">
        <x:v>1042</x:v>
      </x:c>
      <x:c r="H302" s="1">
        <x:v>29</x:v>
      </x:c>
      <x:c r="I302" s="1">
        <x:v>18</x:v>
      </x:c>
      <x:c r="J302" s="1">
        <x:v>0.8</x:v>
      </x:c>
      <x:c r="K302" s="1" t="s">
        <x:v>1043</x:v>
      </x:c>
      <x:c r="L302" s="1" t="n">
        <x:v>1.58</x:v>
      </x:c>
      <x:c r="M302" s="1">
        <x:v>1.7</x:v>
      </x:c>
      <x:c r="N302" s="1" t="n">
        <x:v>4100</x:v>
      </x:c>
      <x:c r="O302" s="1" t="s">
        <x:v>1044</x:v>
      </x:c>
      <x:c r="P302" s="42" t="str">
        <x:v>Lv58~62</x:v>
      </x:c>
      <x:c r="Q302" s="42" t="str">
        <x:v>III</x:v>
      </x:c>
      <x:c r="R302" s="42" t="str">
        <x:v>5</x:v>
      </x:c>
      <x:c r="S302" s="42" t="str">
        <x:v>Normal30 넉넉 클리어 전력으로 타이트 진입 / 장기 대기 없음</x:v>
      </x:c>
      <x:c r="T302" s="42" t="n">
        <x:v>15</x:v>
      </x:c>
      <x:c r="U302" s="42" t="n">
        <x:v>435</x:v>
      </x:c>
      <x:c r="V302" s="42" t="n">
        <x:v>112</x:v>
      </x:c>
      <x:c r="W302" s="42" t="n">
        <x:v>11</x:v>
      </x:c>
      <x:c r="X302" s="42" t="n">
        <x:v>34</x:v>
      </x:c>
      <x:c r="Y302" s="42" t="str"/>
    </x:row>
    <x:row r="303">
      <x:c r="A303" s="1">
        <x:v>31</x:v>
      </x:c>
      <x:c r="B303" s="1" t="s">
        <x:v>681</x:v>
      </x:c>
      <x:c r="C303" s="1" t="s">
        <x:v>212</x:v>
      </x:c>
      <x:c r="D303" s="1">
        <x:v>1</x:v>
      </x:c>
      <x:c r="E303" s="1">
        <x:v>3</x:v>
      </x:c>
      <x:c r="F303" s="1">
        <x:v>2</x:v>
      </x:c>
      <x:c r="G303" s="1" t="s">
        <x:v>1042</x:v>
      </x:c>
      <x:c r="H303" s="1">
        <x:v>31</x:v>
      </x:c>
      <x:c r="I303" s="1">
        <x:v>19</x:v>
      </x:c>
      <x:c r="J303" s="1">
        <x:v>0.78</x:v>
      </x:c>
      <x:c r="K303" s="1" t="s">
        <x:v>1045</x:v>
      </x:c>
      <x:c r="L303" s="1" t="n">
        <x:v>1.63</x:v>
      </x:c>
      <x:c r="M303" s="1">
        <x:v>1.74</x:v>
      </x:c>
      <x:c r="N303" s="1" t="n">
        <x:v>4100</x:v>
      </x:c>
      <x:c r="O303" s="1" t="s">
        <x:v>1044</x:v>
      </x:c>
      <x:c r="P303" s="42" t="str">
        <x:v>Lv58~62</x:v>
      </x:c>
      <x:c r="Q303" s="42" t="str">
        <x:v>III</x:v>
      </x:c>
      <x:c r="R303" s="42" t="str">
        <x:v>5</x:v>
      </x:c>
      <x:c r="S303" s="42" t="str">
        <x:v>Normal30 넉넉 클리어 전력으로 타이트 진입 / 장기 대기 없음</x:v>
      </x:c>
      <x:c r="T303" s="42" t="n">
        <x:v>15</x:v>
      </x:c>
      <x:c r="U303" s="42" t="n">
        <x:v>465</x:v>
      </x:c>
      <x:c r="V303" s="42" t="n">
        <x:v>134</x:v>
      </x:c>
      <x:c r="W303" s="42" t="n">
        <x:v>13</x:v>
      </x:c>
      <x:c r="X303" s="42" t="n">
        <x:v>40</x:v>
      </x:c>
      <x:c r="Y303" s="42" t="str"/>
    </x:row>
    <x:row r="304">
      <x:c r="A304" s="1">
        <x:v>31</x:v>
      </x:c>
      <x:c r="B304" s="1" t="s">
        <x:v>681</x:v>
      </x:c>
      <x:c r="C304" s="1" t="s">
        <x:v>212</x:v>
      </x:c>
      <x:c r="D304" s="1">
        <x:v>1</x:v>
      </x:c>
      <x:c r="E304" s="1">
        <x:v>3</x:v>
      </x:c>
      <x:c r="F304" s="1">
        <x:v>3</x:v>
      </x:c>
      <x:c r="G304" s="1" t="s">
        <x:v>1042</x:v>
      </x:c>
      <x:c r="H304" s="1">
        <x:v>34</x:v>
      </x:c>
      <x:c r="I304" s="1">
        <x:v>21</x:v>
      </x:c>
      <x:c r="J304" s="1">
        <x:v>0.76</x:v>
      </x:c>
      <x:c r="K304" s="1" t="s">
        <x:v>1201</x:v>
      </x:c>
      <x:c r="L304" s="1" t="n">
        <x:v>1.66</x:v>
      </x:c>
      <x:c r="M304" s="1">
        <x:v>1.78</x:v>
      </x:c>
      <x:c r="N304" s="1" t="n">
        <x:v>4100</x:v>
      </x:c>
      <x:c r="O304" s="1" t="s">
        <x:v>1044</x:v>
      </x:c>
      <x:c r="P304" s="42" t="str">
        <x:v>Lv58~62</x:v>
      </x:c>
      <x:c r="Q304" s="42" t="str">
        <x:v>III</x:v>
      </x:c>
      <x:c r="R304" s="42" t="str">
        <x:v>5</x:v>
      </x:c>
      <x:c r="S304" s="42" t="str">
        <x:v>Normal30 넉넉 클리어 전력으로 타이트 진입 / 장기 대기 없음</x:v>
      </x:c>
      <x:c r="T304" s="42" t="n">
        <x:v>15</x:v>
      </x:c>
      <x:c r="U304" s="42" t="n">
        <x:v>510</x:v>
      </x:c>
      <x:c r="V304" s="42" t="n">
        <x:v>168</x:v>
      </x:c>
      <x:c r="W304" s="42" t="n">
        <x:v>17</x:v>
      </x:c>
      <x:c r="X304" s="42" t="n">
        <x:v>50</x:v>
      </x:c>
      <x:c r="Y304" s="42" t="str"/>
    </x:row>
    <x:row r="305">
      <x:c r="A305" s="1">
        <x:v>31</x:v>
      </x:c>
      <x:c r="B305" s="1" t="s">
        <x:v>681</x:v>
      </x:c>
      <x:c r="C305" s="1" t="s">
        <x:v>212</x:v>
      </x:c>
      <x:c r="D305" s="1">
        <x:v>1</x:v>
      </x:c>
      <x:c r="E305" s="1">
        <x:v>3</x:v>
      </x:c>
      <x:c r="F305" s="1">
        <x:v>4</x:v>
      </x:c>
      <x:c r="G305" s="1" t="s">
        <x:v>1042</x:v>
      </x:c>
      <x:c r="H305" s="1">
        <x:v>36</x:v>
      </x:c>
      <x:c r="I305" s="1">
        <x:v>22</x:v>
      </x:c>
      <x:c r="J305" s="1">
        <x:v>0.74</x:v>
      </x:c>
      <x:c r="K305" s="1" t="s">
        <x:v>1060</x:v>
      </x:c>
      <x:c r="L305" s="1" t="n">
        <x:v>1.7</x:v>
      </x:c>
      <x:c r="M305" s="1">
        <x:v>1.82</x:v>
      </x:c>
      <x:c r="N305" s="1" t="n">
        <x:v>4100</x:v>
      </x:c>
      <x:c r="O305" s="1" t="s">
        <x:v>1047</x:v>
      </x:c>
      <x:c r="P305" s="42" t="str">
        <x:v>Lv58~62</x:v>
      </x:c>
      <x:c r="Q305" s="42" t="str">
        <x:v>III</x:v>
      </x:c>
      <x:c r="R305" s="42" t="str">
        <x:v>5</x:v>
      </x:c>
      <x:c r="S305" s="42" t="str">
        <x:v>Normal30 넉넉 클리어 전력으로 타이트 진입 / 장기 대기 없음</x:v>
      </x:c>
      <x:c r="T305" s="42" t="n">
        <x:v>15</x:v>
      </x:c>
      <x:c r="U305" s="42" t="n">
        <x:v>540</x:v>
      </x:c>
      <x:c r="V305" s="42" t="n">
        <x:v>202</x:v>
      </x:c>
      <x:c r="W305" s="42" t="n">
        <x:v>20</x:v>
      </x:c>
      <x:c r="X305" s="42" t="n">
        <x:v>61</x:v>
      </x:c>
      <x:c r="Y305" s="42" t="str"/>
    </x:row>
    <x:row r="306">
      <x:c r="A306" s="1">
        <x:v>31</x:v>
      </x:c>
      <x:c r="B306" s="1" t="s">
        <x:v>681</x:v>
      </x:c>
      <x:c r="C306" s="1" t="s">
        <x:v>212</x:v>
      </x:c>
      <x:c r="D306" s="1">
        <x:v>1</x:v>
      </x:c>
      <x:c r="E306" s="1">
        <x:v>3</x:v>
      </x:c>
      <x:c r="F306" s="1">
        <x:v>5</x:v>
      </x:c>
      <x:c r="G306" s="1" t="s">
        <x:v>1048</x:v>
      </x:c>
      <x:c r="H306" s="1">
        <x:v>31</x:v>
      </x:c>
      <x:c r="I306" s="1">
        <x:v>24</x:v>
      </x:c>
      <x:c r="J306" s="1">
        <x:v>0.72</x:v>
      </x:c>
      <x:c r="K306" s="1" t="s">
        <x:v>1202</x:v>
      </x:c>
      <x:c r="L306" s="1" t="n">
        <x:v>1.74</x:v>
      </x:c>
      <x:c r="M306" s="1">
        <x:v>1.86</x:v>
      </x:c>
      <x:c r="N306" s="1" t="n">
        <x:v>4100</x:v>
      </x:c>
      <x:c r="O306" s="1" t="s">
        <x:v>1050</x:v>
      </x:c>
      <x:c r="P306" s="42" t="str">
        <x:v>Lv58~62</x:v>
      </x:c>
      <x:c r="Q306" s="42" t="str">
        <x:v>III</x:v>
      </x:c>
      <x:c r="R306" s="42" t="str">
        <x:v>5</x:v>
      </x:c>
      <x:c r="S306" s="42" t="str">
        <x:v>Normal30 넉넉 클리어 전력으로 타이트 진입 / 장기 대기 없음</x:v>
      </x:c>
      <x:c r="T306" s="42" t="n">
        <x:v>15</x:v>
      </x:c>
      <x:c r="U306" s="42" t="n">
        <x:v>711</x:v>
      </x:c>
      <x:c r="V306" s="42" t="n">
        <x:v>336</x:v>
      </x:c>
      <x:c r="W306" s="42" t="n">
        <x:v>34</x:v>
      </x:c>
      <x:c r="X306" s="42" t="n">
        <x:v>101</x:v>
      </x:c>
      <x:c r="Y306" s="42" t="str">
        <x:v>중간보스 현상금 포함</x:v>
      </x:c>
    </x:row>
    <x:row r="307">
      <x:c r="A307" s="1">
        <x:v>31</x:v>
      </x:c>
      <x:c r="B307" s="1" t="s">
        <x:v>681</x:v>
      </x:c>
      <x:c r="C307" s="1" t="s">
        <x:v>212</x:v>
      </x:c>
      <x:c r="D307" s="1">
        <x:v>1</x:v>
      </x:c>
      <x:c r="E307" s="1">
        <x:v>3</x:v>
      </x:c>
      <x:c r="F307" s="1">
        <x:v>6</x:v>
      </x:c>
      <x:c r="G307" s="1" t="s">
        <x:v>1042</x:v>
      </x:c>
      <x:c r="H307" s="1">
        <x:v>42</x:v>
      </x:c>
      <x:c r="I307" s="1">
        <x:v>26</x:v>
      </x:c>
      <x:c r="J307" s="1">
        <x:v>0.7</x:v>
      </x:c>
      <x:c r="K307" s="1" t="s">
        <x:v>1051</x:v>
      </x:c>
      <x:c r="L307" s="1" t="n">
        <x:v>1.78</x:v>
      </x:c>
      <x:c r="M307" s="1">
        <x:v>1.9</x:v>
      </x:c>
      <x:c r="N307" s="1" t="n">
        <x:v>4100</x:v>
      </x:c>
      <x:c r="O307" s="1" t="s">
        <x:v>1052</x:v>
      </x:c>
      <x:c r="P307" s="42" t="str">
        <x:v>Lv58~62</x:v>
      </x:c>
      <x:c r="Q307" s="42" t="str">
        <x:v>III</x:v>
      </x:c>
      <x:c r="R307" s="42" t="str">
        <x:v>5</x:v>
      </x:c>
      <x:c r="S307" s="42" t="str">
        <x:v>Normal30 넉넉 클리어 전력으로 타이트 진입 / 장기 대기 없음</x:v>
      </x:c>
      <x:c r="T307" s="42" t="n">
        <x:v>15</x:v>
      </x:c>
      <x:c r="U307" s="42" t="n">
        <x:v>630</x:v>
      </x:c>
      <x:c r="V307" s="42" t="n">
        <x:v>246</x:v>
      </x:c>
      <x:c r="W307" s="42" t="n">
        <x:v>25</x:v>
      </x:c>
      <x:c r="X307" s="42" t="n">
        <x:v>74</x:v>
      </x:c>
      <x:c r="Y307" s="42" t="str"/>
    </x:row>
    <x:row r="308">
      <x:c r="A308" s="1">
        <x:v>31</x:v>
      </x:c>
      <x:c r="B308" s="1" t="s">
        <x:v>681</x:v>
      </x:c>
      <x:c r="C308" s="1" t="s">
        <x:v>212</x:v>
      </x:c>
      <x:c r="D308" s="1">
        <x:v>1</x:v>
      </x:c>
      <x:c r="E308" s="1">
        <x:v>3</x:v>
      </x:c>
      <x:c r="F308" s="1">
        <x:v>7</x:v>
      </x:c>
      <x:c r="G308" s="1" t="s">
        <x:v>1042</x:v>
      </x:c>
      <x:c r="H308" s="1">
        <x:v>44</x:v>
      </x:c>
      <x:c r="I308" s="1">
        <x:v>27</x:v>
      </x:c>
      <x:c r="J308" s="1">
        <x:v>0.68</x:v>
      </x:c>
      <x:c r="K308" s="1" t="s">
        <x:v>1053</x:v>
      </x:c>
      <x:c r="L308" s="1" t="n">
        <x:v>1.82</x:v>
      </x:c>
      <x:c r="M308" s="1">
        <x:v>1.94</x:v>
      </x:c>
      <x:c r="N308" s="1" t="n">
        <x:v>4100</x:v>
      </x:c>
      <x:c r="O308" s="1" t="s">
        <x:v>1052</x:v>
      </x:c>
      <x:c r="P308" s="42" t="str">
        <x:v>Lv58~62</x:v>
      </x:c>
      <x:c r="Q308" s="42" t="str">
        <x:v>III</x:v>
      </x:c>
      <x:c r="R308" s="42" t="str">
        <x:v>5</x:v>
      </x:c>
      <x:c r="S308" s="42" t="str">
        <x:v>Normal30 넉넉 클리어 전력으로 타이트 진입 / 장기 대기 없음</x:v>
      </x:c>
      <x:c r="T308" s="42" t="n">
        <x:v>15</x:v>
      </x:c>
      <x:c r="U308" s="42" t="n">
        <x:v>660</x:v>
      </x:c>
      <x:c r="V308" s="42" t="n">
        <x:v>336</x:v>
      </x:c>
      <x:c r="W308" s="42" t="n">
        <x:v>34</x:v>
      </x:c>
      <x:c r="X308" s="42" t="n">
        <x:v>101</x:v>
      </x:c>
      <x:c r="Y308" s="42" t="str"/>
    </x:row>
    <x:row r="309">
      <x:c r="A309" s="1">
        <x:v>31</x:v>
      </x:c>
      <x:c r="B309" s="1" t="s">
        <x:v>681</x:v>
      </x:c>
      <x:c r="C309" s="1" t="s">
        <x:v>212</x:v>
      </x:c>
      <x:c r="D309" s="1">
        <x:v>1</x:v>
      </x:c>
      <x:c r="E309" s="1">
        <x:v>3</x:v>
      </x:c>
      <x:c r="F309" s="1">
        <x:v>8</x:v>
      </x:c>
      <x:c r="G309" s="1" t="s">
        <x:v>1042</x:v>
      </x:c>
      <x:c r="H309" s="1">
        <x:v>47</x:v>
      </x:c>
      <x:c r="I309" s="1">
        <x:v>29</x:v>
      </x:c>
      <x:c r="J309" s="1">
        <x:v>0.66</x:v>
      </x:c>
      <x:c r="K309" s="1" t="s">
        <x:v>1054</x:v>
      </x:c>
      <x:c r="L309" s="1" t="n">
        <x:v>1.87</x:v>
      </x:c>
      <x:c r="M309" s="1">
        <x:v>1.98</x:v>
      </x:c>
      <x:c r="N309" s="1" t="n">
        <x:v>4100</x:v>
      </x:c>
      <x:c r="O309" s="1" t="s">
        <x:v>1052</x:v>
      </x:c>
      <x:c r="P309" s="42" t="str">
        <x:v>Lv58~62</x:v>
      </x:c>
      <x:c r="Q309" s="42" t="str">
        <x:v>III</x:v>
      </x:c>
      <x:c r="R309" s="42" t="str">
        <x:v>5</x:v>
      </x:c>
      <x:c r="S309" s="42" t="str">
        <x:v>Normal30 넉넉 클리어 전력으로 타이트 진입 / 장기 대기 없음</x:v>
      </x:c>
      <x:c r="T309" s="42" t="n">
        <x:v>15</x:v>
      </x:c>
      <x:c r="U309" s="42" t="n">
        <x:v>705</x:v>
      </x:c>
      <x:c r="V309" s="42" t="n">
        <x:v>448</x:v>
      </x:c>
      <x:c r="W309" s="42" t="n">
        <x:v>45</x:v>
      </x:c>
      <x:c r="X309" s="42" t="n">
        <x:v>134</x:v>
      </x:c>
      <x:c r="Y309" s="42" t="str"/>
    </x:row>
    <x:row r="310">
      <x:c r="A310" s="1">
        <x:v>31</x:v>
      </x:c>
      <x:c r="B310" s="1" t="s">
        <x:v>681</x:v>
      </x:c>
      <x:c r="C310" s="1" t="s">
        <x:v>212</x:v>
      </x:c>
      <x:c r="D310" s="1">
        <x:v>1</x:v>
      </x:c>
      <x:c r="E310" s="1">
        <x:v>3</x:v>
      </x:c>
      <x:c r="F310" s="1">
        <x:v>9</x:v>
      </x:c>
      <x:c r="G310" s="1" t="s">
        <x:v>1042</x:v>
      </x:c>
      <x:c r="H310" s="1">
        <x:v>49</x:v>
      </x:c>
      <x:c r="I310" s="1">
        <x:v>30</x:v>
      </x:c>
      <x:c r="J310" s="1">
        <x:v>0.64</x:v>
      </x:c>
      <x:c r="K310" s="1" t="s">
        <x:v>1055</x:v>
      </x:c>
      <x:c r="L310" s="1" t="n">
        <x:v>1.91</x:v>
      </x:c>
      <x:c r="M310" s="1">
        <x:v>2.02</x:v>
      </x:c>
      <x:c r="N310" s="1" t="n">
        <x:v>4100</x:v>
      </x:c>
      <x:c r="O310" s="1" t="s">
        <x:v>1056</x:v>
      </x:c>
      <x:c r="P310" s="42" t="str">
        <x:v>Lv58~62</x:v>
      </x:c>
      <x:c r="Q310" s="42" t="str">
        <x:v>III</x:v>
      </x:c>
      <x:c r="R310" s="42" t="str">
        <x:v>5</x:v>
      </x:c>
      <x:c r="S310" s="42" t="str">
        <x:v>Normal30 넉넉 클리어 전력으로 타이트 진입 / 장기 대기 없음</x:v>
      </x:c>
      <x:c r="T310" s="42" t="n">
        <x:v>15</x:v>
      </x:c>
      <x:c r="U310" s="42" t="n">
        <x:v>735</x:v>
      </x:c>
      <x:c r="V310" s="42" t="n">
        <x:v>560</x:v>
      </x:c>
      <x:c r="W310" s="42" t="n">
        <x:v>56</x:v>
      </x:c>
      <x:c r="X310" s="42" t="n">
        <x:v>168</x:v>
      </x:c>
      <x:c r="Y310" s="42" t="str"/>
    </x:row>
    <x:row r="311">
      <x:c r="A311" s="1">
        <x:v>31</x:v>
      </x:c>
      <x:c r="B311" s="1" t="s">
        <x:v>681</x:v>
      </x:c>
      <x:c r="C311" s="1" t="s">
        <x:v>212</x:v>
      </x:c>
      <x:c r="D311" s="1">
        <x:v>1</x:v>
      </x:c>
      <x:c r="E311" s="1">
        <x:v>3</x:v>
      </x:c>
      <x:c r="F311" s="1">
        <x:v>10</x:v>
      </x:c>
      <x:c r="G311" s="1" t="s">
        <x:v>1057</x:v>
      </x:c>
      <x:c r="H311" s="1">
        <x:v>42</x:v>
      </x:c>
      <x:c r="I311" s="1">
        <x:v>32</x:v>
      </x:c>
      <x:c r="J311" s="1">
        <x:v>0.62</x:v>
      </x:c>
      <x:c r="K311" s="1" t="s">
        <x:v>1203</x:v>
      </x:c>
      <x:c r="L311" s="1" t="n">
        <x:v>1.95</x:v>
      </x:c>
      <x:c r="M311" s="1">
        <x:v>2.06</x:v>
      </x:c>
      <x:c r="N311" s="1" t="n">
        <x:v>4100</x:v>
      </x:c>
      <x:c r="O311" s="1" t="s">
        <x:v>1059</x:v>
      </x:c>
      <x:c r="P311" s="42" t="str">
        <x:v>Lv58~62</x:v>
      </x:c>
      <x:c r="Q311" s="42" t="str">
        <x:v>III</x:v>
      </x:c>
      <x:c r="R311" s="42" t="str">
        <x:v>5</x:v>
      </x:c>
      <x:c r="S311" s="42" t="str">
        <x:v>Normal30 넉넉 클리어 전력으로 타이트 진입 / 장기 대기 없음</x:v>
      </x:c>
      <x:c r="T311" s="42" t="n">
        <x:v>15</x:v>
      </x:c>
      <x:c r="U311" s="42" t="n">
        <x:v>615</x:v>
      </x:c>
      <x:c r="V311" s="42" t="n">
        <x:v>0</x:v>
      </x:c>
      <x:c r="W311" s="42" t="n">
        <x:v>0</x:v>
      </x:c>
      <x:c r="X311" s="42" t="n">
        <x:v>0</x:v>
      </x:c>
      <x:c r="Y311" s="42" t="str">
        <x:v>보스 처치 보상은 로비 보상으로 분리</x:v>
      </x:c>
    </x:row>
    <x:row r="312">
      <x:c r="A312" s="1">
        <x:v>32</x:v>
      </x:c>
      <x:c r="B312" s="1" t="s">
        <x:v>681</x:v>
      </x:c>
      <x:c r="C312" s="1" t="s">
        <x:v>212</x:v>
      </x:c>
      <x:c r="D312" s="1">
        <x:v>2</x:v>
      </x:c>
      <x:c r="E312" s="1">
        <x:v>3</x:v>
      </x:c>
      <x:c r="F312" s="1">
        <x:v>1</x:v>
      </x:c>
      <x:c r="G312" s="1" t="s">
        <x:v>1042</x:v>
      </x:c>
      <x:c r="H312" s="1">
        <x:v>30</x:v>
      </x:c>
      <x:c r="I312" s="1">
        <x:v>19</x:v>
      </x:c>
      <x:c r="J312" s="1">
        <x:v>0.79</x:v>
      </x:c>
      <x:c r="K312" s="1" t="s">
        <x:v>1046</x:v>
      </x:c>
      <x:c r="L312" s="1" t="n">
        <x:v>1.63</x:v>
      </x:c>
      <x:c r="M312" s="1">
        <x:v>1.76</x:v>
      </x:c>
      <x:c r="N312" s="1" t="n">
        <x:v>4550</x:v>
      </x:c>
      <x:c r="O312" s="1" t="s">
        <x:v>1044</x:v>
      </x:c>
      <x:c r="P312" s="42" t="str">
        <x:v>Lv60~63</x:v>
      </x:c>
      <x:c r="Q312" s="42" t="str">
        <x:v>III</x:v>
      </x:c>
      <x:c r="R312" s="42" t="str">
        <x:v>5</x:v>
      </x:c>
      <x:c r="S312" s="42" t="str">
        <x:v>Normal30 이월전력 + 소폭 성장으로 타이트 진행</x:v>
      </x:c>
      <x:c r="T312" s="42" t="n">
        <x:v>15</x:v>
      </x:c>
      <x:c r="U312" s="42" t="n">
        <x:v>450</x:v>
      </x:c>
      <x:c r="V312" s="42" t="n">
        <x:v>112</x:v>
      </x:c>
      <x:c r="W312" s="42" t="n">
        <x:v>11</x:v>
      </x:c>
      <x:c r="X312" s="42" t="n">
        <x:v>34</x:v>
      </x:c>
      <x:c r="Y312" s="42" t="str"/>
    </x:row>
    <x:row r="313">
      <x:c r="A313" s="1">
        <x:v>32</x:v>
      </x:c>
      <x:c r="B313" s="1" t="s">
        <x:v>681</x:v>
      </x:c>
      <x:c r="C313" s="1" t="s">
        <x:v>212</x:v>
      </x:c>
      <x:c r="D313" s="1">
        <x:v>2</x:v>
      </x:c>
      <x:c r="E313" s="1">
        <x:v>3</x:v>
      </x:c>
      <x:c r="F313" s="1">
        <x:v>2</x:v>
      </x:c>
      <x:c r="G313" s="1" t="s">
        <x:v>1042</x:v>
      </x:c>
      <x:c r="H313" s="1">
        <x:v>32</x:v>
      </x:c>
      <x:c r="I313" s="1">
        <x:v>20</x:v>
      </x:c>
      <x:c r="J313" s="1">
        <x:v>0.77</x:v>
      </x:c>
      <x:c r="K313" s="1" t="s">
        <x:v>1201</x:v>
      </x:c>
      <x:c r="L313" s="1" t="n">
        <x:v>1.68</x:v>
      </x:c>
      <x:c r="M313" s="1">
        <x:v>1.8</x:v>
      </x:c>
      <x:c r="N313" s="1" t="n">
        <x:v>4550</x:v>
      </x:c>
      <x:c r="O313" s="1" t="s">
        <x:v>1044</x:v>
      </x:c>
      <x:c r="P313" s="42" t="str">
        <x:v>Lv60~63</x:v>
      </x:c>
      <x:c r="Q313" s="42" t="str">
        <x:v>III</x:v>
      </x:c>
      <x:c r="R313" s="42" t="str">
        <x:v>5</x:v>
      </x:c>
      <x:c r="S313" s="42" t="str">
        <x:v>Normal30 이월전력 + 소폭 성장으로 타이트 진행</x:v>
      </x:c>
      <x:c r="T313" s="42" t="n">
        <x:v>15</x:v>
      </x:c>
      <x:c r="U313" s="42" t="n">
        <x:v>480</x:v>
      </x:c>
      <x:c r="V313" s="42" t="n">
        <x:v>134</x:v>
      </x:c>
      <x:c r="W313" s="42" t="n">
        <x:v>13</x:v>
      </x:c>
      <x:c r="X313" s="42" t="n">
        <x:v>40</x:v>
      </x:c>
      <x:c r="Y313" s="42" t="str"/>
    </x:row>
    <x:row r="314">
      <x:c r="A314" s="1">
        <x:v>32</x:v>
      </x:c>
      <x:c r="B314" s="1" t="s">
        <x:v>681</x:v>
      </x:c>
      <x:c r="C314" s="1" t="s">
        <x:v>212</x:v>
      </x:c>
      <x:c r="D314" s="1">
        <x:v>2</x:v>
      </x:c>
      <x:c r="E314" s="1">
        <x:v>3</x:v>
      </x:c>
      <x:c r="F314" s="1">
        <x:v>3</x:v>
      </x:c>
      <x:c r="G314" s="1" t="s">
        <x:v>1042</x:v>
      </x:c>
      <x:c r="H314" s="1">
        <x:v>35</x:v>
      </x:c>
      <x:c r="I314" s="1">
        <x:v>22</x:v>
      </x:c>
      <x:c r="J314" s="1">
        <x:v>0.75</x:v>
      </x:c>
      <x:c r="K314" s="1" t="s">
        <x:v>1045</x:v>
      </x:c>
      <x:c r="L314" s="1" t="n">
        <x:v>1.71</x:v>
      </x:c>
      <x:c r="M314" s="1">
        <x:v>1.84</x:v>
      </x:c>
      <x:c r="N314" s="1" t="n">
        <x:v>4550</x:v>
      </x:c>
      <x:c r="O314" s="1" t="s">
        <x:v>1044</x:v>
      </x:c>
      <x:c r="P314" s="42" t="str">
        <x:v>Lv60~63</x:v>
      </x:c>
      <x:c r="Q314" s="42" t="str">
        <x:v>III</x:v>
      </x:c>
      <x:c r="R314" s="42" t="str">
        <x:v>5</x:v>
      </x:c>
      <x:c r="S314" s="42" t="str">
        <x:v>Normal30 이월전력 + 소폭 성장으로 타이트 진행</x:v>
      </x:c>
      <x:c r="T314" s="42" t="n">
        <x:v>15</x:v>
      </x:c>
      <x:c r="U314" s="42" t="n">
        <x:v>525</x:v>
      </x:c>
      <x:c r="V314" s="42" t="n">
        <x:v>168</x:v>
      </x:c>
      <x:c r="W314" s="42" t="n">
        <x:v>17</x:v>
      </x:c>
      <x:c r="X314" s="42" t="n">
        <x:v>50</x:v>
      </x:c>
      <x:c r="Y314" s="42" t="str"/>
    </x:row>
    <x:row r="315">
      <x:c r="A315" s="1">
        <x:v>32</x:v>
      </x:c>
      <x:c r="B315" s="1" t="s">
        <x:v>681</x:v>
      </x:c>
      <x:c r="C315" s="1" t="s">
        <x:v>212</x:v>
      </x:c>
      <x:c r="D315" s="1">
        <x:v>2</x:v>
      </x:c>
      <x:c r="E315" s="1">
        <x:v>3</x:v>
      </x:c>
      <x:c r="F315" s="1">
        <x:v>4</x:v>
      </x:c>
      <x:c r="G315" s="1" t="s">
        <x:v>1042</x:v>
      </x:c>
      <x:c r="H315" s="1">
        <x:v>37</x:v>
      </x:c>
      <x:c r="I315" s="1">
        <x:v>23</x:v>
      </x:c>
      <x:c r="J315" s="1">
        <x:v>0.73</x:v>
      </x:c>
      <x:c r="K315" s="1" t="s">
        <x:v>1046</x:v>
      </x:c>
      <x:c r="L315" s="1" t="n">
        <x:v>1.76</x:v>
      </x:c>
      <x:c r="M315" s="1">
        <x:v>1.88</x:v>
      </x:c>
      <x:c r="N315" s="1" t="n">
        <x:v>4550</x:v>
      </x:c>
      <x:c r="O315" s="1" t="s">
        <x:v>1047</x:v>
      </x:c>
      <x:c r="P315" s="42" t="str">
        <x:v>Lv60~63</x:v>
      </x:c>
      <x:c r="Q315" s="42" t="str">
        <x:v>III</x:v>
      </x:c>
      <x:c r="R315" s="42" t="str">
        <x:v>5</x:v>
      </x:c>
      <x:c r="S315" s="42" t="str">
        <x:v>Normal30 이월전력 + 소폭 성장으로 타이트 진행</x:v>
      </x:c>
      <x:c r="T315" s="42" t="n">
        <x:v>15</x:v>
      </x:c>
      <x:c r="U315" s="42" t="n">
        <x:v>555</x:v>
      </x:c>
      <x:c r="V315" s="42" t="n">
        <x:v>202</x:v>
      </x:c>
      <x:c r="W315" s="42" t="n">
        <x:v>20</x:v>
      </x:c>
      <x:c r="X315" s="42" t="n">
        <x:v>61</x:v>
      </x:c>
      <x:c r="Y315" s="42" t="str"/>
    </x:row>
    <x:row r="316">
      <x:c r="A316" s="1">
        <x:v>32</x:v>
      </x:c>
      <x:c r="B316" s="1" t="s">
        <x:v>681</x:v>
      </x:c>
      <x:c r="C316" s="1" t="s">
        <x:v>212</x:v>
      </x:c>
      <x:c r="D316" s="1">
        <x:v>2</x:v>
      </x:c>
      <x:c r="E316" s="1">
        <x:v>3</x:v>
      </x:c>
      <x:c r="F316" s="1">
        <x:v>5</x:v>
      </x:c>
      <x:c r="G316" s="1" t="s">
        <x:v>1048</x:v>
      </x:c>
      <x:c r="H316" s="1">
        <x:v>32</x:v>
      </x:c>
      <x:c r="I316" s="1">
        <x:v>25</x:v>
      </x:c>
      <x:c r="J316" s="1">
        <x:v>0.71</x:v>
      </x:c>
      <x:c r="K316" s="1" t="s">
        <x:v>1204</x:v>
      </x:c>
      <x:c r="L316" s="1" t="n">
        <x:v>1.8</x:v>
      </x:c>
      <x:c r="M316" s="1">
        <x:v>1.92</x:v>
      </x:c>
      <x:c r="N316" s="1" t="n">
        <x:v>4550</x:v>
      </x:c>
      <x:c r="O316" s="1" t="s">
        <x:v>1050</x:v>
      </x:c>
      <x:c r="P316" s="42" t="str">
        <x:v>Lv60~63</x:v>
      </x:c>
      <x:c r="Q316" s="42" t="str">
        <x:v>III</x:v>
      </x:c>
      <x:c r="R316" s="42" t="str">
        <x:v>5</x:v>
      </x:c>
      <x:c r="S316" s="42" t="str">
        <x:v>Normal30 이월전력 + 소폭 성장으로 타이트 진행</x:v>
      </x:c>
      <x:c r="T316" s="42" t="n">
        <x:v>15</x:v>
      </x:c>
      <x:c r="U316" s="42" t="n">
        <x:v>729</x:v>
      </x:c>
      <x:c r="V316" s="42" t="n">
        <x:v>336</x:v>
      </x:c>
      <x:c r="W316" s="42" t="n">
        <x:v>34</x:v>
      </x:c>
      <x:c r="X316" s="42" t="n">
        <x:v>101</x:v>
      </x:c>
      <x:c r="Y316" s="42" t="str">
        <x:v>중간보스 현상금 포함</x:v>
      </x:c>
    </x:row>
    <x:row r="317">
      <x:c r="A317" s="1">
        <x:v>32</x:v>
      </x:c>
      <x:c r="B317" s="1" t="s">
        <x:v>681</x:v>
      </x:c>
      <x:c r="C317" s="1" t="s">
        <x:v>212</x:v>
      </x:c>
      <x:c r="D317" s="1">
        <x:v>2</x:v>
      </x:c>
      <x:c r="E317" s="1">
        <x:v>3</x:v>
      </x:c>
      <x:c r="F317" s="1">
        <x:v>6</x:v>
      </x:c>
      <x:c r="G317" s="1" t="s">
        <x:v>1042</x:v>
      </x:c>
      <x:c r="H317" s="1">
        <x:v>43</x:v>
      </x:c>
      <x:c r="I317" s="1">
        <x:v>27</x:v>
      </x:c>
      <x:c r="J317" s="1">
        <x:v>0.69</x:v>
      </x:c>
      <x:c r="K317" s="1" t="s">
        <x:v>1051</x:v>
      </x:c>
      <x:c r="L317" s="1" t="n">
        <x:v>1.84</x:v>
      </x:c>
      <x:c r="M317" s="1">
        <x:v>1.96</x:v>
      </x:c>
      <x:c r="N317" s="1" t="n">
        <x:v>4550</x:v>
      </x:c>
      <x:c r="O317" s="1" t="s">
        <x:v>1052</x:v>
      </x:c>
      <x:c r="P317" s="42" t="str">
        <x:v>Lv60~63</x:v>
      </x:c>
      <x:c r="Q317" s="42" t="str">
        <x:v>III</x:v>
      </x:c>
      <x:c r="R317" s="42" t="str">
        <x:v>5</x:v>
      </x:c>
      <x:c r="S317" s="42" t="str">
        <x:v>Normal30 이월전력 + 소폭 성장으로 타이트 진행</x:v>
      </x:c>
      <x:c r="T317" s="42" t="n">
        <x:v>15</x:v>
      </x:c>
      <x:c r="U317" s="42" t="n">
        <x:v>645</x:v>
      </x:c>
      <x:c r="V317" s="42" t="n">
        <x:v>246</x:v>
      </x:c>
      <x:c r="W317" s="42" t="n">
        <x:v>25</x:v>
      </x:c>
      <x:c r="X317" s="42" t="n">
        <x:v>74</x:v>
      </x:c>
      <x:c r="Y317" s="42" t="str"/>
    </x:row>
    <x:row r="318">
      <x:c r="A318" s="1">
        <x:v>32</x:v>
      </x:c>
      <x:c r="B318" s="1" t="s">
        <x:v>681</x:v>
      </x:c>
      <x:c r="C318" s="1" t="s">
        <x:v>212</x:v>
      </x:c>
      <x:c r="D318" s="1">
        <x:v>2</x:v>
      </x:c>
      <x:c r="E318" s="1">
        <x:v>3</x:v>
      </x:c>
      <x:c r="F318" s="1">
        <x:v>7</x:v>
      </x:c>
      <x:c r="G318" s="1" t="s">
        <x:v>1042</x:v>
      </x:c>
      <x:c r="H318" s="1">
        <x:v>45</x:v>
      </x:c>
      <x:c r="I318" s="1">
        <x:v>28</x:v>
      </x:c>
      <x:c r="J318" s="1">
        <x:v>0.67</x:v>
      </x:c>
      <x:c r="K318" s="1" t="s">
        <x:v>1062</x:v>
      </x:c>
      <x:c r="L318" s="1" t="n">
        <x:v>1.88</x:v>
      </x:c>
      <x:c r="M318" s="1">
        <x:v>2</x:v>
      </x:c>
      <x:c r="N318" s="1" t="n">
        <x:v>4550</x:v>
      </x:c>
      <x:c r="O318" s="1" t="s">
        <x:v>1052</x:v>
      </x:c>
      <x:c r="P318" s="42" t="str">
        <x:v>Lv60~63</x:v>
      </x:c>
      <x:c r="Q318" s="42" t="str">
        <x:v>III</x:v>
      </x:c>
      <x:c r="R318" s="42" t="str">
        <x:v>5</x:v>
      </x:c>
      <x:c r="S318" s="42" t="str">
        <x:v>Normal30 이월전력 + 소폭 성장으로 타이트 진행</x:v>
      </x:c>
      <x:c r="T318" s="42" t="n">
        <x:v>15</x:v>
      </x:c>
      <x:c r="U318" s="42" t="n">
        <x:v>675</x:v>
      </x:c>
      <x:c r="V318" s="42" t="n">
        <x:v>336</x:v>
      </x:c>
      <x:c r="W318" s="42" t="n">
        <x:v>34</x:v>
      </x:c>
      <x:c r="X318" s="42" t="n">
        <x:v>101</x:v>
      </x:c>
      <x:c r="Y318" s="42" t="str"/>
    </x:row>
    <x:row r="319">
      <x:c r="A319" s="1">
        <x:v>32</x:v>
      </x:c>
      <x:c r="B319" s="1" t="s">
        <x:v>681</x:v>
      </x:c>
      <x:c r="C319" s="1" t="s">
        <x:v>212</x:v>
      </x:c>
      <x:c r="D319" s="1">
        <x:v>2</x:v>
      </x:c>
      <x:c r="E319" s="1">
        <x:v>3</x:v>
      </x:c>
      <x:c r="F319" s="1">
        <x:v>8</x:v>
      </x:c>
      <x:c r="G319" s="1" t="s">
        <x:v>1042</x:v>
      </x:c>
      <x:c r="H319" s="1">
        <x:v>48</x:v>
      </x:c>
      <x:c r="I319" s="1">
        <x:v>30</x:v>
      </x:c>
      <x:c r="J319" s="1">
        <x:v>0.65</x:v>
      </x:c>
      <x:c r="K319" s="1" t="s">
        <x:v>1055</x:v>
      </x:c>
      <x:c r="L319" s="1" t="n">
        <x:v>1.92</x:v>
      </x:c>
      <x:c r="M319" s="1">
        <x:v>2.04</x:v>
      </x:c>
      <x:c r="N319" s="1" t="n">
        <x:v>4550</x:v>
      </x:c>
      <x:c r="O319" s="1" t="s">
        <x:v>1052</x:v>
      </x:c>
      <x:c r="P319" s="42" t="str">
        <x:v>Lv60~63</x:v>
      </x:c>
      <x:c r="Q319" s="42" t="str">
        <x:v>III</x:v>
      </x:c>
      <x:c r="R319" s="42" t="str">
        <x:v>5</x:v>
      </x:c>
      <x:c r="S319" s="42" t="str">
        <x:v>Normal30 이월전력 + 소폭 성장으로 타이트 진행</x:v>
      </x:c>
      <x:c r="T319" s="42" t="n">
        <x:v>15</x:v>
      </x:c>
      <x:c r="U319" s="42" t="n">
        <x:v>720</x:v>
      </x:c>
      <x:c r="V319" s="42" t="n">
        <x:v>448</x:v>
      </x:c>
      <x:c r="W319" s="42" t="n">
        <x:v>45</x:v>
      </x:c>
      <x:c r="X319" s="42" t="n">
        <x:v>134</x:v>
      </x:c>
      <x:c r="Y319" s="42" t="str"/>
    </x:row>
    <x:row r="320">
      <x:c r="A320" s="1">
        <x:v>32</x:v>
      </x:c>
      <x:c r="B320" s="1" t="s">
        <x:v>681</x:v>
      </x:c>
      <x:c r="C320" s="1" t="s">
        <x:v>212</x:v>
      </x:c>
      <x:c r="D320" s="1">
        <x:v>2</x:v>
      </x:c>
      <x:c r="E320" s="1">
        <x:v>3</x:v>
      </x:c>
      <x:c r="F320" s="1">
        <x:v>9</x:v>
      </x:c>
      <x:c r="G320" s="1" t="s">
        <x:v>1042</x:v>
      </x:c>
      <x:c r="H320" s="1">
        <x:v>50</x:v>
      </x:c>
      <x:c r="I320" s="1">
        <x:v>31</x:v>
      </x:c>
      <x:c r="J320" s="1">
        <x:v>0.63</x:v>
      </x:c>
      <x:c r="K320" s="1" t="s">
        <x:v>1069</x:v>
      </x:c>
      <x:c r="L320" s="1" t="n">
        <x:v>1.96</x:v>
      </x:c>
      <x:c r="M320" s="1">
        <x:v>2.08</x:v>
      </x:c>
      <x:c r="N320" s="1" t="n">
        <x:v>4550</x:v>
      </x:c>
      <x:c r="O320" s="1" t="s">
        <x:v>1056</x:v>
      </x:c>
      <x:c r="P320" s="42" t="str">
        <x:v>Lv60~63</x:v>
      </x:c>
      <x:c r="Q320" s="42" t="str">
        <x:v>III</x:v>
      </x:c>
      <x:c r="R320" s="42" t="str">
        <x:v>5</x:v>
      </x:c>
      <x:c r="S320" s="42" t="str">
        <x:v>Normal30 이월전력 + 소폭 성장으로 타이트 진행</x:v>
      </x:c>
      <x:c r="T320" s="42" t="n">
        <x:v>15</x:v>
      </x:c>
      <x:c r="U320" s="42" t="n">
        <x:v>750</x:v>
      </x:c>
      <x:c r="V320" s="42" t="n">
        <x:v>560</x:v>
      </x:c>
      <x:c r="W320" s="42" t="n">
        <x:v>56</x:v>
      </x:c>
      <x:c r="X320" s="42" t="n">
        <x:v>168</x:v>
      </x:c>
      <x:c r="Y320" s="42" t="str"/>
    </x:row>
    <x:row r="321">
      <x:c r="A321" s="1">
        <x:v>32</x:v>
      </x:c>
      <x:c r="B321" s="1" t="s">
        <x:v>681</x:v>
      </x:c>
      <x:c r="C321" s="1" t="s">
        <x:v>212</x:v>
      </x:c>
      <x:c r="D321" s="1">
        <x:v>2</x:v>
      </x:c>
      <x:c r="E321" s="1">
        <x:v>3</x:v>
      </x:c>
      <x:c r="F321" s="1">
        <x:v>10</x:v>
      </x:c>
      <x:c r="G321" s="1" t="s">
        <x:v>1057</x:v>
      </x:c>
      <x:c r="H321" s="1">
        <x:v>43</x:v>
      </x:c>
      <x:c r="I321" s="1">
        <x:v>33</x:v>
      </x:c>
      <x:c r="J321" s="1">
        <x:v>0.61</x:v>
      </x:c>
      <x:c r="K321" s="1" t="s">
        <x:v>1205</x:v>
      </x:c>
      <x:c r="L321" s="1" t="n">
        <x:v>2</x:v>
      </x:c>
      <x:c r="M321" s="1">
        <x:v>2.12</x:v>
      </x:c>
      <x:c r="N321" s="1" t="n">
        <x:v>4550</x:v>
      </x:c>
      <x:c r="O321" s="1" t="s">
        <x:v>1059</x:v>
      </x:c>
      <x:c r="P321" s="42" t="str">
        <x:v>Lv60~63</x:v>
      </x:c>
      <x:c r="Q321" s="42" t="str">
        <x:v>III</x:v>
      </x:c>
      <x:c r="R321" s="42" t="str">
        <x:v>5</x:v>
      </x:c>
      <x:c r="S321" s="42" t="str">
        <x:v>Normal30 이월전력 + 소폭 성장으로 타이트 진행</x:v>
      </x:c>
      <x:c r="T321" s="42" t="n">
        <x:v>15</x:v>
      </x:c>
      <x:c r="U321" s="42" t="n">
        <x:v>630</x:v>
      </x:c>
      <x:c r="V321" s="42" t="n">
        <x:v>0</x:v>
      </x:c>
      <x:c r="W321" s="42" t="n">
        <x:v>0</x:v>
      </x:c>
      <x:c r="X321" s="42" t="n">
        <x:v>0</x:v>
      </x:c>
      <x:c r="Y321" s="42" t="str">
        <x:v>보스 처치 보상은 로비 보상으로 분리</x:v>
      </x:c>
    </x:row>
    <x:row r="322">
      <x:c r="A322" s="1">
        <x:v>33</x:v>
      </x:c>
      <x:c r="B322" s="1" t="s">
        <x:v>681</x:v>
      </x:c>
      <x:c r="C322" s="1" t="s">
        <x:v>212</x:v>
      </x:c>
      <x:c r="D322" s="1">
        <x:v>3</x:v>
      </x:c>
      <x:c r="E322" s="1">
        <x:v>4</x:v>
      </x:c>
      <x:c r="F322" s="1">
        <x:v>1</x:v>
      </x:c>
      <x:c r="G322" s="1" t="s">
        <x:v>1042</x:v>
      </x:c>
      <x:c r="H322" s="1">
        <x:v>33</x:v>
      </x:c>
      <x:c r="I322" s="1">
        <x:v>20</x:v>
      </x:c>
      <x:c r="J322" s="1">
        <x:v>0.78</x:v>
      </x:c>
      <x:c r="K322" s="1" t="s">
        <x:v>1054</x:v>
      </x:c>
      <x:c r="L322" s="1" t="n">
        <x:v>1.69</x:v>
      </x:c>
      <x:c r="M322" s="1">
        <x:v>1.82</x:v>
      </x:c>
      <x:c r="N322" s="1" t="n">
        <x:v>5050</x:v>
      </x:c>
      <x:c r="O322" s="1" t="s">
        <x:v>1044</x:v>
      </x:c>
      <x:c r="P322" s="42" t="str">
        <x:v>Lv62~65</x:v>
      </x:c>
      <x:c r="Q322" s="42" t="str">
        <x:v>III</x:v>
      </x:c>
      <x:c r="R322" s="42" t="str">
        <x:v>5</x:v>
      </x:c>
      <x:c r="S322" s="42" t="str">
        <x:v>Hard 첫 체크포인트: Normal30 강한 클리어 유저는 타이트 클리어 목표</x:v>
      </x:c>
      <x:c r="T322" s="42" t="n">
        <x:v>15</x:v>
      </x:c>
      <x:c r="U322" s="42" t="n">
        <x:v>495</x:v>
      </x:c>
      <x:c r="V322" s="42" t="n">
        <x:v>112</x:v>
      </x:c>
      <x:c r="W322" s="42" t="n">
        <x:v>11</x:v>
      </x:c>
      <x:c r="X322" s="42" t="n">
        <x:v>34</x:v>
      </x:c>
      <x:c r="Y322" s="42" t="str"/>
    </x:row>
    <x:row r="323">
      <x:c r="A323" s="1">
        <x:v>33</x:v>
      </x:c>
      <x:c r="B323" s="1" t="s">
        <x:v>681</x:v>
      </x:c>
      <x:c r="C323" s="1" t="s">
        <x:v>212</x:v>
      </x:c>
      <x:c r="D323" s="1">
        <x:v>3</x:v>
      </x:c>
      <x:c r="E323" s="1">
        <x:v>4</x:v>
      </x:c>
      <x:c r="F323" s="1">
        <x:v>2</x:v>
      </x:c>
      <x:c r="G323" s="1" t="s">
        <x:v>1042</x:v>
      </x:c>
      <x:c r="H323" s="1">
        <x:v>35</x:v>
      </x:c>
      <x:c r="I323" s="1">
        <x:v>22</x:v>
      </x:c>
      <x:c r="J323" s="1">
        <x:v>0.76</x:v>
      </x:c>
      <x:c r="K323" s="1" t="s">
        <x:v>1045</x:v>
      </x:c>
      <x:c r="L323" s="1" t="n">
        <x:v>1.74</x:v>
      </x:c>
      <x:c r="M323" s="1">
        <x:v>1.86</x:v>
      </x:c>
      <x:c r="N323" s="1" t="n">
        <x:v>5050</x:v>
      </x:c>
      <x:c r="O323" s="1" t="s">
        <x:v>1044</x:v>
      </x:c>
      <x:c r="P323" s="42" t="str">
        <x:v>Lv62~65</x:v>
      </x:c>
      <x:c r="Q323" s="42" t="str">
        <x:v>III</x:v>
      </x:c>
      <x:c r="R323" s="42" t="str">
        <x:v>5</x:v>
      </x:c>
      <x:c r="S323" s="42" t="str">
        <x:v>Hard 첫 체크포인트: Normal30 강한 클리어 유저는 타이트 클리어 목표</x:v>
      </x:c>
      <x:c r="T323" s="42" t="n">
        <x:v>15</x:v>
      </x:c>
      <x:c r="U323" s="42" t="n">
        <x:v>525</x:v>
      </x:c>
      <x:c r="V323" s="42" t="n">
        <x:v>134</x:v>
      </x:c>
      <x:c r="W323" s="42" t="n">
        <x:v>13</x:v>
      </x:c>
      <x:c r="X323" s="42" t="n">
        <x:v>40</x:v>
      </x:c>
      <x:c r="Y323" s="42" t="str"/>
    </x:row>
    <x:row r="324">
      <x:c r="A324" s="1">
        <x:v>33</x:v>
      </x:c>
      <x:c r="B324" s="1" t="s">
        <x:v>681</x:v>
      </x:c>
      <x:c r="C324" s="1" t="s">
        <x:v>212</x:v>
      </x:c>
      <x:c r="D324" s="1">
        <x:v>3</x:v>
      </x:c>
      <x:c r="E324" s="1">
        <x:v>4</x:v>
      </x:c>
      <x:c r="F324" s="1">
        <x:v>3</x:v>
      </x:c>
      <x:c r="G324" s="1" t="s">
        <x:v>1042</x:v>
      </x:c>
      <x:c r="H324" s="1">
        <x:v>38</x:v>
      </x:c>
      <x:c r="I324" s="1">
        <x:v>24</x:v>
      </x:c>
      <x:c r="J324" s="1">
        <x:v>0.74</x:v>
      </x:c>
      <x:c r="K324" s="1" t="s">
        <x:v>1045</x:v>
      </x:c>
      <x:c r="L324" s="1" t="n">
        <x:v>1.77</x:v>
      </x:c>
      <x:c r="M324" s="1">
        <x:v>1.9</x:v>
      </x:c>
      <x:c r="N324" s="1" t="n">
        <x:v>5050</x:v>
      </x:c>
      <x:c r="O324" s="1" t="s">
        <x:v>1044</x:v>
      </x:c>
      <x:c r="P324" s="42" t="str">
        <x:v>Lv62~65</x:v>
      </x:c>
      <x:c r="Q324" s="42" t="str">
        <x:v>III</x:v>
      </x:c>
      <x:c r="R324" s="42" t="str">
        <x:v>5</x:v>
      </x:c>
      <x:c r="S324" s="42" t="str">
        <x:v>Hard 첫 체크포인트: Normal30 강한 클리어 유저는 타이트 클리어 목표</x:v>
      </x:c>
      <x:c r="T324" s="42" t="n">
        <x:v>15</x:v>
      </x:c>
      <x:c r="U324" s="42" t="n">
        <x:v>570</x:v>
      </x:c>
      <x:c r="V324" s="42" t="n">
        <x:v>168</x:v>
      </x:c>
      <x:c r="W324" s="42" t="n">
        <x:v>17</x:v>
      </x:c>
      <x:c r="X324" s="42" t="n">
        <x:v>50</x:v>
      </x:c>
      <x:c r="Y324" s="42" t="str"/>
    </x:row>
    <x:row r="325">
      <x:c r="A325" s="1">
        <x:v>33</x:v>
      </x:c>
      <x:c r="B325" s="1" t="s">
        <x:v>681</x:v>
      </x:c>
      <x:c r="C325" s="1" t="s">
        <x:v>212</x:v>
      </x:c>
      <x:c r="D325" s="1">
        <x:v>3</x:v>
      </x:c>
      <x:c r="E325" s="1">
        <x:v>4</x:v>
      </x:c>
      <x:c r="F325" s="1">
        <x:v>4</x:v>
      </x:c>
      <x:c r="G325" s="1" t="s">
        <x:v>1042</x:v>
      </x:c>
      <x:c r="H325" s="1">
        <x:v>40</x:v>
      </x:c>
      <x:c r="I325" s="1">
        <x:v>25</x:v>
      </x:c>
      <x:c r="J325" s="1">
        <x:v>0.72</x:v>
      </x:c>
      <x:c r="K325" s="1" t="s">
        <x:v>1046</x:v>
      </x:c>
      <x:c r="L325" s="1" t="n">
        <x:v>1.81</x:v>
      </x:c>
      <x:c r="M325" s="1">
        <x:v>1.94</x:v>
      </x:c>
      <x:c r="N325" s="1" t="n">
        <x:v>5050</x:v>
      </x:c>
      <x:c r="O325" s="1" t="s">
        <x:v>1047</x:v>
      </x:c>
      <x:c r="P325" s="42" t="str">
        <x:v>Lv62~65</x:v>
      </x:c>
      <x:c r="Q325" s="42" t="str">
        <x:v>III</x:v>
      </x:c>
      <x:c r="R325" s="42" t="str">
        <x:v>5</x:v>
      </x:c>
      <x:c r="S325" s="42" t="str">
        <x:v>Hard 첫 체크포인트: Normal30 강한 클리어 유저는 타이트 클리어 목표</x:v>
      </x:c>
      <x:c r="T325" s="42" t="n">
        <x:v>15</x:v>
      </x:c>
      <x:c r="U325" s="42" t="n">
        <x:v>600</x:v>
      </x:c>
      <x:c r="V325" s="42" t="n">
        <x:v>202</x:v>
      </x:c>
      <x:c r="W325" s="42" t="n">
        <x:v>20</x:v>
      </x:c>
      <x:c r="X325" s="42" t="n">
        <x:v>61</x:v>
      </x:c>
      <x:c r="Y325" s="42" t="str"/>
    </x:row>
    <x:row r="326">
      <x:c r="A326" s="1">
        <x:v>33</x:v>
      </x:c>
      <x:c r="B326" s="1" t="s">
        <x:v>681</x:v>
      </x:c>
      <x:c r="C326" s="1" t="s">
        <x:v>212</x:v>
      </x:c>
      <x:c r="D326" s="1">
        <x:v>3</x:v>
      </x:c>
      <x:c r="E326" s="1">
        <x:v>4</x:v>
      </x:c>
      <x:c r="F326" s="1">
        <x:v>5</x:v>
      </x:c>
      <x:c r="G326" s="1" t="s">
        <x:v>1048</x:v>
      </x:c>
      <x:c r="H326" s="1">
        <x:v>35</x:v>
      </x:c>
      <x:c r="I326" s="1">
        <x:v>27</x:v>
      </x:c>
      <x:c r="J326" s="1">
        <x:v>0.7</x:v>
      </x:c>
      <x:c r="K326" s="1" t="s">
        <x:v>1206</x:v>
      </x:c>
      <x:c r="L326" s="1" t="n">
        <x:v>1.85</x:v>
      </x:c>
      <x:c r="M326" s="1">
        <x:v>1.98</x:v>
      </x:c>
      <x:c r="N326" s="1" t="n">
        <x:v>5050</x:v>
      </x:c>
      <x:c r="O326" s="1" t="s">
        <x:v>1050</x:v>
      </x:c>
      <x:c r="P326" s="42" t="str">
        <x:v>Lv62~65</x:v>
      </x:c>
      <x:c r="Q326" s="42" t="str">
        <x:v>III</x:v>
      </x:c>
      <x:c r="R326" s="42" t="str">
        <x:v>5</x:v>
      </x:c>
      <x:c r="S326" s="42" t="str">
        <x:v>Hard 첫 체크포인트: Normal30 강한 클리어 유저는 타이트 클리어 목표</x:v>
      </x:c>
      <x:c r="T326" s="42" t="n">
        <x:v>15</x:v>
      </x:c>
      <x:c r="U326" s="42" t="n">
        <x:v>776</x:v>
      </x:c>
      <x:c r="V326" s="42" t="n">
        <x:v>336</x:v>
      </x:c>
      <x:c r="W326" s="42" t="n">
        <x:v>34</x:v>
      </x:c>
      <x:c r="X326" s="42" t="n">
        <x:v>101</x:v>
      </x:c>
      <x:c r="Y326" s="42" t="str">
        <x:v>중간보스 현상금 포함</x:v>
      </x:c>
    </x:row>
    <x:row r="327">
      <x:c r="A327" s="1">
        <x:v>33</x:v>
      </x:c>
      <x:c r="B327" s="1" t="s">
        <x:v>681</x:v>
      </x:c>
      <x:c r="C327" s="1" t="s">
        <x:v>212</x:v>
      </x:c>
      <x:c r="D327" s="1">
        <x:v>3</x:v>
      </x:c>
      <x:c r="E327" s="1">
        <x:v>4</x:v>
      </x:c>
      <x:c r="F327" s="1">
        <x:v>6</x:v>
      </x:c>
      <x:c r="G327" s="1" t="s">
        <x:v>1042</x:v>
      </x:c>
      <x:c r="H327" s="1">
        <x:v>46</x:v>
      </x:c>
      <x:c r="I327" s="1">
        <x:v>29</x:v>
      </x:c>
      <x:c r="J327" s="1">
        <x:v>0.68</x:v>
      </x:c>
      <x:c r="K327" s="1" t="s">
        <x:v>1063</x:v>
      </x:c>
      <x:c r="L327" s="1" t="n">
        <x:v>1.89</x:v>
      </x:c>
      <x:c r="M327" s="1">
        <x:v>2.02</x:v>
      </x:c>
      <x:c r="N327" s="1" t="n">
        <x:v>5050</x:v>
      </x:c>
      <x:c r="O327" s="1" t="s">
        <x:v>1052</x:v>
      </x:c>
      <x:c r="P327" s="42" t="str">
        <x:v>Lv62~65</x:v>
      </x:c>
      <x:c r="Q327" s="42" t="str">
        <x:v>III</x:v>
      </x:c>
      <x:c r="R327" s="42" t="str">
        <x:v>5</x:v>
      </x:c>
      <x:c r="S327" s="42" t="str">
        <x:v>Hard 첫 체크포인트: Normal30 강한 클리어 유저는 타이트 클리어 목표</x:v>
      </x:c>
      <x:c r="T327" s="42" t="n">
        <x:v>15</x:v>
      </x:c>
      <x:c r="U327" s="42" t="n">
        <x:v>690</x:v>
      </x:c>
      <x:c r="V327" s="42" t="n">
        <x:v>246</x:v>
      </x:c>
      <x:c r="W327" s="42" t="n">
        <x:v>25</x:v>
      </x:c>
      <x:c r="X327" s="42" t="n">
        <x:v>74</x:v>
      </x:c>
      <x:c r="Y327" s="42" t="str"/>
    </x:row>
    <x:row r="328">
      <x:c r="A328" s="1">
        <x:v>33</x:v>
      </x:c>
      <x:c r="B328" s="1" t="s">
        <x:v>681</x:v>
      </x:c>
      <x:c r="C328" s="1" t="s">
        <x:v>212</x:v>
      </x:c>
      <x:c r="D328" s="1">
        <x:v>3</x:v>
      </x:c>
      <x:c r="E328" s="1">
        <x:v>4</x:v>
      </x:c>
      <x:c r="F328" s="1">
        <x:v>7</x:v>
      </x:c>
      <x:c r="G328" s="1" t="s">
        <x:v>1042</x:v>
      </x:c>
      <x:c r="H328" s="1">
        <x:v>48</x:v>
      </x:c>
      <x:c r="I328" s="1">
        <x:v>30</x:v>
      </x:c>
      <x:c r="J328" s="1">
        <x:v>0.66</x:v>
      </x:c>
      <x:c r="K328" s="1" t="s">
        <x:v>1207</x:v>
      </x:c>
      <x:c r="L328" s="1" t="n">
        <x:v>1.93</x:v>
      </x:c>
      <x:c r="M328" s="1">
        <x:v>2.06</x:v>
      </x:c>
      <x:c r="N328" s="1" t="n">
        <x:v>5050</x:v>
      </x:c>
      <x:c r="O328" s="1" t="s">
        <x:v>1052</x:v>
      </x:c>
      <x:c r="P328" s="42" t="str">
        <x:v>Lv62~65</x:v>
      </x:c>
      <x:c r="Q328" s="42" t="str">
        <x:v>III</x:v>
      </x:c>
      <x:c r="R328" s="42" t="str">
        <x:v>5</x:v>
      </x:c>
      <x:c r="S328" s="42" t="str">
        <x:v>Hard 첫 체크포인트: Normal30 강한 클리어 유저는 타이트 클리어 목표</x:v>
      </x:c>
      <x:c r="T328" s="42" t="n">
        <x:v>15</x:v>
      </x:c>
      <x:c r="U328" s="42" t="n">
        <x:v>720</x:v>
      </x:c>
      <x:c r="V328" s="42" t="n">
        <x:v>336</x:v>
      </x:c>
      <x:c r="W328" s="42" t="n">
        <x:v>34</x:v>
      </x:c>
      <x:c r="X328" s="42" t="n">
        <x:v>101</x:v>
      </x:c>
      <x:c r="Y328" s="42" t="str"/>
    </x:row>
    <x:row r="329">
      <x:c r="A329" s="1">
        <x:v>33</x:v>
      </x:c>
      <x:c r="B329" s="1" t="s">
        <x:v>681</x:v>
      </x:c>
      <x:c r="C329" s="1" t="s">
        <x:v>212</x:v>
      </x:c>
      <x:c r="D329" s="1">
        <x:v>3</x:v>
      </x:c>
      <x:c r="E329" s="1">
        <x:v>4</x:v>
      </x:c>
      <x:c r="F329" s="1">
        <x:v>8</x:v>
      </x:c>
      <x:c r="G329" s="1" t="s">
        <x:v>1042</x:v>
      </x:c>
      <x:c r="H329" s="1">
        <x:v>51</x:v>
      </x:c>
      <x:c r="I329" s="1">
        <x:v>32</x:v>
      </x:c>
      <x:c r="J329" s="1">
        <x:v>0.64</x:v>
      </x:c>
      <x:c r="K329" s="1" t="s">
        <x:v>1069</x:v>
      </x:c>
      <x:c r="L329" s="1" t="n">
        <x:v>1.98</x:v>
      </x:c>
      <x:c r="M329" s="1">
        <x:v>2.1</x:v>
      </x:c>
      <x:c r="N329" s="1" t="n">
        <x:v>5050</x:v>
      </x:c>
      <x:c r="O329" s="1" t="s">
        <x:v>1052</x:v>
      </x:c>
      <x:c r="P329" s="42" t="str">
        <x:v>Lv62~65</x:v>
      </x:c>
      <x:c r="Q329" s="42" t="str">
        <x:v>III</x:v>
      </x:c>
      <x:c r="R329" s="42" t="str">
        <x:v>5</x:v>
      </x:c>
      <x:c r="S329" s="42" t="str">
        <x:v>Hard 첫 체크포인트: Normal30 강한 클리어 유저는 타이트 클리어 목표</x:v>
      </x:c>
      <x:c r="T329" s="42" t="n">
        <x:v>15</x:v>
      </x:c>
      <x:c r="U329" s="42" t="n">
        <x:v>765</x:v>
      </x:c>
      <x:c r="V329" s="42" t="n">
        <x:v>448</x:v>
      </x:c>
      <x:c r="W329" s="42" t="n">
        <x:v>45</x:v>
      </x:c>
      <x:c r="X329" s="42" t="n">
        <x:v>134</x:v>
      </x:c>
      <x:c r="Y329" s="42" t="str"/>
    </x:row>
    <x:row r="330">
      <x:c r="A330" s="1">
        <x:v>33</x:v>
      </x:c>
      <x:c r="B330" s="1" t="s">
        <x:v>681</x:v>
      </x:c>
      <x:c r="C330" s="1" t="s">
        <x:v>212</x:v>
      </x:c>
      <x:c r="D330" s="1">
        <x:v>3</x:v>
      </x:c>
      <x:c r="E330" s="1">
        <x:v>4</x:v>
      </x:c>
      <x:c r="F330" s="1">
        <x:v>9</x:v>
      </x:c>
      <x:c r="G330" s="1" t="s">
        <x:v>1042</x:v>
      </x:c>
      <x:c r="H330" s="1">
        <x:v>54</x:v>
      </x:c>
      <x:c r="I330" s="1">
        <x:v>33</x:v>
      </x:c>
      <x:c r="J330" s="1">
        <x:v>0.62</x:v>
      </x:c>
      <x:c r="K330" s="1" t="s">
        <x:v>1051</x:v>
      </x:c>
      <x:c r="L330" s="1" t="n">
        <x:v>2.01</x:v>
      </x:c>
      <x:c r="M330" s="1">
        <x:v>2.14</x:v>
      </x:c>
      <x:c r="N330" s="1" t="n">
        <x:v>5050</x:v>
      </x:c>
      <x:c r="O330" s="1" t="s">
        <x:v>1056</x:v>
      </x:c>
      <x:c r="P330" s="42" t="str">
        <x:v>Lv62~65</x:v>
      </x:c>
      <x:c r="Q330" s="42" t="str">
        <x:v>III</x:v>
      </x:c>
      <x:c r="R330" s="42" t="str">
        <x:v>5</x:v>
      </x:c>
      <x:c r="S330" s="42" t="str">
        <x:v>Hard 첫 체크포인트: Normal30 강한 클리어 유저는 타이트 클리어 목표</x:v>
      </x:c>
      <x:c r="T330" s="42" t="n">
        <x:v>15</x:v>
      </x:c>
      <x:c r="U330" s="42" t="n">
        <x:v>810</x:v>
      </x:c>
      <x:c r="V330" s="42" t="n">
        <x:v>560</x:v>
      </x:c>
      <x:c r="W330" s="42" t="n">
        <x:v>56</x:v>
      </x:c>
      <x:c r="X330" s="42" t="n">
        <x:v>168</x:v>
      </x:c>
      <x:c r="Y330" s="42" t="str"/>
    </x:row>
    <x:row r="331">
      <x:c r="A331" s="1">
        <x:v>33</x:v>
      </x:c>
      <x:c r="B331" s="1" t="s">
        <x:v>681</x:v>
      </x:c>
      <x:c r="C331" s="1" t="s">
        <x:v>212</x:v>
      </x:c>
      <x:c r="D331" s="1">
        <x:v>3</x:v>
      </x:c>
      <x:c r="E331" s="1">
        <x:v>4</x:v>
      </x:c>
      <x:c r="F331" s="1">
        <x:v>10</x:v>
      </x:c>
      <x:c r="G331" s="1" t="s">
        <x:v>1057</x:v>
      </x:c>
      <x:c r="H331" s="1">
        <x:v>46</x:v>
      </x:c>
      <x:c r="I331" s="1">
        <x:v>35</x:v>
      </x:c>
      <x:c r="J331" s="1">
        <x:v>0.6</x:v>
      </x:c>
      <x:c r="K331" s="1" t="str">
        <x:v>침식에 물들은 서부의 설화 1 + 호위 일반몹 45</x:v>
      </x:c>
      <x:c r="L331" s="1" t="n">
        <x:v>2.05</x:v>
      </x:c>
      <x:c r="M331" s="1">
        <x:v>2.1800000000000002</x:v>
      </x:c>
      <x:c r="N331" s="1" t="n">
        <x:v>5050</x:v>
      </x:c>
      <x:c r="O331" s="1" t="s">
        <x:v>1059</x:v>
      </x:c>
      <x:c r="P331" s="42" t="str">
        <x:v>Lv62~65</x:v>
      </x:c>
      <x:c r="Q331" s="42" t="str">
        <x:v>III</x:v>
      </x:c>
      <x:c r="R331" s="42" t="str">
        <x:v>5</x:v>
      </x:c>
      <x:c r="S331" s="42" t="str">
        <x:v>Hard 첫 체크포인트: Normal30 강한 클리어 유저는 타이트 클리어 목표</x:v>
      </x:c>
      <x:c r="T331" s="42" t="n">
        <x:v>15</x:v>
      </x:c>
      <x:c r="U331" s="42" t="n">
        <x:v>675</x:v>
      </x:c>
      <x:c r="V331" s="42" t="n">
        <x:v>0</x:v>
      </x:c>
      <x:c r="W331" s="42" t="n">
        <x:v>0</x:v>
      </x:c>
      <x:c r="X331" s="42" t="n">
        <x:v>0</x:v>
      </x:c>
      <x:c r="Y331" s="42" t="str">
        <x:v>보스 처치 보상은 로비 보상으로 분리</x:v>
      </x:c>
    </x:row>
    <x:row r="332">
      <x:c r="A332" s="1">
        <x:v>34</x:v>
      </x:c>
      <x:c r="B332" s="1" t="s">
        <x:v>681</x:v>
      </x:c>
      <x:c r="C332" s="1" t="s">
        <x:v>361</x:v>
      </x:c>
      <x:c r="D332" s="1">
        <x:v>1</x:v>
      </x:c>
      <x:c r="E332" s="1">
        <x:v>3</x:v>
      </x:c>
      <x:c r="F332" s="1">
        <x:v>1</x:v>
      </x:c>
      <x:c r="G332" s="1" t="s">
        <x:v>1042</x:v>
      </x:c>
      <x:c r="H332" s="1">
        <x:v>32</x:v>
      </x:c>
      <x:c r="I332" s="1">
        <x:v>20</x:v>
      </x:c>
      <x:c r="J332" s="1">
        <x:v>0.77</x:v>
      </x:c>
      <x:c r="K332" s="1" t="s">
        <x:v>1125</x:v>
      </x:c>
      <x:c r="L332" s="1">
        <x:v>2.4</x:v>
      </x:c>
      <x:c r="M332" s="1">
        <x:v>1.88</x:v>
      </x:c>
      <x:c r="N332" s="1">
        <x:v>6460</x:v>
      </x:c>
      <x:c r="O332" s="1" t="s">
        <x:v>1044</x:v>
      </x:c>
      <x:c r="P332" s="42" t="str">
        <x:v>Lv65~70</x:v>
      </x:c>
      <x:c r="Q332" s="42" t="str">
        <x:v>III</x:v>
      </x:c>
      <x:c r="R332" s="42" t="str">
        <x:v>5</x:v>
      </x:c>
      <x:c r="S332" s="42" t="str">
        <x:v>Hard 첫 본격 성장벽: Stage34 약 1주 후 재도전</x:v>
      </x:c>
      <x:c r="T332" s="42" t="n">
        <x:v>15</x:v>
      </x:c>
      <x:c r="U332" s="42" t="n">
        <x:v>480</x:v>
      </x:c>
      <x:c r="V332" s="42" t="n">
        <x:v>112</x:v>
      </x:c>
      <x:c r="W332" s="42" t="n">
        <x:v>11</x:v>
      </x:c>
      <x:c r="X332" s="42" t="n">
        <x:v>34</x:v>
      </x:c>
      <x:c r="Y332" s="42" t="str"/>
    </x:row>
    <x:row r="333">
      <x:c r="A333" s="1">
        <x:v>34</x:v>
      </x:c>
      <x:c r="B333" s="1" t="s">
        <x:v>681</x:v>
      </x:c>
      <x:c r="C333" s="1" t="s">
        <x:v>361</x:v>
      </x:c>
      <x:c r="D333" s="1">
        <x:v>1</x:v>
      </x:c>
      <x:c r="E333" s="1">
        <x:v>3</x:v>
      </x:c>
      <x:c r="F333" s="1">
        <x:v>2</x:v>
      </x:c>
      <x:c r="G333" s="1" t="s">
        <x:v>1042</x:v>
      </x:c>
      <x:c r="H333" s="1">
        <x:v>34</x:v>
      </x:c>
      <x:c r="I333" s="1">
        <x:v>21</x:v>
      </x:c>
      <x:c r="J333" s="1">
        <x:v>0.75</x:v>
      </x:c>
      <x:c r="K333" s="1" t="s">
        <x:v>1126</x:v>
      </x:c>
      <x:c r="L333" s="1">
        <x:v>2.46</x:v>
      </x:c>
      <x:c r="M333" s="1">
        <x:v>1.92</x:v>
      </x:c>
      <x:c r="N333" s="1">
        <x:v>6460</x:v>
      </x:c>
      <x:c r="O333" s="1" t="s">
        <x:v>1044</x:v>
      </x:c>
      <x:c r="P333" s="42" t="str">
        <x:v>Lv65~70</x:v>
      </x:c>
      <x:c r="Q333" s="42" t="str">
        <x:v>III</x:v>
      </x:c>
      <x:c r="R333" s="42" t="str">
        <x:v>5</x:v>
      </x:c>
      <x:c r="S333" s="42" t="str">
        <x:v>Hard 첫 본격 성장벽: Stage34 약 1주 후 재도전</x:v>
      </x:c>
      <x:c r="T333" s="42" t="n">
        <x:v>15</x:v>
      </x:c>
      <x:c r="U333" s="42" t="n">
        <x:v>510</x:v>
      </x:c>
      <x:c r="V333" s="42" t="n">
        <x:v>134</x:v>
      </x:c>
      <x:c r="W333" s="42" t="n">
        <x:v>13</x:v>
      </x:c>
      <x:c r="X333" s="42" t="n">
        <x:v>40</x:v>
      </x:c>
      <x:c r="Y333" s="42" t="str"/>
    </x:row>
    <x:row r="334">
      <x:c r="A334" s="1">
        <x:v>34</x:v>
      </x:c>
      <x:c r="B334" s="1" t="s">
        <x:v>681</x:v>
      </x:c>
      <x:c r="C334" s="1" t="s">
        <x:v>361</x:v>
      </x:c>
      <x:c r="D334" s="1">
        <x:v>1</x:v>
      </x:c>
      <x:c r="E334" s="1">
        <x:v>3</x:v>
      </x:c>
      <x:c r="F334" s="1">
        <x:v>3</x:v>
      </x:c>
      <x:c r="G334" s="1" t="s">
        <x:v>1042</x:v>
      </x:c>
      <x:c r="H334" s="1">
        <x:v>37</x:v>
      </x:c>
      <x:c r="I334" s="1">
        <x:v>23</x:v>
      </x:c>
      <x:c r="J334" s="1">
        <x:v>0.73</x:v>
      </x:c>
      <x:c r="K334" s="1" t="s">
        <x:v>1132</x:v>
      </x:c>
      <x:c r="L334" s="1">
        <x:v>2.5099999999999998</x:v>
      </x:c>
      <x:c r="M334" s="1">
        <x:v>1.96</x:v>
      </x:c>
      <x:c r="N334" s="1">
        <x:v>6460</x:v>
      </x:c>
      <x:c r="O334" s="1" t="s">
        <x:v>1044</x:v>
      </x:c>
      <x:c r="P334" s="42" t="str">
        <x:v>Lv65~70</x:v>
      </x:c>
      <x:c r="Q334" s="42" t="str">
        <x:v>III</x:v>
      </x:c>
      <x:c r="R334" s="42" t="str">
        <x:v>5</x:v>
      </x:c>
      <x:c r="S334" s="42" t="str">
        <x:v>Hard 첫 본격 성장벽: Stage34 약 1주 후 재도전</x:v>
      </x:c>
      <x:c r="T334" s="42" t="n">
        <x:v>15</x:v>
      </x:c>
      <x:c r="U334" s="42" t="n">
        <x:v>555</x:v>
      </x:c>
      <x:c r="V334" s="42" t="n">
        <x:v>168</x:v>
      </x:c>
      <x:c r="W334" s="42" t="n">
        <x:v>17</x:v>
      </x:c>
      <x:c r="X334" s="42" t="n">
        <x:v>50</x:v>
      </x:c>
      <x:c r="Y334" s="42" t="str"/>
    </x:row>
    <x:row r="335">
      <x:c r="A335" s="1">
        <x:v>34</x:v>
      </x:c>
      <x:c r="B335" s="1" t="s">
        <x:v>681</x:v>
      </x:c>
      <x:c r="C335" s="1" t="s">
        <x:v>361</x:v>
      </x:c>
      <x:c r="D335" s="1">
        <x:v>1</x:v>
      </x:c>
      <x:c r="E335" s="1">
        <x:v>3</x:v>
      </x:c>
      <x:c r="F335" s="1">
        <x:v>4</x:v>
      </x:c>
      <x:c r="G335" s="1" t="s">
        <x:v>1042</x:v>
      </x:c>
      <x:c r="H335" s="1">
        <x:v>40</x:v>
      </x:c>
      <x:c r="I335" s="1">
        <x:v>25</x:v>
      </x:c>
      <x:c r="J335" s="1">
        <x:v>0.71</x:v>
      </x:c>
      <x:c r="K335" s="1" t="s">
        <x:v>1134</x:v>
      </x:c>
      <x:c r="L335" s="1">
        <x:v>2.57</x:v>
      </x:c>
      <x:c r="M335" s="1">
        <x:v>2</x:v>
      </x:c>
      <x:c r="N335" s="1">
        <x:v>6460</x:v>
      </x:c>
      <x:c r="O335" s="1" t="s">
        <x:v>1047</x:v>
      </x:c>
      <x:c r="P335" s="42" t="str">
        <x:v>Lv65~70</x:v>
      </x:c>
      <x:c r="Q335" s="42" t="str">
        <x:v>III</x:v>
      </x:c>
      <x:c r="R335" s="42" t="str">
        <x:v>5</x:v>
      </x:c>
      <x:c r="S335" s="42" t="str">
        <x:v>Hard 첫 본격 성장벽: Stage34 약 1주 후 재도전</x:v>
      </x:c>
      <x:c r="T335" s="42" t="n">
        <x:v>15</x:v>
      </x:c>
      <x:c r="U335" s="42" t="n">
        <x:v>600</x:v>
      </x:c>
      <x:c r="V335" s="42" t="n">
        <x:v>202</x:v>
      </x:c>
      <x:c r="W335" s="42" t="n">
        <x:v>20</x:v>
      </x:c>
      <x:c r="X335" s="42" t="n">
        <x:v>61</x:v>
      </x:c>
      <x:c r="Y335" s="42" t="str"/>
    </x:row>
    <x:row r="336">
      <x:c r="A336" s="1">
        <x:v>34</x:v>
      </x:c>
      <x:c r="B336" s="1" t="s">
        <x:v>681</x:v>
      </x:c>
      <x:c r="C336" s="1" t="s">
        <x:v>361</x:v>
      </x:c>
      <x:c r="D336" s="1">
        <x:v>1</x:v>
      </x:c>
      <x:c r="E336" s="1">
        <x:v>3</x:v>
      </x:c>
      <x:c r="F336" s="1">
        <x:v>5</x:v>
      </x:c>
      <x:c r="G336" s="1" t="s">
        <x:v>1048</x:v>
      </x:c>
      <x:c r="H336" s="1">
        <x:v>34</x:v>
      </x:c>
      <x:c r="I336" s="1">
        <x:v>26</x:v>
      </x:c>
      <x:c r="J336" s="1">
        <x:v>0.69</x:v>
      </x:c>
      <x:c r="K336" s="1" t="s">
        <x:v>1208</x:v>
      </x:c>
      <x:c r="L336" s="1">
        <x:v>2.62</x:v>
      </x:c>
      <x:c r="M336" s="1">
        <x:v>2.04</x:v>
      </x:c>
      <x:c r="N336" s="1">
        <x:v>6460</x:v>
      </x:c>
      <x:c r="O336" s="1" t="s">
        <x:v>1050</x:v>
      </x:c>
      <x:c r="P336" s="42" t="str">
        <x:v>Lv65~70</x:v>
      </x:c>
      <x:c r="Q336" s="42" t="str">
        <x:v>III</x:v>
      </x:c>
      <x:c r="R336" s="42" t="str">
        <x:v>5</x:v>
      </x:c>
      <x:c r="S336" s="42" t="str">
        <x:v>Hard 첫 본격 성장벽: Stage34 약 1주 후 재도전</x:v>
      </x:c>
      <x:c r="T336" s="42" t="n">
        <x:v>15</x:v>
      </x:c>
      <x:c r="U336" s="42" t="n">
        <x:v>764</x:v>
      </x:c>
      <x:c r="V336" s="42" t="n">
        <x:v>336</x:v>
      </x:c>
      <x:c r="W336" s="42" t="n">
        <x:v>34</x:v>
      </x:c>
      <x:c r="X336" s="42" t="n">
        <x:v>101</x:v>
      </x:c>
      <x:c r="Y336" s="42" t="str">
        <x:v>중간보스 현상금 포함</x:v>
      </x:c>
    </x:row>
    <x:row r="337">
      <x:c r="A337" s="1">
        <x:v>34</x:v>
      </x:c>
      <x:c r="B337" s="1" t="s">
        <x:v>681</x:v>
      </x:c>
      <x:c r="C337" s="1" t="s">
        <x:v>361</x:v>
      </x:c>
      <x:c r="D337" s="1">
        <x:v>1</x:v>
      </x:c>
      <x:c r="E337" s="1">
        <x:v>3</x:v>
      </x:c>
      <x:c r="F337" s="1">
        <x:v>6</x:v>
      </x:c>
      <x:c r="G337" s="1" t="s">
        <x:v>1042</x:v>
      </x:c>
      <x:c r="H337" s="1">
        <x:v>45</x:v>
      </x:c>
      <x:c r="I337" s="1">
        <x:v>28</x:v>
      </x:c>
      <x:c r="J337" s="1">
        <x:v>0.67</x:v>
      </x:c>
      <x:c r="K337" s="1" t="s">
        <x:v>1126</x:v>
      </x:c>
      <x:c r="L337" s="1">
        <x:v>2.68</x:v>
      </x:c>
      <x:c r="M337" s="1">
        <x:v>2.08</x:v>
      </x:c>
      <x:c r="N337" s="1">
        <x:v>6460</x:v>
      </x:c>
      <x:c r="O337" s="1" t="s">
        <x:v>1052</x:v>
      </x:c>
      <x:c r="P337" s="42" t="str">
        <x:v>Lv65~70</x:v>
      </x:c>
      <x:c r="Q337" s="42" t="str">
        <x:v>III</x:v>
      </x:c>
      <x:c r="R337" s="42" t="str">
        <x:v>5</x:v>
      </x:c>
      <x:c r="S337" s="42" t="str">
        <x:v>Hard 첫 본격 성장벽: Stage34 약 1주 후 재도전</x:v>
      </x:c>
      <x:c r="T337" s="42" t="n">
        <x:v>15</x:v>
      </x:c>
      <x:c r="U337" s="42" t="n">
        <x:v>675</x:v>
      </x:c>
      <x:c r="V337" s="42" t="n">
        <x:v>246</x:v>
      </x:c>
      <x:c r="W337" s="42" t="n">
        <x:v>25</x:v>
      </x:c>
      <x:c r="X337" s="42" t="n">
        <x:v>74</x:v>
      </x:c>
      <x:c r="Y337" s="42" t="str"/>
    </x:row>
    <x:row r="338">
      <x:c r="A338" s="1">
        <x:v>34</x:v>
      </x:c>
      <x:c r="B338" s="1" t="s">
        <x:v>681</x:v>
      </x:c>
      <x:c r="C338" s="1" t="s">
        <x:v>361</x:v>
      </x:c>
      <x:c r="D338" s="1">
        <x:v>1</x:v>
      </x:c>
      <x:c r="E338" s="1">
        <x:v>3</x:v>
      </x:c>
      <x:c r="F338" s="1">
        <x:v>7</x:v>
      </x:c>
      <x:c r="G338" s="1" t="s">
        <x:v>1042</x:v>
      </x:c>
      <x:c r="H338" s="1">
        <x:v>47</x:v>
      </x:c>
      <x:c r="I338" s="1">
        <x:v>29</x:v>
      </x:c>
      <x:c r="J338" s="1">
        <x:v>0.65</x:v>
      </x:c>
      <x:c r="K338" s="1" t="s">
        <x:v>1132</x:v>
      </x:c>
      <x:c r="L338" s="1">
        <x:v>2.73</x:v>
      </x:c>
      <x:c r="M338" s="1">
        <x:v>2.12</x:v>
      </x:c>
      <x:c r="N338" s="1">
        <x:v>6460</x:v>
      </x:c>
      <x:c r="O338" s="1" t="s">
        <x:v>1052</x:v>
      </x:c>
      <x:c r="P338" s="42" t="str">
        <x:v>Lv65~70</x:v>
      </x:c>
      <x:c r="Q338" s="42" t="str">
        <x:v>III</x:v>
      </x:c>
      <x:c r="R338" s="42" t="str">
        <x:v>5</x:v>
      </x:c>
      <x:c r="S338" s="42" t="str">
        <x:v>Hard 첫 본격 성장벽: Stage34 약 1주 후 재도전</x:v>
      </x:c>
      <x:c r="T338" s="42" t="n">
        <x:v>15</x:v>
      </x:c>
      <x:c r="U338" s="42" t="n">
        <x:v>705</x:v>
      </x:c>
      <x:c r="V338" s="42" t="n">
        <x:v>336</x:v>
      </x:c>
      <x:c r="W338" s="42" t="n">
        <x:v>34</x:v>
      </x:c>
      <x:c r="X338" s="42" t="n">
        <x:v>101</x:v>
      </x:c>
      <x:c r="Y338" s="42" t="str"/>
    </x:row>
    <x:row r="339">
      <x:c r="A339" s="1">
        <x:v>34</x:v>
      </x:c>
      <x:c r="B339" s="1" t="s">
        <x:v>681</x:v>
      </x:c>
      <x:c r="C339" s="1" t="s">
        <x:v>361</x:v>
      </x:c>
      <x:c r="D339" s="1">
        <x:v>1</x:v>
      </x:c>
      <x:c r="E339" s="1">
        <x:v>3</x:v>
      </x:c>
      <x:c r="F339" s="1">
        <x:v>8</x:v>
      </x:c>
      <x:c r="G339" s="1" t="s">
        <x:v>1042</x:v>
      </x:c>
      <x:c r="H339" s="1">
        <x:v>50</x:v>
      </x:c>
      <x:c r="I339" s="1">
        <x:v>31</x:v>
      </x:c>
      <x:c r="J339" s="1">
        <x:v>0.63</x:v>
      </x:c>
      <x:c r="K339" s="1" t="s">
        <x:v>1129</x:v>
      </x:c>
      <x:c r="L339" s="1">
        <x:v>2.79</x:v>
      </x:c>
      <x:c r="M339" s="1">
        <x:v>2.16</x:v>
      </x:c>
      <x:c r="N339" s="1">
        <x:v>6460</x:v>
      </x:c>
      <x:c r="O339" s="1" t="s">
        <x:v>1052</x:v>
      </x:c>
      <x:c r="P339" s="42" t="str">
        <x:v>Lv65~70</x:v>
      </x:c>
      <x:c r="Q339" s="42" t="str">
        <x:v>III</x:v>
      </x:c>
      <x:c r="R339" s="42" t="str">
        <x:v>5</x:v>
      </x:c>
      <x:c r="S339" s="42" t="str">
        <x:v>Hard 첫 본격 성장벽: Stage34 약 1주 후 재도전</x:v>
      </x:c>
      <x:c r="T339" s="42" t="n">
        <x:v>15</x:v>
      </x:c>
      <x:c r="U339" s="42" t="n">
        <x:v>750</x:v>
      </x:c>
      <x:c r="V339" s="42" t="n">
        <x:v>448</x:v>
      </x:c>
      <x:c r="W339" s="42" t="n">
        <x:v>45</x:v>
      </x:c>
      <x:c r="X339" s="42" t="n">
        <x:v>134</x:v>
      </x:c>
      <x:c r="Y339" s="42" t="str"/>
    </x:row>
    <x:row r="340">
      <x:c r="A340" s="1">
        <x:v>34</x:v>
      </x:c>
      <x:c r="B340" s="1" t="s">
        <x:v>681</x:v>
      </x:c>
      <x:c r="C340" s="1" t="s">
        <x:v>361</x:v>
      </x:c>
      <x:c r="D340" s="1">
        <x:v>1</x:v>
      </x:c>
      <x:c r="E340" s="1">
        <x:v>3</x:v>
      </x:c>
      <x:c r="F340" s="1">
        <x:v>9</x:v>
      </x:c>
      <x:c r="G340" s="1" t="s">
        <x:v>1042</x:v>
      </x:c>
      <x:c r="H340" s="1">
        <x:v>53</x:v>
      </x:c>
      <x:c r="I340" s="1">
        <x:v>33</x:v>
      </x:c>
      <x:c r="J340" s="1">
        <x:v>0.61</x:v>
      </x:c>
      <x:c r="K340" s="1" t="s">
        <x:v>1132</x:v>
      </x:c>
      <x:c r="L340" s="1">
        <x:v>2.84</x:v>
      </x:c>
      <x:c r="M340" s="1">
        <x:v>2.2000000000000002</x:v>
      </x:c>
      <x:c r="N340" s="1">
        <x:v>6460</x:v>
      </x:c>
      <x:c r="O340" s="1" t="s">
        <x:v>1056</x:v>
      </x:c>
      <x:c r="P340" s="42" t="str">
        <x:v>Lv65~70</x:v>
      </x:c>
      <x:c r="Q340" s="42" t="str">
        <x:v>III</x:v>
      </x:c>
      <x:c r="R340" s="42" t="str">
        <x:v>5</x:v>
      </x:c>
      <x:c r="S340" s="42" t="str">
        <x:v>Hard 첫 본격 성장벽: Stage34 약 1주 후 재도전</x:v>
      </x:c>
      <x:c r="T340" s="42" t="n">
        <x:v>15</x:v>
      </x:c>
      <x:c r="U340" s="42" t="n">
        <x:v>795</x:v>
      </x:c>
      <x:c r="V340" s="42" t="n">
        <x:v>560</x:v>
      </x:c>
      <x:c r="W340" s="42" t="n">
        <x:v>56</x:v>
      </x:c>
      <x:c r="X340" s="42" t="n">
        <x:v>168</x:v>
      </x:c>
      <x:c r="Y340" s="42" t="str"/>
    </x:row>
    <x:row r="341">
      <x:c r="A341" s="1">
        <x:v>34</x:v>
      </x:c>
      <x:c r="B341" s="1" t="s">
        <x:v>681</x:v>
      </x:c>
      <x:c r="C341" s="1" t="s">
        <x:v>361</x:v>
      </x:c>
      <x:c r="D341" s="1">
        <x:v>1</x:v>
      </x:c>
      <x:c r="E341" s="1">
        <x:v>3</x:v>
      </x:c>
      <x:c r="F341" s="1">
        <x:v>10</x:v>
      </x:c>
      <x:c r="G341" s="1" t="s">
        <x:v>1057</x:v>
      </x:c>
      <x:c r="H341" s="1">
        <x:v>45</x:v>
      </x:c>
      <x:c r="I341" s="1">
        <x:v>34</x:v>
      </x:c>
      <x:c r="J341" s="1">
        <x:v>0.59</x:v>
      </x:c>
      <x:c r="K341" s="1" t="s">
        <x:v>1209</x:v>
      </x:c>
      <x:c r="L341" s="1">
        <x:v>2.9</x:v>
      </x:c>
      <x:c r="M341" s="1">
        <x:v>2.2400000000000002</x:v>
      </x:c>
      <x:c r="N341" s="1">
        <x:v>6460</x:v>
      </x:c>
      <x:c r="O341" s="1" t="s">
        <x:v>1059</x:v>
      </x:c>
      <x:c r="P341" s="42" t="str">
        <x:v>Lv65~70</x:v>
      </x:c>
      <x:c r="Q341" s="42" t="str">
        <x:v>III</x:v>
      </x:c>
      <x:c r="R341" s="42" t="str">
        <x:v>5</x:v>
      </x:c>
      <x:c r="S341" s="42" t="str">
        <x:v>Hard 첫 본격 성장벽: Stage34 약 1주 후 재도전</x:v>
      </x:c>
      <x:c r="T341" s="42" t="n">
        <x:v>15</x:v>
      </x:c>
      <x:c r="U341" s="42" t="n">
        <x:v>660</x:v>
      </x:c>
      <x:c r="V341" s="42" t="n">
        <x:v>0</x:v>
      </x:c>
      <x:c r="W341" s="42" t="n">
        <x:v>0</x:v>
      </x:c>
      <x:c r="X341" s="42" t="n">
        <x:v>0</x:v>
      </x:c>
      <x:c r="Y341" s="42" t="str">
        <x:v>보스 처치 보상은 로비 보상으로 분리</x:v>
      </x:c>
    </x:row>
    <x:row r="342">
      <x:c r="A342" s="1">
        <x:v>35</x:v>
      </x:c>
      <x:c r="B342" s="1" t="s">
        <x:v>681</x:v>
      </x:c>
      <x:c r="C342" s="1" t="s">
        <x:v>361</x:v>
      </x:c>
      <x:c r="D342" s="1">
        <x:v>2</x:v>
      </x:c>
      <x:c r="E342" s="1">
        <x:v>3</x:v>
      </x:c>
      <x:c r="F342" s="1">
        <x:v>1</x:v>
      </x:c>
      <x:c r="G342" s="1" t="s">
        <x:v>1042</x:v>
      </x:c>
      <x:c r="H342" s="1">
        <x:v>33</x:v>
      </x:c>
      <x:c r="I342" s="1">
        <x:v>20</x:v>
      </x:c>
      <x:c r="J342" s="1">
        <x:v>0.76</x:v>
      </x:c>
      <x:c r="K342" s="1" t="s">
        <x:v>1126</x:v>
      </x:c>
      <x:c r="L342" s="1">
        <x:v>2.4900000000000002</x:v>
      </x:c>
      <x:c r="M342" s="1">
        <x:v>1.94</x:v>
      </x:c>
      <x:c r="N342" s="1">
        <x:v>6944</x:v>
      </x:c>
      <x:c r="O342" s="1" t="s">
        <x:v>1044</x:v>
      </x:c>
      <x:c r="P342" s="42" t="str">
        <x:v>Lv60~70</x:v>
      </x:c>
      <x:c r="Q342" s="42" t="str">
        <x:v>III</x:v>
      </x:c>
      <x:c r="R342" s="42" t="str">
        <x:v>5</x:v>
      </x:c>
      <x:c r="S342" s="42" t="str">
        <x:v>Hard 북부 장벽: Stage34 약 1주 / 이후 진행</x:v>
      </x:c>
      <x:c r="T342" s="42" t="n">
        <x:v>15</x:v>
      </x:c>
      <x:c r="U342" s="42" t="n">
        <x:v>495</x:v>
      </x:c>
      <x:c r="V342" s="42" t="n">
        <x:v>112</x:v>
      </x:c>
      <x:c r="W342" s="42" t="n">
        <x:v>11</x:v>
      </x:c>
      <x:c r="X342" s="42" t="n">
        <x:v>34</x:v>
      </x:c>
      <x:c r="Y342" s="42" t="str"/>
    </x:row>
    <x:row r="343">
      <x:c r="A343" s="1">
        <x:v>35</x:v>
      </x:c>
      <x:c r="B343" s="1" t="s">
        <x:v>681</x:v>
      </x:c>
      <x:c r="C343" s="1" t="s">
        <x:v>361</x:v>
      </x:c>
      <x:c r="D343" s="1">
        <x:v>2</x:v>
      </x:c>
      <x:c r="E343" s="1">
        <x:v>3</x:v>
      </x:c>
      <x:c r="F343" s="1">
        <x:v>2</x:v>
      </x:c>
      <x:c r="G343" s="1" t="s">
        <x:v>1042</x:v>
      </x:c>
      <x:c r="H343" s="1">
        <x:v>35</x:v>
      </x:c>
      <x:c r="I343" s="1">
        <x:v>22</x:v>
      </x:c>
      <x:c r="J343" s="1">
        <x:v>0.74</x:v>
      </x:c>
      <x:c r="K343" s="1" t="s">
        <x:v>1132</x:v>
      </x:c>
      <x:c r="L343" s="1">
        <x:v>2.54</x:v>
      </x:c>
      <x:c r="M343" s="1">
        <x:v>1.98</x:v>
      </x:c>
      <x:c r="N343" s="1">
        <x:v>6944</x:v>
      </x:c>
      <x:c r="O343" s="1" t="s">
        <x:v>1044</x:v>
      </x:c>
      <x:c r="P343" s="42" t="str">
        <x:v>Lv60~70</x:v>
      </x:c>
      <x:c r="Q343" s="42" t="str">
        <x:v>III</x:v>
      </x:c>
      <x:c r="R343" s="42" t="str">
        <x:v>5</x:v>
      </x:c>
      <x:c r="S343" s="42" t="str">
        <x:v>Hard 북부 장벽: Stage34 약 1주 / 이후 진행</x:v>
      </x:c>
      <x:c r="T343" s="42" t="n">
        <x:v>15</x:v>
      </x:c>
      <x:c r="U343" s="42" t="n">
        <x:v>525</x:v>
      </x:c>
      <x:c r="V343" s="42" t="n">
        <x:v>134</x:v>
      </x:c>
      <x:c r="W343" s="42" t="n">
        <x:v>13</x:v>
      </x:c>
      <x:c r="X343" s="42" t="n">
        <x:v>40</x:v>
      </x:c>
      <x:c r="Y343" s="42" t="str"/>
    </x:row>
    <x:row r="344">
      <x:c r="A344" s="1">
        <x:v>35</x:v>
      </x:c>
      <x:c r="B344" s="1" t="s">
        <x:v>681</x:v>
      </x:c>
      <x:c r="C344" s="1" t="s">
        <x:v>361</x:v>
      </x:c>
      <x:c r="D344" s="1">
        <x:v>2</x:v>
      </x:c>
      <x:c r="E344" s="1">
        <x:v>3</x:v>
      </x:c>
      <x:c r="F344" s="1">
        <x:v>3</x:v>
      </x:c>
      <x:c r="G344" s="1" t="s">
        <x:v>1042</x:v>
      </x:c>
      <x:c r="H344" s="1">
        <x:v>38</x:v>
      </x:c>
      <x:c r="I344" s="1">
        <x:v>24</x:v>
      </x:c>
      <x:c r="J344" s="1">
        <x:v>0.72</x:v>
      </x:c>
      <x:c r="K344" s="1" t="s">
        <x:v>1130</x:v>
      </x:c>
      <x:c r="L344" s="1">
        <x:v>2.6</x:v>
      </x:c>
      <x:c r="M344" s="1">
        <x:v>2.02</x:v>
      </x:c>
      <x:c r="N344" s="1">
        <x:v>6944</x:v>
      </x:c>
      <x:c r="O344" s="1" t="s">
        <x:v>1044</x:v>
      </x:c>
      <x:c r="P344" s="42" t="str">
        <x:v>Lv60~70</x:v>
      </x:c>
      <x:c r="Q344" s="42" t="str">
        <x:v>III</x:v>
      </x:c>
      <x:c r="R344" s="42" t="str">
        <x:v>5</x:v>
      </x:c>
      <x:c r="S344" s="42" t="str">
        <x:v>Hard 북부 장벽: Stage34 약 1주 / 이후 진행</x:v>
      </x:c>
      <x:c r="T344" s="42" t="n">
        <x:v>15</x:v>
      </x:c>
      <x:c r="U344" s="42" t="n">
        <x:v>570</x:v>
      </x:c>
      <x:c r="V344" s="42" t="n">
        <x:v>168</x:v>
      </x:c>
      <x:c r="W344" s="42" t="n">
        <x:v>17</x:v>
      </x:c>
      <x:c r="X344" s="42" t="n">
        <x:v>50</x:v>
      </x:c>
      <x:c r="Y344" s="42" t="str"/>
    </x:row>
    <x:row r="345">
      <x:c r="A345" s="1">
        <x:v>35</x:v>
      </x:c>
      <x:c r="B345" s="1" t="s">
        <x:v>681</x:v>
      </x:c>
      <x:c r="C345" s="1" t="s">
        <x:v>361</x:v>
      </x:c>
      <x:c r="D345" s="1">
        <x:v>2</x:v>
      </x:c>
      <x:c r="E345" s="1">
        <x:v>3</x:v>
      </x:c>
      <x:c r="F345" s="1">
        <x:v>4</x:v>
      </x:c>
      <x:c r="G345" s="1" t="s">
        <x:v>1042</x:v>
      </x:c>
      <x:c r="H345" s="1">
        <x:v>41</x:v>
      </x:c>
      <x:c r="I345" s="1">
        <x:v>25</x:v>
      </x:c>
      <x:c r="J345" s="1">
        <x:v>0.7</x:v>
      </x:c>
      <x:c r="K345" s="1" t="s">
        <x:v>1131</x:v>
      </x:c>
      <x:c r="L345" s="1">
        <x:v>2.65</x:v>
      </x:c>
      <x:c r="M345" s="1">
        <x:v>2.06</x:v>
      </x:c>
      <x:c r="N345" s="1">
        <x:v>6944</x:v>
      </x:c>
      <x:c r="O345" s="1" t="s">
        <x:v>1047</x:v>
      </x:c>
      <x:c r="P345" s="42" t="str">
        <x:v>Lv60~70</x:v>
      </x:c>
      <x:c r="Q345" s="42" t="str">
        <x:v>III</x:v>
      </x:c>
      <x:c r="R345" s="42" t="str">
        <x:v>5</x:v>
      </x:c>
      <x:c r="S345" s="42" t="str">
        <x:v>Hard 북부 장벽: Stage34 약 1주 / 이후 진행</x:v>
      </x:c>
      <x:c r="T345" s="42" t="n">
        <x:v>15</x:v>
      </x:c>
      <x:c r="U345" s="42" t="n">
        <x:v>615</x:v>
      </x:c>
      <x:c r="V345" s="42" t="n">
        <x:v>202</x:v>
      </x:c>
      <x:c r="W345" s="42" t="n">
        <x:v>20</x:v>
      </x:c>
      <x:c r="X345" s="42" t="n">
        <x:v>61</x:v>
      </x:c>
      <x:c r="Y345" s="42" t="str"/>
    </x:row>
    <x:row r="346">
      <x:c r="A346" s="1">
        <x:v>35</x:v>
      </x:c>
      <x:c r="B346" s="1" t="s">
        <x:v>681</x:v>
      </x:c>
      <x:c r="C346" s="1" t="s">
        <x:v>361</x:v>
      </x:c>
      <x:c r="D346" s="1">
        <x:v>2</x:v>
      </x:c>
      <x:c r="E346" s="1">
        <x:v>3</x:v>
      </x:c>
      <x:c r="F346" s="1">
        <x:v>5</x:v>
      </x:c>
      <x:c r="G346" s="1" t="s">
        <x:v>1048</x:v>
      </x:c>
      <x:c r="H346" s="1">
        <x:v>35</x:v>
      </x:c>
      <x:c r="I346" s="1">
        <x:v>27</x:v>
      </x:c>
      <x:c r="J346" s="1">
        <x:v>0.68</x:v>
      </x:c>
      <x:c r="K346" s="1" t="s">
        <x:v>1210</x:v>
      </x:c>
      <x:c r="L346" s="1">
        <x:v>2.71</x:v>
      </x:c>
      <x:c r="M346" s="1">
        <x:v>2.1</x:v>
      </x:c>
      <x:c r="N346" s="1">
        <x:v>6944</x:v>
      </x:c>
      <x:c r="O346" s="1" t="s">
        <x:v>1050</x:v>
      </x:c>
      <x:c r="P346" s="42" t="str">
        <x:v>Lv60~70</x:v>
      </x:c>
      <x:c r="Q346" s="42" t="str">
        <x:v>III</x:v>
      </x:c>
      <x:c r="R346" s="42" t="str">
        <x:v>5</x:v>
      </x:c>
      <x:c r="S346" s="42" t="str">
        <x:v>Hard 북부 장벽: Stage34 약 1주 / 이후 진행</x:v>
      </x:c>
      <x:c r="T346" s="42" t="n">
        <x:v>15</x:v>
      </x:c>
      <x:c r="U346" s="42" t="n">
        <x:v>782</x:v>
      </x:c>
      <x:c r="V346" s="42" t="n">
        <x:v>336</x:v>
      </x:c>
      <x:c r="W346" s="42" t="n">
        <x:v>34</x:v>
      </x:c>
      <x:c r="X346" s="42" t="n">
        <x:v>101</x:v>
      </x:c>
      <x:c r="Y346" s="42" t="str">
        <x:v>중간보스 현상금 포함</x:v>
      </x:c>
    </x:row>
    <x:row r="347">
      <x:c r="A347" s="1">
        <x:v>35</x:v>
      </x:c>
      <x:c r="B347" s="1" t="s">
        <x:v>681</x:v>
      </x:c>
      <x:c r="C347" s="1" t="s">
        <x:v>361</x:v>
      </x:c>
      <x:c r="D347" s="1">
        <x:v>2</x:v>
      </x:c>
      <x:c r="E347" s="1">
        <x:v>3</x:v>
      </x:c>
      <x:c r="F347" s="1">
        <x:v>6</x:v>
      </x:c>
      <x:c r="G347" s="1" t="s">
        <x:v>1042</x:v>
      </x:c>
      <x:c r="H347" s="1">
        <x:v>46</x:v>
      </x:c>
      <x:c r="I347" s="1">
        <x:v>29</x:v>
      </x:c>
      <x:c r="J347" s="1">
        <x:v>0.66</x:v>
      </x:c>
      <x:c r="K347" s="1" t="s">
        <x:v>1136</x:v>
      </x:c>
      <x:c r="L347" s="1">
        <x:v>2.76</x:v>
      </x:c>
      <x:c r="M347" s="1">
        <x:v>2.14</x:v>
      </x:c>
      <x:c r="N347" s="1">
        <x:v>6944</x:v>
      </x:c>
      <x:c r="O347" s="1" t="s">
        <x:v>1052</x:v>
      </x:c>
      <x:c r="P347" s="42" t="str">
        <x:v>Lv60~70</x:v>
      </x:c>
      <x:c r="Q347" s="42" t="str">
        <x:v>III</x:v>
      </x:c>
      <x:c r="R347" s="42" t="str">
        <x:v>5</x:v>
      </x:c>
      <x:c r="S347" s="42" t="str">
        <x:v>Hard 북부 장벽: Stage34 약 1주 / 이후 진행</x:v>
      </x:c>
      <x:c r="T347" s="42" t="n">
        <x:v>15</x:v>
      </x:c>
      <x:c r="U347" s="42" t="n">
        <x:v>690</x:v>
      </x:c>
      <x:c r="V347" s="42" t="n">
        <x:v>246</x:v>
      </x:c>
      <x:c r="W347" s="42" t="n">
        <x:v>25</x:v>
      </x:c>
      <x:c r="X347" s="42" t="n">
        <x:v>74</x:v>
      </x:c>
      <x:c r="Y347" s="42" t="str"/>
    </x:row>
    <x:row r="348">
      <x:c r="A348" s="1">
        <x:v>35</x:v>
      </x:c>
      <x:c r="B348" s="1" t="s">
        <x:v>681</x:v>
      </x:c>
      <x:c r="C348" s="1" t="s">
        <x:v>361</x:v>
      </x:c>
      <x:c r="D348" s="1">
        <x:v>2</x:v>
      </x:c>
      <x:c r="E348" s="1">
        <x:v>3</x:v>
      </x:c>
      <x:c r="F348" s="1">
        <x:v>7</x:v>
      </x:c>
      <x:c r="G348" s="1" t="s">
        <x:v>1042</x:v>
      </x:c>
      <x:c r="H348" s="1">
        <x:v>48</x:v>
      </x:c>
      <x:c r="I348" s="1">
        <x:v>30</x:v>
      </x:c>
      <x:c r="J348" s="1">
        <x:v>0.64</x:v>
      </x:c>
      <x:c r="K348" s="1" t="s">
        <x:v>1126</x:v>
      </x:c>
      <x:c r="L348" s="1">
        <x:v>2.82</x:v>
      </x:c>
      <x:c r="M348" s="1">
        <x:v>2.1800000000000002</x:v>
      </x:c>
      <x:c r="N348" s="1">
        <x:v>6944</x:v>
      </x:c>
      <x:c r="O348" s="1" t="s">
        <x:v>1052</x:v>
      </x:c>
      <x:c r="P348" s="42" t="str">
        <x:v>Lv60~70</x:v>
      </x:c>
      <x:c r="Q348" s="42" t="str">
        <x:v>III</x:v>
      </x:c>
      <x:c r="R348" s="42" t="str">
        <x:v>5</x:v>
      </x:c>
      <x:c r="S348" s="42" t="str">
        <x:v>Hard 북부 장벽: Stage34 약 1주 / 이후 진행</x:v>
      </x:c>
      <x:c r="T348" s="42" t="n">
        <x:v>15</x:v>
      </x:c>
      <x:c r="U348" s="42" t="n">
        <x:v>720</x:v>
      </x:c>
      <x:c r="V348" s="42" t="n">
        <x:v>336</x:v>
      </x:c>
      <x:c r="W348" s="42" t="n">
        <x:v>34</x:v>
      </x:c>
      <x:c r="X348" s="42" t="n">
        <x:v>101</x:v>
      </x:c>
      <x:c r="Y348" s="42" t="str"/>
    </x:row>
    <x:row r="349">
      <x:c r="A349" s="1">
        <x:v>35</x:v>
      </x:c>
      <x:c r="B349" s="1" t="s">
        <x:v>681</x:v>
      </x:c>
      <x:c r="C349" s="1" t="s">
        <x:v>361</x:v>
      </x:c>
      <x:c r="D349" s="1">
        <x:v>2</x:v>
      </x:c>
      <x:c r="E349" s="1">
        <x:v>3</x:v>
      </x:c>
      <x:c r="F349" s="1">
        <x:v>8</x:v>
      </x:c>
      <x:c r="G349" s="1" t="s">
        <x:v>1042</x:v>
      </x:c>
      <x:c r="H349" s="1">
        <x:v>51</x:v>
      </x:c>
      <x:c r="I349" s="1">
        <x:v>32</x:v>
      </x:c>
      <x:c r="J349" s="1">
        <x:v>0.62</x:v>
      </x:c>
      <x:c r="K349" s="1" t="s">
        <x:v>1132</x:v>
      </x:c>
      <x:c r="L349" s="1">
        <x:v>2.88</x:v>
      </x:c>
      <x:c r="M349" s="1">
        <x:v>2.2200000000000002</x:v>
      </x:c>
      <x:c r="N349" s="1">
        <x:v>6944</x:v>
      </x:c>
      <x:c r="O349" s="1" t="s">
        <x:v>1052</x:v>
      </x:c>
      <x:c r="P349" s="42" t="str">
        <x:v>Lv60~70</x:v>
      </x:c>
      <x:c r="Q349" s="42" t="str">
        <x:v>III</x:v>
      </x:c>
      <x:c r="R349" s="42" t="str">
        <x:v>5</x:v>
      </x:c>
      <x:c r="S349" s="42" t="str">
        <x:v>Hard 북부 장벽: Stage34 약 1주 / 이후 진행</x:v>
      </x:c>
      <x:c r="T349" s="42" t="n">
        <x:v>15</x:v>
      </x:c>
      <x:c r="U349" s="42" t="n">
        <x:v>765</x:v>
      </x:c>
      <x:c r="V349" s="42" t="n">
        <x:v>448</x:v>
      </x:c>
      <x:c r="W349" s="42" t="n">
        <x:v>45</x:v>
      </x:c>
      <x:c r="X349" s="42" t="n">
        <x:v>134</x:v>
      </x:c>
      <x:c r="Y349" s="42" t="str"/>
    </x:row>
    <x:row r="350">
      <x:c r="A350" s="1">
        <x:v>35</x:v>
      </x:c>
      <x:c r="B350" s="1" t="s">
        <x:v>681</x:v>
      </x:c>
      <x:c r="C350" s="1" t="s">
        <x:v>361</x:v>
      </x:c>
      <x:c r="D350" s="1">
        <x:v>2</x:v>
      </x:c>
      <x:c r="E350" s="1">
        <x:v>3</x:v>
      </x:c>
      <x:c r="F350" s="1">
        <x:v>9</x:v>
      </x:c>
      <x:c r="G350" s="1" t="s">
        <x:v>1042</x:v>
      </x:c>
      <x:c r="H350" s="1">
        <x:v>54</x:v>
      </x:c>
      <x:c r="I350" s="1">
        <x:v>33</x:v>
      </x:c>
      <x:c r="J350" s="1">
        <x:v>0.6</x:v>
      </x:c>
      <x:c r="K350" s="1" t="s">
        <x:v>1129</x:v>
      </x:c>
      <x:c r="L350" s="1">
        <x:v>2.93</x:v>
      </x:c>
      <x:c r="M350" s="1">
        <x:v>2.2599999999999998</x:v>
      </x:c>
      <x:c r="N350" s="1">
        <x:v>6944</x:v>
      </x:c>
      <x:c r="O350" s="1" t="s">
        <x:v>1056</x:v>
      </x:c>
      <x:c r="P350" s="42" t="str">
        <x:v>Lv60~70</x:v>
      </x:c>
      <x:c r="Q350" s="42" t="str">
        <x:v>III</x:v>
      </x:c>
      <x:c r="R350" s="42" t="str">
        <x:v>5</x:v>
      </x:c>
      <x:c r="S350" s="42" t="str">
        <x:v>Hard 북부 장벽: Stage34 약 1주 / 이후 진행</x:v>
      </x:c>
      <x:c r="T350" s="42" t="n">
        <x:v>15</x:v>
      </x:c>
      <x:c r="U350" s="42" t="n">
        <x:v>810</x:v>
      </x:c>
      <x:c r="V350" s="42" t="n">
        <x:v>560</x:v>
      </x:c>
      <x:c r="W350" s="42" t="n">
        <x:v>56</x:v>
      </x:c>
      <x:c r="X350" s="42" t="n">
        <x:v>168</x:v>
      </x:c>
      <x:c r="Y350" s="42" t="str"/>
    </x:row>
    <x:row r="351">
      <x:c r="A351" s="1">
        <x:v>35</x:v>
      </x:c>
      <x:c r="B351" s="1" t="s">
        <x:v>681</x:v>
      </x:c>
      <x:c r="C351" s="1" t="s">
        <x:v>361</x:v>
      </x:c>
      <x:c r="D351" s="1">
        <x:v>2</x:v>
      </x:c>
      <x:c r="E351" s="1">
        <x:v>3</x:v>
      </x:c>
      <x:c r="F351" s="1">
        <x:v>10</x:v>
      </x:c>
      <x:c r="G351" s="1" t="s">
        <x:v>1057</x:v>
      </x:c>
      <x:c r="H351" s="1">
        <x:v>46</x:v>
      </x:c>
      <x:c r="I351" s="1">
        <x:v>35</x:v>
      </x:c>
      <x:c r="J351" s="1">
        <x:v>0.57999999999999996</x:v>
      </x:c>
      <x:c r="K351" s="1" t="s">
        <x:v>1211</x:v>
      </x:c>
      <x:c r="L351" s="1">
        <x:v>2.98</x:v>
      </x:c>
      <x:c r="M351" s="1">
        <x:v>2.2999999999999998</x:v>
      </x:c>
      <x:c r="N351" s="1">
        <x:v>6944</x:v>
      </x:c>
      <x:c r="O351" s="1" t="s">
        <x:v>1059</x:v>
      </x:c>
      <x:c r="P351" s="42" t="str">
        <x:v>Lv60~70</x:v>
      </x:c>
      <x:c r="Q351" s="42" t="str">
        <x:v>III</x:v>
      </x:c>
      <x:c r="R351" s="42" t="str">
        <x:v>5</x:v>
      </x:c>
      <x:c r="S351" s="42" t="str">
        <x:v>Hard 북부 장벽: Stage34 약 1주 / 이후 진행</x:v>
      </x:c>
      <x:c r="T351" s="42" t="n">
        <x:v>15</x:v>
      </x:c>
      <x:c r="U351" s="42" t="n">
        <x:v>675</x:v>
      </x:c>
      <x:c r="V351" s="42" t="n">
        <x:v>0</x:v>
      </x:c>
      <x:c r="W351" s="42" t="n">
        <x:v>0</x:v>
      </x:c>
      <x:c r="X351" s="42" t="n">
        <x:v>0</x:v>
      </x:c>
      <x:c r="Y351" s="42" t="str">
        <x:v>보스 처치 보상은 로비 보상으로 분리</x:v>
      </x:c>
    </x:row>
    <x:row r="352">
      <x:c r="A352" s="1">
        <x:v>36</x:v>
      </x:c>
      <x:c r="B352" s="1" t="s">
        <x:v>681</x:v>
      </x:c>
      <x:c r="C352" s="1" t="s">
        <x:v>361</x:v>
      </x:c>
      <x:c r="D352" s="1">
        <x:v>3</x:v>
      </x:c>
      <x:c r="E352" s="1">
        <x:v>4</x:v>
      </x:c>
      <x:c r="F352" s="1">
        <x:v>1</x:v>
      </x:c>
      <x:c r="G352" s="1" t="s">
        <x:v>1042</x:v>
      </x:c>
      <x:c r="H352" s="1">
        <x:v>36</x:v>
      </x:c>
      <x:c r="I352" s="1">
        <x:v>22</x:v>
      </x:c>
      <x:c r="J352" s="1">
        <x:v>0.75</x:v>
      </x:c>
      <x:c r="K352" s="1" t="s">
        <x:v>1129</x:v>
      </x:c>
      <x:c r="L352" s="1">
        <x:v>2.58</x:v>
      </x:c>
      <x:c r="M352" s="1">
        <x:v>2</x:v>
      </x:c>
      <x:c r="N352" s="1">
        <x:v>7465</x:v>
      </x:c>
      <x:c r="O352" s="1" t="s">
        <x:v>1044</x:v>
      </x:c>
      <x:c r="P352" s="42" t="str">
        <x:v>Lv60~70</x:v>
      </x:c>
      <x:c r="Q352" s="42" t="str">
        <x:v>III</x:v>
      </x:c>
      <x:c r="R352" s="42" t="str">
        <x:v>5</x:v>
      </x:c>
      <x:c r="S352" s="42" t="str">
        <x:v>Hard 북부 보스: 2~4일 보조 성장 체크</x:v>
      </x:c>
      <x:c r="T352" s="42" t="n">
        <x:v>15</x:v>
      </x:c>
      <x:c r="U352" s="42" t="n">
        <x:v>540</x:v>
      </x:c>
      <x:c r="V352" s="42" t="n">
        <x:v>112</x:v>
      </x:c>
      <x:c r="W352" s="42" t="n">
        <x:v>11</x:v>
      </x:c>
      <x:c r="X352" s="42" t="n">
        <x:v>34</x:v>
      </x:c>
      <x:c r="Y352" s="42" t="str"/>
    </x:row>
    <x:row r="353">
      <x:c r="A353" s="1">
        <x:v>36</x:v>
      </x:c>
      <x:c r="B353" s="1" t="s">
        <x:v>681</x:v>
      </x:c>
      <x:c r="C353" s="1" t="s">
        <x:v>361</x:v>
      </x:c>
      <x:c r="D353" s="1">
        <x:v>3</x:v>
      </x:c>
      <x:c r="E353" s="1">
        <x:v>4</x:v>
      </x:c>
      <x:c r="F353" s="1">
        <x:v>2</x:v>
      </x:c>
      <x:c r="G353" s="1" t="s">
        <x:v>1042</x:v>
      </x:c>
      <x:c r="H353" s="1">
        <x:v>38</x:v>
      </x:c>
      <x:c r="I353" s="1">
        <x:v>24</x:v>
      </x:c>
      <x:c r="J353" s="1">
        <x:v>0.73</x:v>
      </x:c>
      <x:c r="K353" s="1" t="s">
        <x:v>1130</x:v>
      </x:c>
      <x:c r="L353" s="1">
        <x:v>2.63</x:v>
      </x:c>
      <x:c r="M353" s="1">
        <x:v>2.04</x:v>
      </x:c>
      <x:c r="N353" s="1">
        <x:v>7465</x:v>
      </x:c>
      <x:c r="O353" s="1" t="s">
        <x:v>1044</x:v>
      </x:c>
      <x:c r="P353" s="42" t="str">
        <x:v>Lv60~70</x:v>
      </x:c>
      <x:c r="Q353" s="42" t="str">
        <x:v>III</x:v>
      </x:c>
      <x:c r="R353" s="42" t="str">
        <x:v>5</x:v>
      </x:c>
      <x:c r="S353" s="42" t="str">
        <x:v>Hard 북부 보스: 2~4일 보조 성장 체크</x:v>
      </x:c>
      <x:c r="T353" s="42" t="n">
        <x:v>15</x:v>
      </x:c>
      <x:c r="U353" s="42" t="n">
        <x:v>570</x:v>
      </x:c>
      <x:c r="V353" s="42" t="n">
        <x:v>134</x:v>
      </x:c>
      <x:c r="W353" s="42" t="n">
        <x:v>13</x:v>
      </x:c>
      <x:c r="X353" s="42" t="n">
        <x:v>40</x:v>
      </x:c>
      <x:c r="Y353" s="42" t="str"/>
    </x:row>
    <x:row r="354">
      <x:c r="A354" s="1">
        <x:v>36</x:v>
      </x:c>
      <x:c r="B354" s="1" t="s">
        <x:v>681</x:v>
      </x:c>
      <x:c r="C354" s="1" t="s">
        <x:v>361</x:v>
      </x:c>
      <x:c r="D354" s="1">
        <x:v>3</x:v>
      </x:c>
      <x:c r="E354" s="1">
        <x:v>4</x:v>
      </x:c>
      <x:c r="F354" s="1">
        <x:v>3</x:v>
      </x:c>
      <x:c r="G354" s="1" t="s">
        <x:v>1042</x:v>
      </x:c>
      <x:c r="H354" s="1">
        <x:v>41</x:v>
      </x:c>
      <x:c r="I354" s="1">
        <x:v>25</x:v>
      </x:c>
      <x:c r="J354" s="1">
        <x:v>0.71</x:v>
      </x:c>
      <x:c r="K354" s="1" t="s">
        <x:v>1139</x:v>
      </x:c>
      <x:c r="L354" s="1">
        <x:v>2.69</x:v>
      </x:c>
      <x:c r="M354" s="1">
        <x:v>2.08</x:v>
      </x:c>
      <x:c r="N354" s="1">
        <x:v>7465</x:v>
      </x:c>
      <x:c r="O354" s="1" t="s">
        <x:v>1044</x:v>
      </x:c>
      <x:c r="P354" s="42" t="str">
        <x:v>Lv60~70</x:v>
      </x:c>
      <x:c r="Q354" s="42" t="str">
        <x:v>III</x:v>
      </x:c>
      <x:c r="R354" s="42" t="str">
        <x:v>5</x:v>
      </x:c>
      <x:c r="S354" s="42" t="str">
        <x:v>Hard 북부 보스: 2~4일 보조 성장 체크</x:v>
      </x:c>
      <x:c r="T354" s="42" t="n">
        <x:v>15</x:v>
      </x:c>
      <x:c r="U354" s="42" t="n">
        <x:v>615</x:v>
      </x:c>
      <x:c r="V354" s="42" t="n">
        <x:v>168</x:v>
      </x:c>
      <x:c r="W354" s="42" t="n">
        <x:v>17</x:v>
      </x:c>
      <x:c r="X354" s="42" t="n">
        <x:v>50</x:v>
      </x:c>
      <x:c r="Y354" s="42" t="str"/>
    </x:row>
    <x:row r="355">
      <x:c r="A355" s="1">
        <x:v>36</x:v>
      </x:c>
      <x:c r="B355" s="1" t="s">
        <x:v>681</x:v>
      </x:c>
      <x:c r="C355" s="1" t="s">
        <x:v>361</x:v>
      </x:c>
      <x:c r="D355" s="1">
        <x:v>3</x:v>
      </x:c>
      <x:c r="E355" s="1">
        <x:v>4</x:v>
      </x:c>
      <x:c r="F355" s="1">
        <x:v>4</x:v>
      </x:c>
      <x:c r="G355" s="1" t="s">
        <x:v>1042</x:v>
      </x:c>
      <x:c r="H355" s="1">
        <x:v>44</x:v>
      </x:c>
      <x:c r="I355" s="1">
        <x:v>27</x:v>
      </x:c>
      <x:c r="J355" s="1">
        <x:v>0.69</x:v>
      </x:c>
      <x:c r="K355" s="1" t="s">
        <x:v>1140</x:v>
      </x:c>
      <x:c r="L355" s="1">
        <x:v>2.74</x:v>
      </x:c>
      <x:c r="M355" s="1">
        <x:v>2.12</x:v>
      </x:c>
      <x:c r="N355" s="1">
        <x:v>7465</x:v>
      </x:c>
      <x:c r="O355" s="1" t="s">
        <x:v>1047</x:v>
      </x:c>
      <x:c r="P355" s="42" t="str">
        <x:v>Lv60~70</x:v>
      </x:c>
      <x:c r="Q355" s="42" t="str">
        <x:v>III</x:v>
      </x:c>
      <x:c r="R355" s="42" t="str">
        <x:v>5</x:v>
      </x:c>
      <x:c r="S355" s="42" t="str">
        <x:v>Hard 북부 보스: 2~4일 보조 성장 체크</x:v>
      </x:c>
      <x:c r="T355" s="42" t="n">
        <x:v>15</x:v>
      </x:c>
      <x:c r="U355" s="42" t="n">
        <x:v>660</x:v>
      </x:c>
      <x:c r="V355" s="42" t="n">
        <x:v>202</x:v>
      </x:c>
      <x:c r="W355" s="42" t="n">
        <x:v>20</x:v>
      </x:c>
      <x:c r="X355" s="42" t="n">
        <x:v>61</x:v>
      </x:c>
      <x:c r="Y355" s="42" t="str"/>
    </x:row>
    <x:row r="356">
      <x:c r="A356" s="1">
        <x:v>36</x:v>
      </x:c>
      <x:c r="B356" s="1" t="s">
        <x:v>681</x:v>
      </x:c>
      <x:c r="C356" s="1" t="s">
        <x:v>361</x:v>
      </x:c>
      <x:c r="D356" s="1">
        <x:v>3</x:v>
      </x:c>
      <x:c r="E356" s="1">
        <x:v>4</x:v>
      </x:c>
      <x:c r="F356" s="1">
        <x:v>5</x:v>
      </x:c>
      <x:c r="G356" s="1" t="s">
        <x:v>1048</x:v>
      </x:c>
      <x:c r="H356" s="1">
        <x:v>38</x:v>
      </x:c>
      <x:c r="I356" s="1">
        <x:v>29</x:v>
      </x:c>
      <x:c r="J356" s="1">
        <x:v>0.67</x:v>
      </x:c>
      <x:c r="K356" s="1" t="s">
        <x:v>1212</x:v>
      </x:c>
      <x:c r="L356" s="1">
        <x:v>2.8</x:v>
      </x:c>
      <x:c r="M356" s="1">
        <x:v>2.16</x:v>
      </x:c>
      <x:c r="N356" s="1">
        <x:v>7465</x:v>
      </x:c>
      <x:c r="O356" s="1" t="s">
        <x:v>1050</x:v>
      </x:c>
      <x:c r="P356" s="42" t="str">
        <x:v>Lv60~70</x:v>
      </x:c>
      <x:c r="Q356" s="42" t="str">
        <x:v>III</x:v>
      </x:c>
      <x:c r="R356" s="42" t="str">
        <x:v>5</x:v>
      </x:c>
      <x:c r="S356" s="42" t="str">
        <x:v>Hard 북부 보스: 2~4일 보조 성장 체크</x:v>
      </x:c>
      <x:c r="T356" s="42" t="n">
        <x:v>15</x:v>
      </x:c>
      <x:c r="U356" s="42" t="n">
        <x:v>829</x:v>
      </x:c>
      <x:c r="V356" s="42" t="n">
        <x:v>336</x:v>
      </x:c>
      <x:c r="W356" s="42" t="n">
        <x:v>34</x:v>
      </x:c>
      <x:c r="X356" s="42" t="n">
        <x:v>101</x:v>
      </x:c>
      <x:c r="Y356" s="42" t="str">
        <x:v>중간보스 현상금 포함</x:v>
      </x:c>
    </x:row>
    <x:row r="357">
      <x:c r="A357" s="1">
        <x:v>36</x:v>
      </x:c>
      <x:c r="B357" s="1" t="s">
        <x:v>681</x:v>
      </x:c>
      <x:c r="C357" s="1" t="s">
        <x:v>361</x:v>
      </x:c>
      <x:c r="D357" s="1">
        <x:v>3</x:v>
      </x:c>
      <x:c r="E357" s="1">
        <x:v>4</x:v>
      </x:c>
      <x:c r="F357" s="1">
        <x:v>6</x:v>
      </x:c>
      <x:c r="G357" s="1" t="s">
        <x:v>1042</x:v>
      </x:c>
      <x:c r="H357" s="1">
        <x:v>49</x:v>
      </x:c>
      <x:c r="I357" s="1">
        <x:v>30</x:v>
      </x:c>
      <x:c r="J357" s="1">
        <x:v>0.65</x:v>
      </x:c>
      <x:c r="K357" s="1" t="s">
        <x:v>1126</x:v>
      </x:c>
      <x:c r="L357" s="1">
        <x:v>2.85</x:v>
      </x:c>
      <x:c r="M357" s="1">
        <x:v>2.2000000000000002</x:v>
      </x:c>
      <x:c r="N357" s="1">
        <x:v>7465</x:v>
      </x:c>
      <x:c r="O357" s="1" t="s">
        <x:v>1052</x:v>
      </x:c>
      <x:c r="P357" s="42" t="str">
        <x:v>Lv60~70</x:v>
      </x:c>
      <x:c r="Q357" s="42" t="str">
        <x:v>III</x:v>
      </x:c>
      <x:c r="R357" s="42" t="str">
        <x:v>5</x:v>
      </x:c>
      <x:c r="S357" s="42" t="str">
        <x:v>Hard 북부 보스: 2~4일 보조 성장 체크</x:v>
      </x:c>
      <x:c r="T357" s="42" t="n">
        <x:v>15</x:v>
      </x:c>
      <x:c r="U357" s="42" t="n">
        <x:v>735</x:v>
      </x:c>
      <x:c r="V357" s="42" t="n">
        <x:v>246</x:v>
      </x:c>
      <x:c r="W357" s="42" t="n">
        <x:v>25</x:v>
      </x:c>
      <x:c r="X357" s="42" t="n">
        <x:v>74</x:v>
      </x:c>
      <x:c r="Y357" s="42" t="str"/>
    </x:row>
    <x:row r="358">
      <x:c r="A358" s="1">
        <x:v>36</x:v>
      </x:c>
      <x:c r="B358" s="1" t="s">
        <x:v>681</x:v>
      </x:c>
      <x:c r="C358" s="1" t="s">
        <x:v>361</x:v>
      </x:c>
      <x:c r="D358" s="1">
        <x:v>3</x:v>
      </x:c>
      <x:c r="E358" s="1">
        <x:v>4</x:v>
      </x:c>
      <x:c r="F358" s="1">
        <x:v>7</x:v>
      </x:c>
      <x:c r="G358" s="1" t="s">
        <x:v>1042</x:v>
      </x:c>
      <x:c r="H358" s="1">
        <x:v>51</x:v>
      </x:c>
      <x:c r="I358" s="1">
        <x:v>32</x:v>
      </x:c>
      <x:c r="J358" s="1">
        <x:v>0.63</x:v>
      </x:c>
      <x:c r="K358" s="1" t="s">
        <x:v>1132</x:v>
      </x:c>
      <x:c r="L358" s="1">
        <x:v>2.91</x:v>
      </x:c>
      <x:c r="M358" s="1">
        <x:v>2.2400000000000002</x:v>
      </x:c>
      <x:c r="N358" s="1">
        <x:v>7465</x:v>
      </x:c>
      <x:c r="O358" s="1" t="s">
        <x:v>1052</x:v>
      </x:c>
      <x:c r="P358" s="42" t="str">
        <x:v>Lv60~70</x:v>
      </x:c>
      <x:c r="Q358" s="42" t="str">
        <x:v>III</x:v>
      </x:c>
      <x:c r="R358" s="42" t="str">
        <x:v>5</x:v>
      </x:c>
      <x:c r="S358" s="42" t="str">
        <x:v>Hard 북부 보스: 2~4일 보조 성장 체크</x:v>
      </x:c>
      <x:c r="T358" s="42" t="n">
        <x:v>15</x:v>
      </x:c>
      <x:c r="U358" s="42" t="n">
        <x:v>765</x:v>
      </x:c>
      <x:c r="V358" s="42" t="n">
        <x:v>336</x:v>
      </x:c>
      <x:c r="W358" s="42" t="n">
        <x:v>34</x:v>
      </x:c>
      <x:c r="X358" s="42" t="n">
        <x:v>101</x:v>
      </x:c>
      <x:c r="Y358" s="42" t="str"/>
    </x:row>
    <x:row r="359">
      <x:c r="A359" s="1">
        <x:v>36</x:v>
      </x:c>
      <x:c r="B359" s="1" t="s">
        <x:v>681</x:v>
      </x:c>
      <x:c r="C359" s="1" t="s">
        <x:v>361</x:v>
      </x:c>
      <x:c r="D359" s="1">
        <x:v>3</x:v>
      </x:c>
      <x:c r="E359" s="1">
        <x:v>4</x:v>
      </x:c>
      <x:c r="F359" s="1">
        <x:v>8</x:v>
      </x:c>
      <x:c r="G359" s="1" t="s">
        <x:v>1042</x:v>
      </x:c>
      <x:c r="H359" s="1">
        <x:v>54</x:v>
      </x:c>
      <x:c r="I359" s="1">
        <x:v>33</x:v>
      </x:c>
      <x:c r="J359" s="1">
        <x:v>0.61</x:v>
      </x:c>
      <x:c r="K359" s="1" t="s">
        <x:v>1129</x:v>
      </x:c>
      <x:c r="L359" s="1">
        <x:v>2.96</x:v>
      </x:c>
      <x:c r="M359" s="1">
        <x:v>2.2799999999999998</x:v>
      </x:c>
      <x:c r="N359" s="1">
        <x:v>7465</x:v>
      </x:c>
      <x:c r="O359" s="1" t="s">
        <x:v>1052</x:v>
      </x:c>
      <x:c r="P359" s="42" t="str">
        <x:v>Lv60~70</x:v>
      </x:c>
      <x:c r="Q359" s="42" t="str">
        <x:v>III</x:v>
      </x:c>
      <x:c r="R359" s="42" t="str">
        <x:v>5</x:v>
      </x:c>
      <x:c r="S359" s="42" t="str">
        <x:v>Hard 북부 보스: 2~4일 보조 성장 체크</x:v>
      </x:c>
      <x:c r="T359" s="42" t="n">
        <x:v>15</x:v>
      </x:c>
      <x:c r="U359" s="42" t="n">
        <x:v>810</x:v>
      </x:c>
      <x:c r="V359" s="42" t="n">
        <x:v>448</x:v>
      </x:c>
      <x:c r="W359" s="42" t="n">
        <x:v>45</x:v>
      </x:c>
      <x:c r="X359" s="42" t="n">
        <x:v>134</x:v>
      </x:c>
      <x:c r="Y359" s="42" t="str"/>
    </x:row>
    <x:row r="360">
      <x:c r="A360" s="1">
        <x:v>36</x:v>
      </x:c>
      <x:c r="B360" s="1" t="s">
        <x:v>681</x:v>
      </x:c>
      <x:c r="C360" s="1" t="s">
        <x:v>361</x:v>
      </x:c>
      <x:c r="D360" s="1">
        <x:v>3</x:v>
      </x:c>
      <x:c r="E360" s="1">
        <x:v>4</x:v>
      </x:c>
      <x:c r="F360" s="1">
        <x:v>9</x:v>
      </x:c>
      <x:c r="G360" s="1" t="s">
        <x:v>1042</x:v>
      </x:c>
      <x:c r="H360" s="1">
        <x:v>57</x:v>
      </x:c>
      <x:c r="I360" s="1">
        <x:v>35</x:v>
      </x:c>
      <x:c r="J360" s="1">
        <x:v>0.59</x:v>
      </x:c>
      <x:c r="K360" s="1" t="s">
        <x:v>1213</x:v>
      </x:c>
      <x:c r="L360" s="1">
        <x:v>3.02</x:v>
      </x:c>
      <x:c r="M360" s="1">
        <x:v>2.3199999999999998</x:v>
      </x:c>
      <x:c r="N360" s="1">
        <x:v>7465</x:v>
      </x:c>
      <x:c r="O360" s="1" t="s">
        <x:v>1056</x:v>
      </x:c>
      <x:c r="P360" s="42" t="str">
        <x:v>Lv60~70</x:v>
      </x:c>
      <x:c r="Q360" s="42" t="str">
        <x:v>III</x:v>
      </x:c>
      <x:c r="R360" s="42" t="str">
        <x:v>5</x:v>
      </x:c>
      <x:c r="S360" s="42" t="str">
        <x:v>Hard 북부 보스: 2~4일 보조 성장 체크</x:v>
      </x:c>
      <x:c r="T360" s="42" t="n">
        <x:v>15</x:v>
      </x:c>
      <x:c r="U360" s="42" t="n">
        <x:v>855</x:v>
      </x:c>
      <x:c r="V360" s="42" t="n">
        <x:v>560</x:v>
      </x:c>
      <x:c r="W360" s="42" t="n">
        <x:v>56</x:v>
      </x:c>
      <x:c r="X360" s="42" t="n">
        <x:v>168</x:v>
      </x:c>
      <x:c r="Y360" s="42" t="str"/>
    </x:row>
    <x:row r="361">
      <x:c r="A361" s="1">
        <x:v>36</x:v>
      </x:c>
      <x:c r="B361" s="1" t="s">
        <x:v>681</x:v>
      </x:c>
      <x:c r="C361" s="1" t="s">
        <x:v>361</x:v>
      </x:c>
      <x:c r="D361" s="1">
        <x:v>3</x:v>
      </x:c>
      <x:c r="E361" s="1">
        <x:v>4</x:v>
      </x:c>
      <x:c r="F361" s="1">
        <x:v>10</x:v>
      </x:c>
      <x:c r="G361" s="1" t="s">
        <x:v>1057</x:v>
      </x:c>
      <x:c r="H361" s="1">
        <x:v>49</x:v>
      </x:c>
      <x:c r="I361" s="1">
        <x:v>37</x:v>
      </x:c>
      <x:c r="J361" s="1">
        <x:v>0.56999999999999995</x:v>
      </x:c>
      <x:c r="K361" s="1" t="str">
        <x:v>침식에 물들은 북부의 설화 1 + 호위 일반몹 48</x:v>
      </x:c>
      <x:c r="L361" s="1">
        <x:v>3.07</x:v>
      </x:c>
      <x:c r="M361" s="1">
        <x:v>2.36</x:v>
      </x:c>
      <x:c r="N361" s="1">
        <x:v>7465</x:v>
      </x:c>
      <x:c r="O361" s="1" t="s">
        <x:v>1059</x:v>
      </x:c>
      <x:c r="P361" s="42" t="str">
        <x:v>Lv60~70</x:v>
      </x:c>
      <x:c r="Q361" s="42" t="str">
        <x:v>III</x:v>
      </x:c>
      <x:c r="R361" s="42" t="str">
        <x:v>5</x:v>
      </x:c>
      <x:c r="S361" s="42" t="str">
        <x:v>Hard 북부 보스: 2~4일 보조 성장 체크</x:v>
      </x:c>
      <x:c r="T361" s="42" t="n">
        <x:v>15</x:v>
      </x:c>
      <x:c r="U361" s="42" t="n">
        <x:v>720</x:v>
      </x:c>
      <x:c r="V361" s="42" t="n">
        <x:v>0</x:v>
      </x:c>
      <x:c r="W361" s="42" t="n">
        <x:v>0</x:v>
      </x:c>
      <x:c r="X361" s="42" t="n">
        <x:v>0</x:v>
      </x:c>
      <x:c r="Y361" s="42" t="str">
        <x:v>보스 처치 보상은 로비 보상으로 분리</x:v>
      </x:c>
    </x:row>
    <x:row r="362">
      <x:c r="A362" s="1">
        <x:v>37</x:v>
      </x:c>
      <x:c r="B362" s="1" t="s">
        <x:v>681</x:v>
      </x:c>
      <x:c r="C362" s="1" t="s">
        <x:v>269</x:v>
      </x:c>
      <x:c r="D362" s="1">
        <x:v>1</x:v>
      </x:c>
      <x:c r="E362" s="1">
        <x:v>3</x:v>
      </x:c>
      <x:c r="F362" s="1">
        <x:v>1</x:v>
      </x:c>
      <x:c r="G362" s="1" t="s">
        <x:v>1042</x:v>
      </x:c>
      <x:c r="H362" s="1">
        <x:v>35</x:v>
      </x:c>
      <x:c r="I362" s="1">
        <x:v>22</x:v>
      </x:c>
      <x:c r="J362" s="1">
        <x:v>0.75</x:v>
      </x:c>
      <x:c r="K362" s="1" t="s">
        <x:v>1073</x:v>
      </x:c>
      <x:c r="L362" s="1">
        <x:v>2.66</x:v>
      </x:c>
      <x:c r="M362" s="1">
        <x:v>2.06</x:v>
      </x:c>
      <x:c r="N362" s="1">
        <x:v>8025</x:v>
      </x:c>
      <x:c r="O362" s="1" t="s">
        <x:v>1044</x:v>
      </x:c>
      <x:c r="P362" s="42" t="str">
        <x:v>Lv70~85</x:v>
      </x:c>
      <x:c r="Q362" s="42" t="str">
        <x:v>III~IV</x:v>
      </x:c>
      <x:c r="R362" s="42" t="str">
        <x:v>5</x:v>
      </x:c>
      <x:c r="S362" s="42" t="str">
        <x:v>Hard 중후반: 주요 벽 7~10일 / 사이 스테이지 연속 진행</x:v>
      </x:c>
      <x:c r="T362" s="42" t="n">
        <x:v>16</x:v>
      </x:c>
      <x:c r="U362" s="42" t="n">
        <x:v>560</x:v>
      </x:c>
      <x:c r="V362" s="42" t="n">
        <x:v>115</x:v>
      </x:c>
      <x:c r="W362" s="42" t="n">
        <x:v>12</x:v>
      </x:c>
      <x:c r="X362" s="42" t="n">
        <x:v>34</x:v>
      </x:c>
      <x:c r="Y362" s="42" t="str"/>
    </x:row>
    <x:row r="363">
      <x:c r="A363" s="1">
        <x:v>37</x:v>
      </x:c>
      <x:c r="B363" s="1" t="s">
        <x:v>681</x:v>
      </x:c>
      <x:c r="C363" s="1" t="s">
        <x:v>269</x:v>
      </x:c>
      <x:c r="D363" s="1">
        <x:v>1</x:v>
      </x:c>
      <x:c r="E363" s="1">
        <x:v>3</x:v>
      </x:c>
      <x:c r="F363" s="1">
        <x:v>2</x:v>
      </x:c>
      <x:c r="G363" s="1" t="s">
        <x:v>1042</x:v>
      </x:c>
      <x:c r="H363" s="1">
        <x:v>38</x:v>
      </x:c>
      <x:c r="I363" s="1">
        <x:v>24</x:v>
      </x:c>
      <x:c r="J363" s="1">
        <x:v>0.73</x:v>
      </x:c>
      <x:c r="K363" s="1" t="s">
        <x:v>1082</x:v>
      </x:c>
      <x:c r="L363" s="1">
        <x:v>2.72</x:v>
      </x:c>
      <x:c r="M363" s="1">
        <x:v>2.1</x:v>
      </x:c>
      <x:c r="N363" s="1">
        <x:v>8025</x:v>
      </x:c>
      <x:c r="O363" s="1" t="s">
        <x:v>1044</x:v>
      </x:c>
      <x:c r="P363" s="42" t="str">
        <x:v>Lv70~85</x:v>
      </x:c>
      <x:c r="Q363" s="42" t="str">
        <x:v>III~IV</x:v>
      </x:c>
      <x:c r="R363" s="42" t="str">
        <x:v>5</x:v>
      </x:c>
      <x:c r="S363" s="42" t="str">
        <x:v>Hard 중후반: 주요 벽 7~10일 / 사이 스테이지 연속 진행</x:v>
      </x:c>
      <x:c r="T363" s="42" t="n">
        <x:v>16</x:v>
      </x:c>
      <x:c r="U363" s="42" t="n">
        <x:v>608</x:v>
      </x:c>
      <x:c r="V363" s="42" t="n">
        <x:v>138</x:v>
      </x:c>
      <x:c r="W363" s="42" t="n">
        <x:v>14</x:v>
      </x:c>
      <x:c r="X363" s="42" t="n">
        <x:v>41</x:v>
      </x:c>
      <x:c r="Y363" s="42" t="str"/>
    </x:row>
    <x:row r="364">
      <x:c r="A364" s="1">
        <x:v>37</x:v>
      </x:c>
      <x:c r="B364" s="1" t="s">
        <x:v>681</x:v>
      </x:c>
      <x:c r="C364" s="1" t="s">
        <x:v>269</x:v>
      </x:c>
      <x:c r="D364" s="1">
        <x:v>1</x:v>
      </x:c>
      <x:c r="E364" s="1">
        <x:v>3</x:v>
      </x:c>
      <x:c r="F364" s="1">
        <x:v>3</x:v>
      </x:c>
      <x:c r="G364" s="1" t="s">
        <x:v>1042</x:v>
      </x:c>
      <x:c r="H364" s="1">
        <x:v>40</x:v>
      </x:c>
      <x:c r="I364" s="1">
        <x:v>25</x:v>
      </x:c>
      <x:c r="J364" s="1">
        <x:v>0.71</x:v>
      </x:c>
      <x:c r="K364" s="1" t="s">
        <x:v>1082</x:v>
      </x:c>
      <x:c r="L364" s="1">
        <x:v>2.77</x:v>
      </x:c>
      <x:c r="M364" s="1">
        <x:v>2.14</x:v>
      </x:c>
      <x:c r="N364" s="1">
        <x:v>8025</x:v>
      </x:c>
      <x:c r="O364" s="1" t="s">
        <x:v>1044</x:v>
      </x:c>
      <x:c r="P364" s="42" t="str">
        <x:v>Lv70~85</x:v>
      </x:c>
      <x:c r="Q364" s="42" t="str">
        <x:v>III~IV</x:v>
      </x:c>
      <x:c r="R364" s="42" t="str">
        <x:v>5</x:v>
      </x:c>
      <x:c r="S364" s="42" t="str">
        <x:v>Hard 중후반: 주요 벽 7~10일 / 사이 스테이지 연속 진행</x:v>
      </x:c>
      <x:c r="T364" s="42" t="n">
        <x:v>16</x:v>
      </x:c>
      <x:c r="U364" s="42" t="n">
        <x:v>640</x:v>
      </x:c>
      <x:c r="V364" s="42" t="n">
        <x:v>172</x:v>
      </x:c>
      <x:c r="W364" s="42" t="n">
        <x:v>17</x:v>
      </x:c>
      <x:c r="X364" s="42" t="n">
        <x:v>52</x:v>
      </x:c>
      <x:c r="Y364" s="42" t="str"/>
    </x:row>
    <x:row r="365">
      <x:c r="A365" s="1">
        <x:v>37</x:v>
      </x:c>
      <x:c r="B365" s="1" t="s">
        <x:v>681</x:v>
      </x:c>
      <x:c r="C365" s="1" t="s">
        <x:v>269</x:v>
      </x:c>
      <x:c r="D365" s="1">
        <x:v>1</x:v>
      </x:c>
      <x:c r="E365" s="1">
        <x:v>3</x:v>
      </x:c>
      <x:c r="F365" s="1">
        <x:v>4</x:v>
      </x:c>
      <x:c r="G365" s="1" t="s">
        <x:v>1042</x:v>
      </x:c>
      <x:c r="H365" s="1">
        <x:v>43</x:v>
      </x:c>
      <x:c r="I365" s="1">
        <x:v>27</x:v>
      </x:c>
      <x:c r="J365" s="1">
        <x:v>0.69</x:v>
      </x:c>
      <x:c r="K365" s="1" t="s">
        <x:v>1074</x:v>
      </x:c>
      <x:c r="L365" s="1">
        <x:v>2.83</x:v>
      </x:c>
      <x:c r="M365" s="1">
        <x:v>2.1800000000000002</x:v>
      </x:c>
      <x:c r="N365" s="1">
        <x:v>8025</x:v>
      </x:c>
      <x:c r="O365" s="1" t="s">
        <x:v>1047</x:v>
      </x:c>
      <x:c r="P365" s="42" t="str">
        <x:v>Lv70~85</x:v>
      </x:c>
      <x:c r="Q365" s="42" t="str">
        <x:v>III~IV</x:v>
      </x:c>
      <x:c r="R365" s="42" t="str">
        <x:v>5</x:v>
      </x:c>
      <x:c r="S365" s="42" t="str">
        <x:v>Hard 중후반: 주요 벽 7~10일 / 사이 스테이지 연속 진행</x:v>
      </x:c>
      <x:c r="T365" s="42" t="n">
        <x:v>16</x:v>
      </x:c>
      <x:c r="U365" s="42" t="n">
        <x:v>688</x:v>
      </x:c>
      <x:c r="V365" s="42" t="n">
        <x:v>207</x:v>
      </x:c>
      <x:c r="W365" s="42" t="n">
        <x:v>21</x:v>
      </x:c>
      <x:c r="X365" s="42" t="n">
        <x:v>62</x:v>
      </x:c>
      <x:c r="Y365" s="42" t="str"/>
    </x:row>
    <x:row r="366">
      <x:c r="A366" s="1">
        <x:v>37</x:v>
      </x:c>
      <x:c r="B366" s="1" t="s">
        <x:v>681</x:v>
      </x:c>
      <x:c r="C366" s="1" t="s">
        <x:v>269</x:v>
      </x:c>
      <x:c r="D366" s="1">
        <x:v>1</x:v>
      </x:c>
      <x:c r="E366" s="1">
        <x:v>3</x:v>
      </x:c>
      <x:c r="F366" s="1">
        <x:v>5</x:v>
      </x:c>
      <x:c r="G366" s="1" t="s">
        <x:v>1048</x:v>
      </x:c>
      <x:c r="H366" s="1">
        <x:v>37</x:v>
      </x:c>
      <x:c r="I366" s="1">
        <x:v>28</x:v>
      </x:c>
      <x:c r="J366" s="1">
        <x:v>0.67</x:v>
      </x:c>
      <x:c r="K366" s="1" t="s">
        <x:v>1214</x:v>
      </x:c>
      <x:c r="L366" s="1">
        <x:v>2.88</x:v>
      </x:c>
      <x:c r="M366" s="1">
        <x:v>2.2200000000000002</x:v>
      </x:c>
      <x:c r="N366" s="1">
        <x:v>8025</x:v>
      </x:c>
      <x:c r="O366" s="1" t="s">
        <x:v>1050</x:v>
      </x:c>
      <x:c r="P366" s="42" t="str">
        <x:v>Lv70~85</x:v>
      </x:c>
      <x:c r="Q366" s="42" t="str">
        <x:v>III~IV</x:v>
      </x:c>
      <x:c r="R366" s="42" t="str">
        <x:v>5</x:v>
      </x:c>
      <x:c r="S366" s="42" t="str">
        <x:v>Hard 중후반: 주요 벽 7~10일 / 사이 스테이지 연속 진행</x:v>
      </x:c>
      <x:c r="T366" s="42" t="n">
        <x:v>16</x:v>
      </x:c>
      <x:c r="U366" s="42" t="n">
        <x:v>853</x:v>
      </x:c>
      <x:c r="V366" s="42" t="n">
        <x:v>345</x:v>
      </x:c>
      <x:c r="W366" s="42" t="n">
        <x:v>34</x:v>
      </x:c>
      <x:c r="X366" s="42" t="n">
        <x:v>104</x:v>
      </x:c>
      <x:c r="Y366" s="42" t="str">
        <x:v>중간보스 현상금 포함</x:v>
      </x:c>
    </x:row>
    <x:row r="367">
      <x:c r="A367" s="1">
        <x:v>37</x:v>
      </x:c>
      <x:c r="B367" s="1" t="s">
        <x:v>681</x:v>
      </x:c>
      <x:c r="C367" s="1" t="s">
        <x:v>269</x:v>
      </x:c>
      <x:c r="D367" s="1">
        <x:v>1</x:v>
      </x:c>
      <x:c r="E367" s="1">
        <x:v>3</x:v>
      </x:c>
      <x:c r="F367" s="1">
        <x:v>6</x:v>
      </x:c>
      <x:c r="G367" s="1" t="s">
        <x:v>1042</x:v>
      </x:c>
      <x:c r="H367" s="1">
        <x:v>48</x:v>
      </x:c>
      <x:c r="I367" s="1">
        <x:v>30</x:v>
      </x:c>
      <x:c r="J367" s="1">
        <x:v>0.65</x:v>
      </x:c>
      <x:c r="K367" s="1" t="s">
        <x:v>1078</x:v>
      </x:c>
      <x:c r="L367" s="1">
        <x:v>2.94</x:v>
      </x:c>
      <x:c r="M367" s="1">
        <x:v>2.2599999999999998</x:v>
      </x:c>
      <x:c r="N367" s="1">
        <x:v>8025</x:v>
      </x:c>
      <x:c r="O367" s="1" t="s">
        <x:v>1052</x:v>
      </x:c>
      <x:c r="P367" s="42" t="str">
        <x:v>Lv70~85</x:v>
      </x:c>
      <x:c r="Q367" s="42" t="str">
        <x:v>III~IV</x:v>
      </x:c>
      <x:c r="R367" s="42" t="str">
        <x:v>5</x:v>
      </x:c>
      <x:c r="S367" s="42" t="str">
        <x:v>Hard 중후반: 주요 벽 7~10일 / 사이 스테이지 연속 진행</x:v>
      </x:c>
      <x:c r="T367" s="42" t="n">
        <x:v>16</x:v>
      </x:c>
      <x:c r="U367" s="42" t="n">
        <x:v>768</x:v>
      </x:c>
      <x:c r="V367" s="42" t="n">
        <x:v>253</x:v>
      </x:c>
      <x:c r="W367" s="42" t="n">
        <x:v>25</x:v>
      </x:c>
      <x:c r="X367" s="42" t="n">
        <x:v>76</x:v>
      </x:c>
      <x:c r="Y367" s="42" t="str"/>
    </x:row>
    <x:row r="368">
      <x:c r="A368" s="1">
        <x:v>37</x:v>
      </x:c>
      <x:c r="B368" s="1" t="s">
        <x:v>681</x:v>
      </x:c>
      <x:c r="C368" s="1" t="s">
        <x:v>269</x:v>
      </x:c>
      <x:c r="D368" s="1">
        <x:v>1</x:v>
      </x:c>
      <x:c r="E368" s="1">
        <x:v>3</x:v>
      </x:c>
      <x:c r="F368" s="1">
        <x:v>7</x:v>
      </x:c>
      <x:c r="G368" s="1" t="s">
        <x:v>1042</x:v>
      </x:c>
      <x:c r="H368" s="1">
        <x:v>50</x:v>
      </x:c>
      <x:c r="I368" s="1">
        <x:v>31</x:v>
      </x:c>
      <x:c r="J368" s="1">
        <x:v>0.63</x:v>
      </x:c>
      <x:c r="K368" s="1" t="s">
        <x:v>1079</x:v>
      </x:c>
      <x:c r="L368" s="1">
        <x:v>2.99</x:v>
      </x:c>
      <x:c r="M368" s="1">
        <x:v>2.2999999999999998</x:v>
      </x:c>
      <x:c r="N368" s="1">
        <x:v>8025</x:v>
      </x:c>
      <x:c r="O368" s="1" t="s">
        <x:v>1052</x:v>
      </x:c>
      <x:c r="P368" s="42" t="str">
        <x:v>Lv70~85</x:v>
      </x:c>
      <x:c r="Q368" s="42" t="str">
        <x:v>III~IV</x:v>
      </x:c>
      <x:c r="R368" s="42" t="str">
        <x:v>5</x:v>
      </x:c>
      <x:c r="S368" s="42" t="str">
        <x:v>Hard 중후반: 주요 벽 7~10일 / 사이 스테이지 연속 진행</x:v>
      </x:c>
      <x:c r="T368" s="42" t="n">
        <x:v>16</x:v>
      </x:c>
      <x:c r="U368" s="42" t="n">
        <x:v>800</x:v>
      </x:c>
      <x:c r="V368" s="42" t="n">
        <x:v>345</x:v>
      </x:c>
      <x:c r="W368" s="42" t="n">
        <x:v>34</x:v>
      </x:c>
      <x:c r="X368" s="42" t="n">
        <x:v>104</x:v>
      </x:c>
      <x:c r="Y368" s="42" t="str"/>
    </x:row>
    <x:row r="369">
      <x:c r="A369" s="1">
        <x:v>37</x:v>
      </x:c>
      <x:c r="B369" s="1" t="s">
        <x:v>681</x:v>
      </x:c>
      <x:c r="C369" s="1" t="s">
        <x:v>269</x:v>
      </x:c>
      <x:c r="D369" s="1">
        <x:v>1</x:v>
      </x:c>
      <x:c r="E369" s="1">
        <x:v>3</x:v>
      </x:c>
      <x:c r="F369" s="1">
        <x:v>8</x:v>
      </x:c>
      <x:c r="G369" s="1" t="s">
        <x:v>1042</x:v>
      </x:c>
      <x:c r="H369" s="1">
        <x:v>53</x:v>
      </x:c>
      <x:c r="I369" s="1">
        <x:v>33</x:v>
      </x:c>
      <x:c r="J369" s="1">
        <x:v>0.61</x:v>
      </x:c>
      <x:c r="K369" s="1" t="s">
        <x:v>1082</x:v>
      </x:c>
      <x:c r="L369" s="1">
        <x:v>3.04</x:v>
      </x:c>
      <x:c r="M369" s="1">
        <x:v>2.34</x:v>
      </x:c>
      <x:c r="N369" s="1">
        <x:v>8025</x:v>
      </x:c>
      <x:c r="O369" s="1" t="s">
        <x:v>1052</x:v>
      </x:c>
      <x:c r="P369" s="42" t="str">
        <x:v>Lv70~85</x:v>
      </x:c>
      <x:c r="Q369" s="42" t="str">
        <x:v>III~IV</x:v>
      </x:c>
      <x:c r="R369" s="42" t="str">
        <x:v>5</x:v>
      </x:c>
      <x:c r="S369" s="42" t="str">
        <x:v>Hard 중후반: 주요 벽 7~10일 / 사이 스테이지 연속 진행</x:v>
      </x:c>
      <x:c r="T369" s="42" t="n">
        <x:v>16</x:v>
      </x:c>
      <x:c r="U369" s="42" t="n">
        <x:v>848</x:v>
      </x:c>
      <x:c r="V369" s="42" t="n">
        <x:v>460</x:v>
      </x:c>
      <x:c r="W369" s="42" t="n">
        <x:v>46</x:v>
      </x:c>
      <x:c r="X369" s="42" t="n">
        <x:v>138</x:v>
      </x:c>
      <x:c r="Y369" s="42" t="str"/>
    </x:row>
    <x:row r="370">
      <x:c r="A370" s="1">
        <x:v>37</x:v>
      </x:c>
      <x:c r="B370" s="1" t="s">
        <x:v>681</x:v>
      </x:c>
      <x:c r="C370" s="1" t="s">
        <x:v>269</x:v>
      </x:c>
      <x:c r="D370" s="1">
        <x:v>1</x:v>
      </x:c>
      <x:c r="E370" s="1">
        <x:v>3</x:v>
      </x:c>
      <x:c r="F370" s="1">
        <x:v>9</x:v>
      </x:c>
      <x:c r="G370" s="1" t="s">
        <x:v>1042</x:v>
      </x:c>
      <x:c r="H370" s="1">
        <x:v>56</x:v>
      </x:c>
      <x:c r="I370" s="1">
        <x:v>35</x:v>
      </x:c>
      <x:c r="J370" s="1">
        <x:v>0.59</x:v>
      </x:c>
      <x:c r="K370" s="1" t="s">
        <x:v>1087</x:v>
      </x:c>
      <x:c r="L370" s="1">
        <x:v>3.1</x:v>
      </x:c>
      <x:c r="M370" s="1">
        <x:v>2.38</x:v>
      </x:c>
      <x:c r="N370" s="1">
        <x:v>8025</x:v>
      </x:c>
      <x:c r="O370" s="1" t="s">
        <x:v>1056</x:v>
      </x:c>
      <x:c r="P370" s="42" t="str">
        <x:v>Lv70~85</x:v>
      </x:c>
      <x:c r="Q370" s="42" t="str">
        <x:v>III~IV</x:v>
      </x:c>
      <x:c r="R370" s="42" t="str">
        <x:v>5</x:v>
      </x:c>
      <x:c r="S370" s="42" t="str">
        <x:v>Hard 중후반: 주요 벽 7~10일 / 사이 스테이지 연속 진행</x:v>
      </x:c>
      <x:c r="T370" s="42" t="n">
        <x:v>16</x:v>
      </x:c>
      <x:c r="U370" s="42" t="n">
        <x:v>896</x:v>
      </x:c>
      <x:c r="V370" s="42" t="n">
        <x:v>575</x:v>
      </x:c>
      <x:c r="W370" s="42" t="n">
        <x:v>58</x:v>
      </x:c>
      <x:c r="X370" s="42" t="n">
        <x:v>172</x:v>
      </x:c>
      <x:c r="Y370" s="42" t="str"/>
    </x:row>
    <x:row r="371">
      <x:c r="A371" s="1">
        <x:v>37</x:v>
      </x:c>
      <x:c r="B371" s="1" t="s">
        <x:v>681</x:v>
      </x:c>
      <x:c r="C371" s="1" t="s">
        <x:v>269</x:v>
      </x:c>
      <x:c r="D371" s="1">
        <x:v>1</x:v>
      </x:c>
      <x:c r="E371" s="1">
        <x:v>3</x:v>
      </x:c>
      <x:c r="F371" s="1">
        <x:v>10</x:v>
      </x:c>
      <x:c r="G371" s="1" t="s">
        <x:v>1057</x:v>
      </x:c>
      <x:c r="H371" s="1">
        <x:v>48</x:v>
      </x:c>
      <x:c r="I371" s="1">
        <x:v>36</x:v>
      </x:c>
      <x:c r="J371" s="1">
        <x:v>0.56999999999999995</x:v>
      </x:c>
      <x:c r="K371" s="1" t="s">
        <x:v>1215</x:v>
      </x:c>
      <x:c r="L371" s="1">
        <x:v>3.16</x:v>
      </x:c>
      <x:c r="M371" s="1">
        <x:v>2.42</x:v>
      </x:c>
      <x:c r="N371" s="1">
        <x:v>8025</x:v>
      </x:c>
      <x:c r="O371" s="1" t="s">
        <x:v>1059</x:v>
      </x:c>
      <x:c r="P371" s="42" t="str">
        <x:v>Lv70~85</x:v>
      </x:c>
      <x:c r="Q371" s="42" t="str">
        <x:v>III~IV</x:v>
      </x:c>
      <x:c r="R371" s="42" t="str">
        <x:v>5</x:v>
      </x:c>
      <x:c r="S371" s="42" t="str">
        <x:v>Hard 중후반: 주요 벽 7~10일 / 사이 스테이지 연속 진행</x:v>
      </x:c>
      <x:c r="T371" s="42" t="n">
        <x:v>16</x:v>
      </x:c>
      <x:c r="U371" s="42" t="n">
        <x:v>752</x:v>
      </x:c>
      <x:c r="V371" s="42" t="n">
        <x:v>0</x:v>
      </x:c>
      <x:c r="W371" s="42" t="n">
        <x:v>0</x:v>
      </x:c>
      <x:c r="X371" s="42" t="n">
        <x:v>0</x:v>
      </x:c>
      <x:c r="Y371" s="42" t="str">
        <x:v>보스 처치 보상은 로비 보상으로 분리</x:v>
      </x:c>
    </x:row>
    <x:row r="372">
      <x:c r="A372" s="1">
        <x:v>38</x:v>
      </x:c>
      <x:c r="B372" s="1" t="s">
        <x:v>681</x:v>
      </x:c>
      <x:c r="C372" s="1" t="s">
        <x:v>269</x:v>
      </x:c>
      <x:c r="D372" s="1">
        <x:v>2</x:v>
      </x:c>
      <x:c r="E372" s="1">
        <x:v>3</x:v>
      </x:c>
      <x:c r="F372" s="1">
        <x:v>1</x:v>
      </x:c>
      <x:c r="G372" s="1" t="s">
        <x:v>1042</x:v>
      </x:c>
      <x:c r="H372" s="1">
        <x:v>36</x:v>
      </x:c>
      <x:c r="I372" s="1">
        <x:v>22</x:v>
      </x:c>
      <x:c r="J372" s="1">
        <x:v>0.74</x:v>
      </x:c>
      <x:c r="K372" s="1" t="s">
        <x:v>1216</x:v>
      </x:c>
      <x:c r="L372" s="1">
        <x:v>2.75</x:v>
      </x:c>
      <x:c r="M372" s="1">
        <x:v>2.12</x:v>
      </x:c>
      <x:c r="N372" s="1">
        <x:v>8627</x:v>
      </x:c>
      <x:c r="O372" s="1" t="s">
        <x:v>1044</x:v>
      </x:c>
      <x:c r="P372" s="42" t="str">
        <x:v>Lv70~85</x:v>
      </x:c>
      <x:c r="Q372" s="42" t="str">
        <x:v>III~IV</x:v>
      </x:c>
      <x:c r="R372" s="42" t="str">
        <x:v>5</x:v>
      </x:c>
      <x:c r="S372" s="42" t="str">
        <x:v>Hard 중후반: 주요 벽 7~10일 / 사이 스테이지 연속 진행</x:v>
      </x:c>
      <x:c r="T372" s="42" t="n">
        <x:v>16</x:v>
      </x:c>
      <x:c r="U372" s="42" t="n">
        <x:v>576</x:v>
      </x:c>
      <x:c r="V372" s="42" t="n">
        <x:v>115</x:v>
      </x:c>
      <x:c r="W372" s="42" t="n">
        <x:v>12</x:v>
      </x:c>
      <x:c r="X372" s="42" t="n">
        <x:v>34</x:v>
      </x:c>
      <x:c r="Y372" s="42" t="str"/>
    </x:row>
    <x:row r="373">
      <x:c r="A373" s="1">
        <x:v>38</x:v>
      </x:c>
      <x:c r="B373" s="1" t="s">
        <x:v>681</x:v>
      </x:c>
      <x:c r="C373" s="1" t="s">
        <x:v>269</x:v>
      </x:c>
      <x:c r="D373" s="1">
        <x:v>2</x:v>
      </x:c>
      <x:c r="E373" s="1">
        <x:v>3</x:v>
      </x:c>
      <x:c r="F373" s="1">
        <x:v>2</x:v>
      </x:c>
      <x:c r="G373" s="1" t="s">
        <x:v>1042</x:v>
      </x:c>
      <x:c r="H373" s="1">
        <x:v>39</x:v>
      </x:c>
      <x:c r="I373" s="1">
        <x:v>24</x:v>
      </x:c>
      <x:c r="J373" s="1">
        <x:v>0.72</x:v>
      </x:c>
      <x:c r="K373" s="1" t="s">
        <x:v>1082</x:v>
      </x:c>
      <x:c r="L373" s="1">
        <x:v>2.8</x:v>
      </x:c>
      <x:c r="M373" s="1">
        <x:v>2.16</x:v>
      </x:c>
      <x:c r="N373" s="1">
        <x:v>8627</x:v>
      </x:c>
      <x:c r="O373" s="1" t="s">
        <x:v>1044</x:v>
      </x:c>
      <x:c r="P373" s="42" t="str">
        <x:v>Lv70~85</x:v>
      </x:c>
      <x:c r="Q373" s="42" t="str">
        <x:v>III~IV</x:v>
      </x:c>
      <x:c r="R373" s="42" t="str">
        <x:v>5</x:v>
      </x:c>
      <x:c r="S373" s="42" t="str">
        <x:v>Hard 중후반: 주요 벽 7~10일 / 사이 스테이지 연속 진행</x:v>
      </x:c>
      <x:c r="T373" s="42" t="n">
        <x:v>16</x:v>
      </x:c>
      <x:c r="U373" s="42" t="n">
        <x:v>624</x:v>
      </x:c>
      <x:c r="V373" s="42" t="n">
        <x:v>138</x:v>
      </x:c>
      <x:c r="W373" s="42" t="n">
        <x:v>14</x:v>
      </x:c>
      <x:c r="X373" s="42" t="n">
        <x:v>41</x:v>
      </x:c>
      <x:c r="Y373" s="42" t="str"/>
    </x:row>
    <x:row r="374">
      <x:c r="A374" s="1">
        <x:v>38</x:v>
      </x:c>
      <x:c r="B374" s="1" t="s">
        <x:v>681</x:v>
      </x:c>
      <x:c r="C374" s="1" t="s">
        <x:v>269</x:v>
      </x:c>
      <x:c r="D374" s="1">
        <x:v>2</x:v>
      </x:c>
      <x:c r="E374" s="1">
        <x:v>3</x:v>
      </x:c>
      <x:c r="F374" s="1">
        <x:v>3</x:v>
      </x:c>
      <x:c r="G374" s="1" t="s">
        <x:v>1042</x:v>
      </x:c>
      <x:c r="H374" s="1">
        <x:v>41</x:v>
      </x:c>
      <x:c r="I374" s="1">
        <x:v>25</x:v>
      </x:c>
      <x:c r="J374" s="1">
        <x:v>0.7</x:v>
      </x:c>
      <x:c r="K374" s="1" t="s">
        <x:v>1074</x:v>
      </x:c>
      <x:c r="L374" s="1">
        <x:v>2.85</x:v>
      </x:c>
      <x:c r="M374" s="1">
        <x:v>2.2000000000000002</x:v>
      </x:c>
      <x:c r="N374" s="1">
        <x:v>8627</x:v>
      </x:c>
      <x:c r="O374" s="1" t="s">
        <x:v>1044</x:v>
      </x:c>
      <x:c r="P374" s="42" t="str">
        <x:v>Lv70~85</x:v>
      </x:c>
      <x:c r="Q374" s="42" t="str">
        <x:v>III~IV</x:v>
      </x:c>
      <x:c r="R374" s="42" t="str">
        <x:v>5</x:v>
      </x:c>
      <x:c r="S374" s="42" t="str">
        <x:v>Hard 중후반: 주요 벽 7~10일 / 사이 스테이지 연속 진행</x:v>
      </x:c>
      <x:c r="T374" s="42" t="n">
        <x:v>16</x:v>
      </x:c>
      <x:c r="U374" s="42" t="n">
        <x:v>656</x:v>
      </x:c>
      <x:c r="V374" s="42" t="n">
        <x:v>172</x:v>
      </x:c>
      <x:c r="W374" s="42" t="n">
        <x:v>17</x:v>
      </x:c>
      <x:c r="X374" s="42" t="n">
        <x:v>52</x:v>
      </x:c>
      <x:c r="Y374" s="42" t="str"/>
    </x:row>
    <x:row r="375">
      <x:c r="A375" s="1">
        <x:v>38</x:v>
      </x:c>
      <x:c r="B375" s="1" t="s">
        <x:v>681</x:v>
      </x:c>
      <x:c r="C375" s="1" t="s">
        <x:v>269</x:v>
      </x:c>
      <x:c r="D375" s="1">
        <x:v>2</x:v>
      </x:c>
      <x:c r="E375" s="1">
        <x:v>3</x:v>
      </x:c>
      <x:c r="F375" s="1">
        <x:v>4</x:v>
      </x:c>
      <x:c r="G375" s="1" t="s">
        <x:v>1042</x:v>
      </x:c>
      <x:c r="H375" s="1">
        <x:v>44</x:v>
      </x:c>
      <x:c r="I375" s="1">
        <x:v>27</x:v>
      </x:c>
      <x:c r="J375" s="1">
        <x:v>0.68</x:v>
      </x:c>
      <x:c r="K375" s="1" t="s">
        <x:v>1077</x:v>
      </x:c>
      <x:c r="L375" s="1">
        <x:v>2.91</x:v>
      </x:c>
      <x:c r="M375" s="1">
        <x:v>2.2400000000000002</x:v>
      </x:c>
      <x:c r="N375" s="1">
        <x:v>8627</x:v>
      </x:c>
      <x:c r="O375" s="1" t="s">
        <x:v>1047</x:v>
      </x:c>
      <x:c r="P375" s="42" t="str">
        <x:v>Lv70~85</x:v>
      </x:c>
      <x:c r="Q375" s="42" t="str">
        <x:v>III~IV</x:v>
      </x:c>
      <x:c r="R375" s="42" t="str">
        <x:v>5</x:v>
      </x:c>
      <x:c r="S375" s="42" t="str">
        <x:v>Hard 중후반: 주요 벽 7~10일 / 사이 스테이지 연속 진행</x:v>
      </x:c>
      <x:c r="T375" s="42" t="n">
        <x:v>16</x:v>
      </x:c>
      <x:c r="U375" s="42" t="n">
        <x:v>704</x:v>
      </x:c>
      <x:c r="V375" s="42" t="n">
        <x:v>207</x:v>
      </x:c>
      <x:c r="W375" s="42" t="n">
        <x:v>21</x:v>
      </x:c>
      <x:c r="X375" s="42" t="n">
        <x:v>62</x:v>
      </x:c>
      <x:c r="Y375" s="42" t="str"/>
    </x:row>
    <x:row r="376">
      <x:c r="A376" s="1">
        <x:v>38</x:v>
      </x:c>
      <x:c r="B376" s="1" t="s">
        <x:v>681</x:v>
      </x:c>
      <x:c r="C376" s="1" t="s">
        <x:v>269</x:v>
      </x:c>
      <x:c r="D376" s="1">
        <x:v>2</x:v>
      </x:c>
      <x:c r="E376" s="1">
        <x:v>3</x:v>
      </x:c>
      <x:c r="F376" s="1">
        <x:v>5</x:v>
      </x:c>
      <x:c r="G376" s="1" t="s">
        <x:v>1048</x:v>
      </x:c>
      <x:c r="H376" s="1">
        <x:v>38</x:v>
      </x:c>
      <x:c r="I376" s="1">
        <x:v>29</x:v>
      </x:c>
      <x:c r="J376" s="1">
        <x:v>0.66</x:v>
      </x:c>
      <x:c r="K376" s="1" t="s">
        <x:v>1217</x:v>
      </x:c>
      <x:c r="L376" s="1">
        <x:v>2.97</x:v>
      </x:c>
      <x:c r="M376" s="1">
        <x:v>2.2799999999999998</x:v>
      </x:c>
      <x:c r="N376" s="1">
        <x:v>8627</x:v>
      </x:c>
      <x:c r="O376" s="1" t="s">
        <x:v>1050</x:v>
      </x:c>
      <x:c r="P376" s="42" t="str">
        <x:v>Lv70~85</x:v>
      </x:c>
      <x:c r="Q376" s="42" t="str">
        <x:v>III~IV</x:v>
      </x:c>
      <x:c r="R376" s="42" t="str">
        <x:v>5</x:v>
      </x:c>
      <x:c r="S376" s="42" t="str">
        <x:v>Hard 중후반: 주요 벽 7~10일 / 사이 스테이지 연속 진행</x:v>
      </x:c>
      <x:c r="T376" s="42" t="n">
        <x:v>16</x:v>
      </x:c>
      <x:c r="U376" s="42" t="n">
        <x:v>872</x:v>
      </x:c>
      <x:c r="V376" s="42" t="n">
        <x:v>345</x:v>
      </x:c>
      <x:c r="W376" s="42" t="n">
        <x:v>34</x:v>
      </x:c>
      <x:c r="X376" s="42" t="n">
        <x:v>104</x:v>
      </x:c>
      <x:c r="Y376" s="42" t="str">
        <x:v>중간보스 현상금 포함</x:v>
      </x:c>
    </x:row>
    <x:row r="377">
      <x:c r="A377" s="1">
        <x:v>38</x:v>
      </x:c>
      <x:c r="B377" s="1" t="s">
        <x:v>681</x:v>
      </x:c>
      <x:c r="C377" s="1" t="s">
        <x:v>269</x:v>
      </x:c>
      <x:c r="D377" s="1">
        <x:v>2</x:v>
      </x:c>
      <x:c r="E377" s="1">
        <x:v>3</x:v>
      </x:c>
      <x:c r="F377" s="1">
        <x:v>6</x:v>
      </x:c>
      <x:c r="G377" s="1" t="s">
        <x:v>1042</x:v>
      </x:c>
      <x:c r="H377" s="1">
        <x:v>49</x:v>
      </x:c>
      <x:c r="I377" s="1">
        <x:v>30</x:v>
      </x:c>
      <x:c r="J377" s="1">
        <x:v>0.64</x:v>
      </x:c>
      <x:c r="K377" s="1" t="s">
        <x:v>1077</x:v>
      </x:c>
      <x:c r="L377" s="1">
        <x:v>3.02</x:v>
      </x:c>
      <x:c r="M377" s="1">
        <x:v>2.3199999999999998</x:v>
      </x:c>
      <x:c r="N377" s="1">
        <x:v>8627</x:v>
      </x:c>
      <x:c r="O377" s="1" t="s">
        <x:v>1052</x:v>
      </x:c>
      <x:c r="P377" s="42" t="str">
        <x:v>Lv70~85</x:v>
      </x:c>
      <x:c r="Q377" s="42" t="str">
        <x:v>III~IV</x:v>
      </x:c>
      <x:c r="R377" s="42" t="str">
        <x:v>5</x:v>
      </x:c>
      <x:c r="S377" s="42" t="str">
        <x:v>Hard 중후반: 주요 벽 7~10일 / 사이 스테이지 연속 진행</x:v>
      </x:c>
      <x:c r="T377" s="42" t="n">
        <x:v>16</x:v>
      </x:c>
      <x:c r="U377" s="42" t="n">
        <x:v>784</x:v>
      </x:c>
      <x:c r="V377" s="42" t="n">
        <x:v>253</x:v>
      </x:c>
      <x:c r="W377" s="42" t="n">
        <x:v>25</x:v>
      </x:c>
      <x:c r="X377" s="42" t="n">
        <x:v>76</x:v>
      </x:c>
      <x:c r="Y377" s="42" t="str"/>
    </x:row>
    <x:row r="378">
      <x:c r="A378" s="1">
        <x:v>38</x:v>
      </x:c>
      <x:c r="B378" s="1" t="s">
        <x:v>681</x:v>
      </x:c>
      <x:c r="C378" s="1" t="s">
        <x:v>269</x:v>
      </x:c>
      <x:c r="D378" s="1">
        <x:v>2</x:v>
      </x:c>
      <x:c r="E378" s="1">
        <x:v>3</x:v>
      </x:c>
      <x:c r="F378" s="1">
        <x:v>7</x:v>
      </x:c>
      <x:c r="G378" s="1" t="s">
        <x:v>1042</x:v>
      </x:c>
      <x:c r="H378" s="1">
        <x:v>52</x:v>
      </x:c>
      <x:c r="I378" s="1">
        <x:v>32</x:v>
      </x:c>
      <x:c r="J378" s="1">
        <x:v>0.62</x:v>
      </x:c>
      <x:c r="K378" s="1" t="s">
        <x:v>1080</x:v>
      </x:c>
      <x:c r="L378" s="1">
        <x:v>3.08</x:v>
      </x:c>
      <x:c r="M378" s="1">
        <x:v>2.36</x:v>
      </x:c>
      <x:c r="N378" s="1">
        <x:v>8627</x:v>
      </x:c>
      <x:c r="O378" s="1" t="s">
        <x:v>1052</x:v>
      </x:c>
      <x:c r="P378" s="42" t="str">
        <x:v>Lv70~85</x:v>
      </x:c>
      <x:c r="Q378" s="42" t="str">
        <x:v>III~IV</x:v>
      </x:c>
      <x:c r="R378" s="42" t="str">
        <x:v>5</x:v>
      </x:c>
      <x:c r="S378" s="42" t="str">
        <x:v>Hard 중후반: 주요 벽 7~10일 / 사이 스테이지 연속 진행</x:v>
      </x:c>
      <x:c r="T378" s="42" t="n">
        <x:v>16</x:v>
      </x:c>
      <x:c r="U378" s="42" t="n">
        <x:v>832</x:v>
      </x:c>
      <x:c r="V378" s="42" t="n">
        <x:v>345</x:v>
      </x:c>
      <x:c r="W378" s="42" t="n">
        <x:v>34</x:v>
      </x:c>
      <x:c r="X378" s="42" t="n">
        <x:v>104</x:v>
      </x:c>
      <x:c r="Y378" s="42" t="str"/>
    </x:row>
    <x:row r="379">
      <x:c r="A379" s="1">
        <x:v>38</x:v>
      </x:c>
      <x:c r="B379" s="1" t="s">
        <x:v>681</x:v>
      </x:c>
      <x:c r="C379" s="1" t="s">
        <x:v>269</x:v>
      </x:c>
      <x:c r="D379" s="1">
        <x:v>2</x:v>
      </x:c>
      <x:c r="E379" s="1">
        <x:v>3</x:v>
      </x:c>
      <x:c r="F379" s="1">
        <x:v>8</x:v>
      </x:c>
      <x:c r="G379" s="1" t="s">
        <x:v>1042</x:v>
      </x:c>
      <x:c r="H379" s="1">
        <x:v>54</x:v>
      </x:c>
      <x:c r="I379" s="1">
        <x:v>33</x:v>
      </x:c>
      <x:c r="J379" s="1">
        <x:v>0.6</x:v>
      </x:c>
      <x:c r="K379" s="1" t="s">
        <x:v>1087</x:v>
      </x:c>
      <x:c r="L379" s="1">
        <x:v>3.13</x:v>
      </x:c>
      <x:c r="M379" s="1">
        <x:v>2.4</x:v>
      </x:c>
      <x:c r="N379" s="1">
        <x:v>8627</x:v>
      </x:c>
      <x:c r="O379" s="1" t="s">
        <x:v>1052</x:v>
      </x:c>
      <x:c r="P379" s="42" t="str">
        <x:v>Lv70~85</x:v>
      </x:c>
      <x:c r="Q379" s="42" t="str">
        <x:v>III~IV</x:v>
      </x:c>
      <x:c r="R379" s="42" t="str">
        <x:v>5</x:v>
      </x:c>
      <x:c r="S379" s="42" t="str">
        <x:v>Hard 중후반: 주요 벽 7~10일 / 사이 스테이지 연속 진행</x:v>
      </x:c>
      <x:c r="T379" s="42" t="n">
        <x:v>16</x:v>
      </x:c>
      <x:c r="U379" s="42" t="n">
        <x:v>864</x:v>
      </x:c>
      <x:c r="V379" s="42" t="n">
        <x:v>460</x:v>
      </x:c>
      <x:c r="W379" s="42" t="n">
        <x:v>46</x:v>
      </x:c>
      <x:c r="X379" s="42" t="n">
        <x:v>138</x:v>
      </x:c>
      <x:c r="Y379" s="42" t="str"/>
    </x:row>
    <x:row r="380">
      <x:c r="A380" s="1">
        <x:v>38</x:v>
      </x:c>
      <x:c r="B380" s="1" t="s">
        <x:v>681</x:v>
      </x:c>
      <x:c r="C380" s="1" t="s">
        <x:v>269</x:v>
      </x:c>
      <x:c r="D380" s="1">
        <x:v>2</x:v>
      </x:c>
      <x:c r="E380" s="1">
        <x:v>3</x:v>
      </x:c>
      <x:c r="F380" s="1">
        <x:v>9</x:v>
      </x:c>
      <x:c r="G380" s="1" t="s">
        <x:v>1042</x:v>
      </x:c>
      <x:c r="H380" s="1">
        <x:v>57</x:v>
      </x:c>
      <x:c r="I380" s="1">
        <x:v>35</x:v>
      </x:c>
      <x:c r="J380" s="1">
        <x:v>0.57999999999999996</x:v>
      </x:c>
      <x:c r="K380" s="1" t="s">
        <x:v>1088</x:v>
      </x:c>
      <x:c r="L380" s="1">
        <x:v>3.19</x:v>
      </x:c>
      <x:c r="M380" s="1">
        <x:v>2.44</x:v>
      </x:c>
      <x:c r="N380" s="1">
        <x:v>8627</x:v>
      </x:c>
      <x:c r="O380" s="1" t="s">
        <x:v>1056</x:v>
      </x:c>
      <x:c r="P380" s="42" t="str">
        <x:v>Lv70~85</x:v>
      </x:c>
      <x:c r="Q380" s="42" t="str">
        <x:v>III~IV</x:v>
      </x:c>
      <x:c r="R380" s="42" t="str">
        <x:v>5</x:v>
      </x:c>
      <x:c r="S380" s="42" t="str">
        <x:v>Hard 중후반: 주요 벽 7~10일 / 사이 스테이지 연속 진행</x:v>
      </x:c>
      <x:c r="T380" s="42" t="n">
        <x:v>16</x:v>
      </x:c>
      <x:c r="U380" s="42" t="n">
        <x:v>912</x:v>
      </x:c>
      <x:c r="V380" s="42" t="n">
        <x:v>575</x:v>
      </x:c>
      <x:c r="W380" s="42" t="n">
        <x:v>58</x:v>
      </x:c>
      <x:c r="X380" s="42" t="n">
        <x:v>172</x:v>
      </x:c>
      <x:c r="Y380" s="42" t="str"/>
    </x:row>
    <x:row r="381">
      <x:c r="A381" s="1">
        <x:v>38</x:v>
      </x:c>
      <x:c r="B381" s="1" t="s">
        <x:v>681</x:v>
      </x:c>
      <x:c r="C381" s="1" t="s">
        <x:v>269</x:v>
      </x:c>
      <x:c r="D381" s="1">
        <x:v>2</x:v>
      </x:c>
      <x:c r="E381" s="1">
        <x:v>3</x:v>
      </x:c>
      <x:c r="F381" s="1">
        <x:v>10</x:v>
      </x:c>
      <x:c r="G381" s="1" t="s">
        <x:v>1057</x:v>
      </x:c>
      <x:c r="H381" s="1">
        <x:v>49</x:v>
      </x:c>
      <x:c r="I381" s="1">
        <x:v>37</x:v>
      </x:c>
      <x:c r="J381" s="1">
        <x:v>0.56000000000000005</x:v>
      </x:c>
      <x:c r="K381" s="1" t="s">
        <x:v>1218</x:v>
      </x:c>
      <x:c r="L381" s="1">
        <x:v>3.24</x:v>
      </x:c>
      <x:c r="M381" s="1">
        <x:v>2.48</x:v>
      </x:c>
      <x:c r="N381" s="1">
        <x:v>8627</x:v>
      </x:c>
      <x:c r="O381" s="1" t="s">
        <x:v>1059</x:v>
      </x:c>
      <x:c r="P381" s="42" t="str">
        <x:v>Lv70~85</x:v>
      </x:c>
      <x:c r="Q381" s="42" t="str">
        <x:v>III~IV</x:v>
      </x:c>
      <x:c r="R381" s="42" t="str">
        <x:v>5</x:v>
      </x:c>
      <x:c r="S381" s="42" t="str">
        <x:v>Hard 중후반: 주요 벽 7~10일 / 사이 스테이지 연속 진행</x:v>
      </x:c>
      <x:c r="T381" s="42" t="n">
        <x:v>16</x:v>
      </x:c>
      <x:c r="U381" s="42" t="n">
        <x:v>768</x:v>
      </x:c>
      <x:c r="V381" s="42" t="n">
        <x:v>0</x:v>
      </x:c>
      <x:c r="W381" s="42" t="n">
        <x:v>0</x:v>
      </x:c>
      <x:c r="X381" s="42" t="n">
        <x:v>0</x:v>
      </x:c>
      <x:c r="Y381" s="42" t="str">
        <x:v>보스 처치 보상은 로비 보상으로 분리</x:v>
      </x:c>
    </x:row>
    <x:row r="382">
      <x:c r="A382" s="1">
        <x:v>39</x:v>
      </x:c>
      <x:c r="B382" s="1" t="s">
        <x:v>681</x:v>
      </x:c>
      <x:c r="C382" s="1" t="s">
        <x:v>269</x:v>
      </x:c>
      <x:c r="D382" s="1">
        <x:v>3</x:v>
      </x:c>
      <x:c r="E382" s="1">
        <x:v>4</x:v>
      </x:c>
      <x:c r="F382" s="1">
        <x:v>1</x:v>
      </x:c>
      <x:c r="G382" s="1" t="s">
        <x:v>1042</x:v>
      </x:c>
      <x:c r="H382" s="1">
        <x:v>39</x:v>
      </x:c>
      <x:c r="I382" s="1">
        <x:v>24</x:v>
      </x:c>
      <x:c r="J382" s="1">
        <x:v>0.73</x:v>
      </x:c>
      <x:c r="K382" s="1" t="s">
        <x:v>1082</x:v>
      </x:c>
      <x:c r="L382" s="1">
        <x:v>2.83</x:v>
      </x:c>
      <x:c r="M382" s="1">
        <x:v>2.1800000000000002</x:v>
      </x:c>
      <x:c r="N382" s="1">
        <x:v>9274</x:v>
      </x:c>
      <x:c r="O382" s="1" t="s">
        <x:v>1044</x:v>
      </x:c>
      <x:c r="P382" s="42" t="str">
        <x:v>Lv70~85</x:v>
      </x:c>
      <x:c r="Q382" s="42" t="str">
        <x:v>III~IV</x:v>
      </x:c>
      <x:c r="R382" s="42" t="str">
        <x:v>5</x:v>
      </x:c>
      <x:c r="S382" s="42" t="str">
        <x:v>Hard 중후반: 주요 벽 7~10일 / 사이 스테이지 연속 진행</x:v>
      </x:c>
      <x:c r="T382" s="42" t="n">
        <x:v>16</x:v>
      </x:c>
      <x:c r="U382" s="42" t="n">
        <x:v>624</x:v>
      </x:c>
      <x:c r="V382" s="42" t="n">
        <x:v>115</x:v>
      </x:c>
      <x:c r="W382" s="42" t="n">
        <x:v>12</x:v>
      </x:c>
      <x:c r="X382" s="42" t="n">
        <x:v>34</x:v>
      </x:c>
      <x:c r="Y382" s="42" t="str"/>
    </x:row>
    <x:row r="383">
      <x:c r="A383" s="1">
        <x:v>39</x:v>
      </x:c>
      <x:c r="B383" s="1" t="s">
        <x:v>681</x:v>
      </x:c>
      <x:c r="C383" s="1" t="s">
        <x:v>269</x:v>
      </x:c>
      <x:c r="D383" s="1">
        <x:v>3</x:v>
      </x:c>
      <x:c r="E383" s="1">
        <x:v>4</x:v>
      </x:c>
      <x:c r="F383" s="1">
        <x:v>2</x:v>
      </x:c>
      <x:c r="G383" s="1" t="s">
        <x:v>1042</x:v>
      </x:c>
      <x:c r="H383" s="1">
        <x:v>42</x:v>
      </x:c>
      <x:c r="I383" s="1">
        <x:v>26</x:v>
      </x:c>
      <x:c r="J383" s="1">
        <x:v>0.71</x:v>
      </x:c>
      <x:c r="K383" s="1" t="s">
        <x:v>1074</x:v>
      </x:c>
      <x:c r="L383" s="1">
        <x:v>2.89</x:v>
      </x:c>
      <x:c r="M383" s="1">
        <x:v>2.2200000000000002</x:v>
      </x:c>
      <x:c r="N383" s="1">
        <x:v>9274</x:v>
      </x:c>
      <x:c r="O383" s="1" t="s">
        <x:v>1044</x:v>
      </x:c>
      <x:c r="P383" s="42" t="str">
        <x:v>Lv70~85</x:v>
      </x:c>
      <x:c r="Q383" s="42" t="str">
        <x:v>III~IV</x:v>
      </x:c>
      <x:c r="R383" s="42" t="str">
        <x:v>5</x:v>
      </x:c>
      <x:c r="S383" s="42" t="str">
        <x:v>Hard 중후반: 주요 벽 7~10일 / 사이 스테이지 연속 진행</x:v>
      </x:c>
      <x:c r="T383" s="42" t="n">
        <x:v>16</x:v>
      </x:c>
      <x:c r="U383" s="42" t="n">
        <x:v>672</x:v>
      </x:c>
      <x:c r="V383" s="42" t="n">
        <x:v>138</x:v>
      </x:c>
      <x:c r="W383" s="42" t="n">
        <x:v>14</x:v>
      </x:c>
      <x:c r="X383" s="42" t="n">
        <x:v>41</x:v>
      </x:c>
      <x:c r="Y383" s="42" t="str"/>
    </x:row>
    <x:row r="384">
      <x:c r="A384" s="1">
        <x:v>39</x:v>
      </x:c>
      <x:c r="B384" s="1" t="s">
        <x:v>681</x:v>
      </x:c>
      <x:c r="C384" s="1" t="s">
        <x:v>269</x:v>
      </x:c>
      <x:c r="D384" s="1">
        <x:v>3</x:v>
      </x:c>
      <x:c r="E384" s="1">
        <x:v>4</x:v>
      </x:c>
      <x:c r="F384" s="1">
        <x:v>3</x:v>
      </x:c>
      <x:c r="G384" s="1" t="s">
        <x:v>1042</x:v>
      </x:c>
      <x:c r="H384" s="1">
        <x:v>44</x:v>
      </x:c>
      <x:c r="I384" s="1">
        <x:v>27</x:v>
      </x:c>
      <x:c r="J384" s="1">
        <x:v>0.69</x:v>
      </x:c>
      <x:c r="K384" s="1" t="s">
        <x:v>1082</x:v>
      </x:c>
      <x:c r="L384" s="1">
        <x:v>2.94</x:v>
      </x:c>
      <x:c r="M384" s="1">
        <x:v>2.2599999999999998</x:v>
      </x:c>
      <x:c r="N384" s="1">
        <x:v>9274</x:v>
      </x:c>
      <x:c r="O384" s="1" t="s">
        <x:v>1044</x:v>
      </x:c>
      <x:c r="P384" s="42" t="str">
        <x:v>Lv70~85</x:v>
      </x:c>
      <x:c r="Q384" s="42" t="str">
        <x:v>III~IV</x:v>
      </x:c>
      <x:c r="R384" s="42" t="str">
        <x:v>5</x:v>
      </x:c>
      <x:c r="S384" s="42" t="str">
        <x:v>Hard 중후반: 주요 벽 7~10일 / 사이 스테이지 연속 진행</x:v>
      </x:c>
      <x:c r="T384" s="42" t="n">
        <x:v>16</x:v>
      </x:c>
      <x:c r="U384" s="42" t="n">
        <x:v>704</x:v>
      </x:c>
      <x:c r="V384" s="42" t="n">
        <x:v>172</x:v>
      </x:c>
      <x:c r="W384" s="42" t="n">
        <x:v>17</x:v>
      </x:c>
      <x:c r="X384" s="42" t="n">
        <x:v>52</x:v>
      </x:c>
      <x:c r="Y384" s="42" t="str"/>
    </x:row>
    <x:row r="385">
      <x:c r="A385" s="1">
        <x:v>39</x:v>
      </x:c>
      <x:c r="B385" s="1" t="s">
        <x:v>681</x:v>
      </x:c>
      <x:c r="C385" s="1" t="s">
        <x:v>269</x:v>
      </x:c>
      <x:c r="D385" s="1">
        <x:v>3</x:v>
      </x:c>
      <x:c r="E385" s="1">
        <x:v>4</x:v>
      </x:c>
      <x:c r="F385" s="1">
        <x:v>4</x:v>
      </x:c>
      <x:c r="G385" s="1" t="s">
        <x:v>1042</x:v>
      </x:c>
      <x:c r="H385" s="1">
        <x:v>47</x:v>
      </x:c>
      <x:c r="I385" s="1">
        <x:v>29</x:v>
      </x:c>
      <x:c r="J385" s="1">
        <x:v>0.67</x:v>
      </x:c>
      <x:c r="K385" s="1" t="s">
        <x:v>1074</x:v>
      </x:c>
      <x:c r="L385" s="1">
        <x:v>3</x:v>
      </x:c>
      <x:c r="M385" s="1">
        <x:v>2.2999999999999998</x:v>
      </x:c>
      <x:c r="N385" s="1">
        <x:v>9274</x:v>
      </x:c>
      <x:c r="O385" s="1" t="s">
        <x:v>1047</x:v>
      </x:c>
      <x:c r="P385" s="42" t="str">
        <x:v>Lv70~85</x:v>
      </x:c>
      <x:c r="Q385" s="42" t="str">
        <x:v>III~IV</x:v>
      </x:c>
      <x:c r="R385" s="42" t="str">
        <x:v>5</x:v>
      </x:c>
      <x:c r="S385" s="42" t="str">
        <x:v>Hard 중후반: 주요 벽 7~10일 / 사이 스테이지 연속 진행</x:v>
      </x:c>
      <x:c r="T385" s="42" t="n">
        <x:v>16</x:v>
      </x:c>
      <x:c r="U385" s="42" t="n">
        <x:v>752</x:v>
      </x:c>
      <x:c r="V385" s="42" t="n">
        <x:v>207</x:v>
      </x:c>
      <x:c r="W385" s="42" t="n">
        <x:v>21</x:v>
      </x:c>
      <x:c r="X385" s="42" t="n">
        <x:v>62</x:v>
      </x:c>
      <x:c r="Y385" s="42" t="str"/>
    </x:row>
    <x:row r="386">
      <x:c r="A386" s="1">
        <x:v>39</x:v>
      </x:c>
      <x:c r="B386" s="1" t="s">
        <x:v>681</x:v>
      </x:c>
      <x:c r="C386" s="1" t="s">
        <x:v>269</x:v>
      </x:c>
      <x:c r="D386" s="1">
        <x:v>3</x:v>
      </x:c>
      <x:c r="E386" s="1">
        <x:v>4</x:v>
      </x:c>
      <x:c r="F386" s="1">
        <x:v>5</x:v>
      </x:c>
      <x:c r="G386" s="1" t="s">
        <x:v>1048</x:v>
      </x:c>
      <x:c r="H386" s="1">
        <x:v>41</x:v>
      </x:c>
      <x:c r="I386" s="1">
        <x:v>30</x:v>
      </x:c>
      <x:c r="J386" s="1">
        <x:v>0.65</x:v>
      </x:c>
      <x:c r="K386" s="1" t="s">
        <x:v>1219</x:v>
      </x:c>
      <x:c r="L386" s="1">
        <x:v>3.05</x:v>
      </x:c>
      <x:c r="M386" s="1">
        <x:v>2.34</x:v>
      </x:c>
      <x:c r="N386" s="1">
        <x:v>9274</x:v>
      </x:c>
      <x:c r="O386" s="1" t="s">
        <x:v>1050</x:v>
      </x:c>
      <x:c r="P386" s="42" t="str">
        <x:v>Lv70~85</x:v>
      </x:c>
      <x:c r="Q386" s="42" t="str">
        <x:v>III~IV</x:v>
      </x:c>
      <x:c r="R386" s="42" t="str">
        <x:v>5</x:v>
      </x:c>
      <x:c r="S386" s="42" t="str">
        <x:v>Hard 중후반: 주요 벽 7~10일 / 사이 스테이지 연속 진행</x:v>
      </x:c>
      <x:c r="T386" s="42" t="n">
        <x:v>16</x:v>
      </x:c>
      <x:c r="U386" s="42" t="n">
        <x:v>923</x:v>
      </x:c>
      <x:c r="V386" s="42" t="n">
        <x:v>345</x:v>
      </x:c>
      <x:c r="W386" s="42" t="n">
        <x:v>34</x:v>
      </x:c>
      <x:c r="X386" s="42" t="n">
        <x:v>104</x:v>
      </x:c>
      <x:c r="Y386" s="42" t="str">
        <x:v>중간보스 현상금 포함</x:v>
      </x:c>
    </x:row>
    <x:row r="387">
      <x:c r="A387" s="1">
        <x:v>39</x:v>
      </x:c>
      <x:c r="B387" s="1" t="s">
        <x:v>681</x:v>
      </x:c>
      <x:c r="C387" s="1" t="s">
        <x:v>269</x:v>
      </x:c>
      <x:c r="D387" s="1">
        <x:v>3</x:v>
      </x:c>
      <x:c r="E387" s="1">
        <x:v>4</x:v>
      </x:c>
      <x:c r="F387" s="1">
        <x:v>6</x:v>
      </x:c>
      <x:c r="G387" s="1" t="s">
        <x:v>1042</x:v>
      </x:c>
      <x:c r="H387" s="1">
        <x:v>52</x:v>
      </x:c>
      <x:c r="I387" s="1">
        <x:v>32</x:v>
      </x:c>
      <x:c r="J387" s="1">
        <x:v>0.63</x:v>
      </x:c>
      <x:c r="K387" s="1" t="s">
        <x:v>1080</x:v>
      </x:c>
      <x:c r="L387" s="1">
        <x:v>3.1</x:v>
      </x:c>
      <x:c r="M387" s="1">
        <x:v>2.38</x:v>
      </x:c>
      <x:c r="N387" s="1">
        <x:v>9274</x:v>
      </x:c>
      <x:c r="O387" s="1" t="s">
        <x:v>1052</x:v>
      </x:c>
      <x:c r="P387" s="42" t="str">
        <x:v>Lv70~85</x:v>
      </x:c>
      <x:c r="Q387" s="42" t="str">
        <x:v>III~IV</x:v>
      </x:c>
      <x:c r="R387" s="42" t="str">
        <x:v>5</x:v>
      </x:c>
      <x:c r="S387" s="42" t="str">
        <x:v>Hard 중후반: 주요 벽 7~10일 / 사이 스테이지 연속 진행</x:v>
      </x:c>
      <x:c r="T387" s="42" t="n">
        <x:v>16</x:v>
      </x:c>
      <x:c r="U387" s="42" t="n">
        <x:v>832</x:v>
      </x:c>
      <x:c r="V387" s="42" t="n">
        <x:v>253</x:v>
      </x:c>
      <x:c r="W387" s="42" t="n">
        <x:v>25</x:v>
      </x:c>
      <x:c r="X387" s="42" t="n">
        <x:v>76</x:v>
      </x:c>
      <x:c r="Y387" s="42" t="str"/>
    </x:row>
    <x:row r="388">
      <x:c r="A388" s="1">
        <x:v>39</x:v>
      </x:c>
      <x:c r="B388" s="1" t="s">
        <x:v>681</x:v>
      </x:c>
      <x:c r="C388" s="1" t="s">
        <x:v>269</x:v>
      </x:c>
      <x:c r="D388" s="1">
        <x:v>3</x:v>
      </x:c>
      <x:c r="E388" s="1">
        <x:v>4</x:v>
      </x:c>
      <x:c r="F388" s="1">
        <x:v>7</x:v>
      </x:c>
      <x:c r="G388" s="1" t="s">
        <x:v>1042</x:v>
      </x:c>
      <x:c r="H388" s="1">
        <x:v>55</x:v>
      </x:c>
      <x:c r="I388" s="1">
        <x:v>34</x:v>
      </x:c>
      <x:c r="J388" s="1">
        <x:v>0.61</x:v>
      </x:c>
      <x:c r="K388" s="1" t="s">
        <x:v>1093</x:v>
      </x:c>
      <x:c r="L388" s="1">
        <x:v>3.16</x:v>
      </x:c>
      <x:c r="M388" s="1">
        <x:v>2.42</x:v>
      </x:c>
      <x:c r="N388" s="1">
        <x:v>9274</x:v>
      </x:c>
      <x:c r="O388" s="1" t="s">
        <x:v>1052</x:v>
      </x:c>
      <x:c r="P388" s="42" t="str">
        <x:v>Lv70~85</x:v>
      </x:c>
      <x:c r="Q388" s="42" t="str">
        <x:v>III~IV</x:v>
      </x:c>
      <x:c r="R388" s="42" t="str">
        <x:v>5</x:v>
      </x:c>
      <x:c r="S388" s="42" t="str">
        <x:v>Hard 중후반: 주요 벽 7~10일 / 사이 스테이지 연속 진행</x:v>
      </x:c>
      <x:c r="T388" s="42" t="n">
        <x:v>16</x:v>
      </x:c>
      <x:c r="U388" s="42" t="n">
        <x:v>880</x:v>
      </x:c>
      <x:c r="V388" s="42" t="n">
        <x:v>345</x:v>
      </x:c>
      <x:c r="W388" s="42" t="n">
        <x:v>34</x:v>
      </x:c>
      <x:c r="X388" s="42" t="n">
        <x:v>104</x:v>
      </x:c>
      <x:c r="Y388" s="42" t="str"/>
    </x:row>
    <x:row r="389">
      <x:c r="A389" s="1">
        <x:v>39</x:v>
      </x:c>
      <x:c r="B389" s="1" t="s">
        <x:v>681</x:v>
      </x:c>
      <x:c r="C389" s="1" t="s">
        <x:v>269</x:v>
      </x:c>
      <x:c r="D389" s="1">
        <x:v>3</x:v>
      </x:c>
      <x:c r="E389" s="1">
        <x:v>4</x:v>
      </x:c>
      <x:c r="F389" s="1">
        <x:v>8</x:v>
      </x:c>
      <x:c r="G389" s="1" t="s">
        <x:v>1042</x:v>
      </x:c>
      <x:c r="H389" s="1">
        <x:v>57</x:v>
      </x:c>
      <x:c r="I389" s="1">
        <x:v>35</x:v>
      </x:c>
      <x:c r="J389" s="1">
        <x:v>0.59</x:v>
      </x:c>
      <x:c r="K389" s="1" t="s">
        <x:v>1088</x:v>
      </x:c>
      <x:c r="L389" s="1">
        <x:v>3.21</x:v>
      </x:c>
      <x:c r="M389" s="1">
        <x:v>2.46</x:v>
      </x:c>
      <x:c r="N389" s="1">
        <x:v>9274</x:v>
      </x:c>
      <x:c r="O389" s="1" t="s">
        <x:v>1052</x:v>
      </x:c>
      <x:c r="P389" s="42" t="str">
        <x:v>Lv70~85</x:v>
      </x:c>
      <x:c r="Q389" s="42" t="str">
        <x:v>III~IV</x:v>
      </x:c>
      <x:c r="R389" s="42" t="str">
        <x:v>5</x:v>
      </x:c>
      <x:c r="S389" s="42" t="str">
        <x:v>Hard 중후반: 주요 벽 7~10일 / 사이 스테이지 연속 진행</x:v>
      </x:c>
      <x:c r="T389" s="42" t="n">
        <x:v>16</x:v>
      </x:c>
      <x:c r="U389" s="42" t="n">
        <x:v>912</x:v>
      </x:c>
      <x:c r="V389" s="42" t="n">
        <x:v>460</x:v>
      </x:c>
      <x:c r="W389" s="42" t="n">
        <x:v>46</x:v>
      </x:c>
      <x:c r="X389" s="42" t="n">
        <x:v>138</x:v>
      </x:c>
      <x:c r="Y389" s="42" t="str"/>
    </x:row>
    <x:row r="390">
      <x:c r="A390" s="1">
        <x:v>39</x:v>
      </x:c>
      <x:c r="B390" s="1" t="s">
        <x:v>681</x:v>
      </x:c>
      <x:c r="C390" s="1" t="s">
        <x:v>269</x:v>
      </x:c>
      <x:c r="D390" s="1">
        <x:v>3</x:v>
      </x:c>
      <x:c r="E390" s="1">
        <x:v>4</x:v>
      </x:c>
      <x:c r="F390" s="1">
        <x:v>9</x:v>
      </x:c>
      <x:c r="G390" s="1" t="s">
        <x:v>1042</x:v>
      </x:c>
      <x:c r="H390" s="1">
        <x:v>60</x:v>
      </x:c>
      <x:c r="I390" s="1">
        <x:v>37</x:v>
      </x:c>
      <x:c r="J390" s="1">
        <x:v>0.56999999999999995</x:v>
      </x:c>
      <x:c r="K390" s="1" t="s">
        <x:v>1082</x:v>
      </x:c>
      <x:c r="L390" s="1">
        <x:v>3.27</x:v>
      </x:c>
      <x:c r="M390" s="1">
        <x:v>2.5</x:v>
      </x:c>
      <x:c r="N390" s="1">
        <x:v>9274</x:v>
      </x:c>
      <x:c r="O390" s="1" t="s">
        <x:v>1056</x:v>
      </x:c>
      <x:c r="P390" s="42" t="str">
        <x:v>Lv70~85</x:v>
      </x:c>
      <x:c r="Q390" s="42" t="str">
        <x:v>III~IV</x:v>
      </x:c>
      <x:c r="R390" s="42" t="str">
        <x:v>5</x:v>
      </x:c>
      <x:c r="S390" s="42" t="str">
        <x:v>Hard 중후반: 주요 벽 7~10일 / 사이 스테이지 연속 진행</x:v>
      </x:c>
      <x:c r="T390" s="42" t="n">
        <x:v>16</x:v>
      </x:c>
      <x:c r="U390" s="42" t="n">
        <x:v>960</x:v>
      </x:c>
      <x:c r="V390" s="42" t="n">
        <x:v>575</x:v>
      </x:c>
      <x:c r="W390" s="42" t="n">
        <x:v>58</x:v>
      </x:c>
      <x:c r="X390" s="42" t="n">
        <x:v>172</x:v>
      </x:c>
      <x:c r="Y390" s="42" t="str"/>
    </x:row>
    <x:row r="391">
      <x:c r="A391" s="1">
        <x:v>39</x:v>
      </x:c>
      <x:c r="B391" s="1" t="s">
        <x:v>681</x:v>
      </x:c>
      <x:c r="C391" s="1" t="s">
        <x:v>269</x:v>
      </x:c>
      <x:c r="D391" s="1">
        <x:v>3</x:v>
      </x:c>
      <x:c r="E391" s="1">
        <x:v>4</x:v>
      </x:c>
      <x:c r="F391" s="1">
        <x:v>10</x:v>
      </x:c>
      <x:c r="G391" s="1" t="s">
        <x:v>1057</x:v>
      </x:c>
      <x:c r="H391" s="1">
        <x:v>52</x:v>
      </x:c>
      <x:c r="I391" s="1">
        <x:v>38</x:v>
      </x:c>
      <x:c r="J391" s="1">
        <x:v>0.55000000000000004</x:v>
      </x:c>
      <x:c r="K391" s="1" t="str">
        <x:v>침식에 물들은 남부의 설화 1 + 호위 일반몹 51</x:v>
      </x:c>
      <x:c r="L391" s="1">
        <x:v>3.33</x:v>
      </x:c>
      <x:c r="M391" s="1">
        <x:v>2.54</x:v>
      </x:c>
      <x:c r="N391" s="1">
        <x:v>9274</x:v>
      </x:c>
      <x:c r="O391" s="1" t="s">
        <x:v>1059</x:v>
      </x:c>
      <x:c r="P391" s="42" t="str">
        <x:v>Lv70~85</x:v>
      </x:c>
      <x:c r="Q391" s="42" t="str">
        <x:v>III~IV</x:v>
      </x:c>
      <x:c r="R391" s="42" t="str">
        <x:v>5</x:v>
      </x:c>
      <x:c r="S391" s="42" t="str">
        <x:v>Hard 중후반: 주요 벽 7~10일 / 사이 스테이지 연속 진행</x:v>
      </x:c>
      <x:c r="T391" s="42" t="n">
        <x:v>16</x:v>
      </x:c>
      <x:c r="U391" s="42" t="n">
        <x:v>816</x:v>
      </x:c>
      <x:c r="V391" s="42" t="n">
        <x:v>0</x:v>
      </x:c>
      <x:c r="W391" s="42" t="n">
        <x:v>0</x:v>
      </x:c>
      <x:c r="X391" s="42" t="n">
        <x:v>0</x:v>
      </x:c>
      <x:c r="Y391" s="42" t="str">
        <x:v>보스 처치 보상은 로비 보상으로 분리</x:v>
      </x:c>
    </x:row>
    <x:row r="392">
      <x:c r="A392" s="1">
        <x:v>40</x:v>
      </x:c>
      <x:c r="B392" s="1" t="s">
        <x:v>681</x:v>
      </x:c>
      <x:c r="C392" s="1" t="s">
        <x:v>314</x:v>
      </x:c>
      <x:c r="D392" s="1">
        <x:v>1</x:v>
      </x:c>
      <x:c r="E392" s="1">
        <x:v>3</x:v>
      </x:c>
      <x:c r="F392" s="1">
        <x:v>1</x:v>
      </x:c>
      <x:c r="G392" s="1" t="s">
        <x:v>1042</x:v>
      </x:c>
      <x:c r="H392" s="1">
        <x:v>38</x:v>
      </x:c>
      <x:c r="I392" s="1">
        <x:v>24</x:v>
      </x:c>
      <x:c r="J392" s="1">
        <x:v>0.72</x:v>
      </x:c>
      <x:c r="K392" s="1" t="s">
        <x:v>1220</x:v>
      </x:c>
      <x:c r="L392" s="1">
        <x:v>2.92</x:v>
      </x:c>
      <x:c r="M392" s="1">
        <x:v>2.2400000000000002</x:v>
      </x:c>
      <x:c r="N392" s="1">
        <x:v>9970</x:v>
      </x:c>
      <x:c r="O392" s="1" t="s">
        <x:v>1044</x:v>
      </x:c>
      <x:c r="P392" s="42" t="str">
        <x:v>Lv70~85</x:v>
      </x:c>
      <x:c r="Q392" s="42" t="str">
        <x:v>III~IV</x:v>
      </x:c>
      <x:c r="R392" s="42" t="str">
        <x:v>5</x:v>
      </x:c>
      <x:c r="S392" s="42" t="str">
        <x:v>Hard 중후반: 주요 벽 7~10일 / 사이 스테이지 연속 진행</x:v>
      </x:c>
      <x:c r="T392" s="42" t="n">
        <x:v>16</x:v>
      </x:c>
      <x:c r="U392" s="42" t="n">
        <x:v>608</x:v>
      </x:c>
      <x:c r="V392" s="42" t="n">
        <x:v>115</x:v>
      </x:c>
      <x:c r="W392" s="42" t="n">
        <x:v>12</x:v>
      </x:c>
      <x:c r="X392" s="42" t="n">
        <x:v>34</x:v>
      </x:c>
      <x:c r="Y392" s="42" t="str"/>
    </x:row>
    <x:row r="393">
      <x:c r="A393" s="1">
        <x:v>40</x:v>
      </x:c>
      <x:c r="B393" s="1" t="s">
        <x:v>681</x:v>
      </x:c>
      <x:c r="C393" s="1" t="s">
        <x:v>314</x:v>
      </x:c>
      <x:c r="D393" s="1">
        <x:v>1</x:v>
      </x:c>
      <x:c r="E393" s="1">
        <x:v>3</x:v>
      </x:c>
      <x:c r="F393" s="1">
        <x:v>2</x:v>
      </x:c>
      <x:c r="G393" s="1" t="s">
        <x:v>1042</x:v>
      </x:c>
      <x:c r="H393" s="1">
        <x:v>41</x:v>
      </x:c>
      <x:c r="I393" s="1">
        <x:v>25</x:v>
      </x:c>
      <x:c r="J393" s="1">
        <x:v>0.7</x:v>
      </x:c>
      <x:c r="K393" s="1" t="s">
        <x:v>1100</x:v>
      </x:c>
      <x:c r="L393" s="1">
        <x:v>2.97</x:v>
      </x:c>
      <x:c r="M393" s="1">
        <x:v>2.2799999999999998</x:v>
      </x:c>
      <x:c r="N393" s="1">
        <x:v>9970</x:v>
      </x:c>
      <x:c r="O393" s="1" t="s">
        <x:v>1044</x:v>
      </x:c>
      <x:c r="P393" s="42" t="str">
        <x:v>Lv70~85</x:v>
      </x:c>
      <x:c r="Q393" s="42" t="str">
        <x:v>III~IV</x:v>
      </x:c>
      <x:c r="R393" s="42" t="str">
        <x:v>5</x:v>
      </x:c>
      <x:c r="S393" s="42" t="str">
        <x:v>Hard 중후반: 주요 벽 7~10일 / 사이 스테이지 연속 진행</x:v>
      </x:c>
      <x:c r="T393" s="42" t="n">
        <x:v>16</x:v>
      </x:c>
      <x:c r="U393" s="42" t="n">
        <x:v>656</x:v>
      </x:c>
      <x:c r="V393" s="42" t="n">
        <x:v>138</x:v>
      </x:c>
      <x:c r="W393" s="42" t="n">
        <x:v>14</x:v>
      </x:c>
      <x:c r="X393" s="42" t="n">
        <x:v>41</x:v>
      </x:c>
      <x:c r="Y393" s="42" t="str"/>
    </x:row>
    <x:row r="394">
      <x:c r="A394" s="1">
        <x:v>40</x:v>
      </x:c>
      <x:c r="B394" s="1" t="s">
        <x:v>681</x:v>
      </x:c>
      <x:c r="C394" s="1" t="s">
        <x:v>314</x:v>
      </x:c>
      <x:c r="D394" s="1">
        <x:v>1</x:v>
      </x:c>
      <x:c r="E394" s="1">
        <x:v>3</x:v>
      </x:c>
      <x:c r="F394" s="1">
        <x:v>3</x:v>
      </x:c>
      <x:c r="G394" s="1" t="s">
        <x:v>1042</x:v>
      </x:c>
      <x:c r="H394" s="1">
        <x:v>43</x:v>
      </x:c>
      <x:c r="I394" s="1">
        <x:v>27</x:v>
      </x:c>
      <x:c r="J394" s="1">
        <x:v>0.68</x:v>
      </x:c>
      <x:c r="K394" s="1" t="s">
        <x:v>1103</x:v>
      </x:c>
      <x:c r="L394" s="1">
        <x:v>3.02</x:v>
      </x:c>
      <x:c r="M394" s="1">
        <x:v>2.3199999999999998</x:v>
      </x:c>
      <x:c r="N394" s="1">
        <x:v>9970</x:v>
      </x:c>
      <x:c r="O394" s="1" t="s">
        <x:v>1044</x:v>
      </x:c>
      <x:c r="P394" s="42" t="str">
        <x:v>Lv70~85</x:v>
      </x:c>
      <x:c r="Q394" s="42" t="str">
        <x:v>III~IV</x:v>
      </x:c>
      <x:c r="R394" s="42" t="str">
        <x:v>5</x:v>
      </x:c>
      <x:c r="S394" s="42" t="str">
        <x:v>Hard 중후반: 주요 벽 7~10일 / 사이 스테이지 연속 진행</x:v>
      </x:c>
      <x:c r="T394" s="42" t="n">
        <x:v>16</x:v>
      </x:c>
      <x:c r="U394" s="42" t="n">
        <x:v>688</x:v>
      </x:c>
      <x:c r="V394" s="42" t="n">
        <x:v>172</x:v>
      </x:c>
      <x:c r="W394" s="42" t="n">
        <x:v>17</x:v>
      </x:c>
      <x:c r="X394" s="42" t="n">
        <x:v>52</x:v>
      </x:c>
      <x:c r="Y394" s="42" t="str"/>
    </x:row>
    <x:row r="395">
      <x:c r="A395" s="1">
        <x:v>40</x:v>
      </x:c>
      <x:c r="B395" s="1" t="s">
        <x:v>681</x:v>
      </x:c>
      <x:c r="C395" s="1" t="s">
        <x:v>314</x:v>
      </x:c>
      <x:c r="D395" s="1">
        <x:v>1</x:v>
      </x:c>
      <x:c r="E395" s="1">
        <x:v>3</x:v>
      </x:c>
      <x:c r="F395" s="1">
        <x:v>4</x:v>
      </x:c>
      <x:c r="G395" s="1" t="s">
        <x:v>1042</x:v>
      </x:c>
      <x:c r="H395" s="1">
        <x:v>46</x:v>
      </x:c>
      <x:c r="I395" s="1">
        <x:v>29</x:v>
      </x:c>
      <x:c r="J395" s="1">
        <x:v>0.66</x:v>
      </x:c>
      <x:c r="K395" s="1" t="s">
        <x:v>1100</x:v>
      </x:c>
      <x:c r="L395" s="1">
        <x:v>3.08</x:v>
      </x:c>
      <x:c r="M395" s="1">
        <x:v>2.36</x:v>
      </x:c>
      <x:c r="N395" s="1">
        <x:v>9970</x:v>
      </x:c>
      <x:c r="O395" s="1" t="s">
        <x:v>1047</x:v>
      </x:c>
      <x:c r="P395" s="42" t="str">
        <x:v>Lv70~85</x:v>
      </x:c>
      <x:c r="Q395" s="42" t="str">
        <x:v>III~IV</x:v>
      </x:c>
      <x:c r="R395" s="42" t="str">
        <x:v>5</x:v>
      </x:c>
      <x:c r="S395" s="42" t="str">
        <x:v>Hard 중후반: 주요 벽 7~10일 / 사이 스테이지 연속 진행</x:v>
      </x:c>
      <x:c r="T395" s="42" t="n">
        <x:v>16</x:v>
      </x:c>
      <x:c r="U395" s="42" t="n">
        <x:v>736</x:v>
      </x:c>
      <x:c r="V395" s="42" t="n">
        <x:v>207</x:v>
      </x:c>
      <x:c r="W395" s="42" t="n">
        <x:v>21</x:v>
      </x:c>
      <x:c r="X395" s="42" t="n">
        <x:v>62</x:v>
      </x:c>
      <x:c r="Y395" s="42" t="str"/>
    </x:row>
    <x:row r="396">
      <x:c r="A396" s="1">
        <x:v>40</x:v>
      </x:c>
      <x:c r="B396" s="1" t="s">
        <x:v>681</x:v>
      </x:c>
      <x:c r="C396" s="1" t="s">
        <x:v>314</x:v>
      </x:c>
      <x:c r="D396" s="1">
        <x:v>1</x:v>
      </x:c>
      <x:c r="E396" s="1">
        <x:v>3</x:v>
      </x:c>
      <x:c r="F396" s="1">
        <x:v>5</x:v>
      </x:c>
      <x:c r="G396" s="1" t="s">
        <x:v>1048</x:v>
      </x:c>
      <x:c r="H396" s="1">
        <x:v>40</x:v>
      </x:c>
      <x:c r="I396" s="1">
        <x:v>30</x:v>
      </x:c>
      <x:c r="J396" s="1">
        <x:v>0.64</x:v>
      </x:c>
      <x:c r="K396" s="1" t="s">
        <x:v>1221</x:v>
      </x:c>
      <x:c r="L396" s="1">
        <x:v>3.14</x:v>
      </x:c>
      <x:c r="M396" s="1">
        <x:v>2.4</x:v>
      </x:c>
      <x:c r="N396" s="1">
        <x:v>9970</x:v>
      </x:c>
      <x:c r="O396" s="1" t="s">
        <x:v>1050</x:v>
      </x:c>
      <x:c r="P396" s="42" t="str">
        <x:v>Lv70~85</x:v>
      </x:c>
      <x:c r="Q396" s="42" t="str">
        <x:v>III~IV</x:v>
      </x:c>
      <x:c r="R396" s="42" t="str">
        <x:v>5</x:v>
      </x:c>
      <x:c r="S396" s="42" t="str">
        <x:v>Hard 중후반: 주요 벽 7~10일 / 사이 스테이지 연속 진행</x:v>
      </x:c>
      <x:c r="T396" s="42" t="n">
        <x:v>16</x:v>
      </x:c>
      <x:c r="U396" s="42" t="n">
        <x:v>909</x:v>
      </x:c>
      <x:c r="V396" s="42" t="n">
        <x:v>345</x:v>
      </x:c>
      <x:c r="W396" s="42" t="n">
        <x:v>34</x:v>
      </x:c>
      <x:c r="X396" s="42" t="n">
        <x:v>104</x:v>
      </x:c>
      <x:c r="Y396" s="42" t="str">
        <x:v>중간보스 현상금 포함</x:v>
      </x:c>
    </x:row>
    <x:row r="397">
      <x:c r="A397" s="1">
        <x:v>40</x:v>
      </x:c>
      <x:c r="B397" s="1" t="s">
        <x:v>681</x:v>
      </x:c>
      <x:c r="C397" s="1" t="s">
        <x:v>314</x:v>
      </x:c>
      <x:c r="D397" s="1">
        <x:v>1</x:v>
      </x:c>
      <x:c r="E397" s="1">
        <x:v>3</x:v>
      </x:c>
      <x:c r="F397" s="1">
        <x:v>6</x:v>
      </x:c>
      <x:c r="G397" s="1" t="s">
        <x:v>1042</x:v>
      </x:c>
      <x:c r="H397" s="1">
        <x:v>51</x:v>
      </x:c>
      <x:c r="I397" s="1">
        <x:v>32</x:v>
      </x:c>
      <x:c r="J397" s="1">
        <x:v>0.62</x:v>
      </x:c>
      <x:c r="K397" s="1" t="s">
        <x:v>1109</x:v>
      </x:c>
      <x:c r="L397" s="1">
        <x:v>3.19</x:v>
      </x:c>
      <x:c r="M397" s="1">
        <x:v>2.44</x:v>
      </x:c>
      <x:c r="N397" s="1">
        <x:v>9970</x:v>
      </x:c>
      <x:c r="O397" s="1" t="s">
        <x:v>1052</x:v>
      </x:c>
      <x:c r="P397" s="42" t="str">
        <x:v>Lv70~85</x:v>
      </x:c>
      <x:c r="Q397" s="42" t="str">
        <x:v>III~IV</x:v>
      </x:c>
      <x:c r="R397" s="42" t="str">
        <x:v>5</x:v>
      </x:c>
      <x:c r="S397" s="42" t="str">
        <x:v>Hard 중후반: 주요 벽 7~10일 / 사이 스테이지 연속 진행</x:v>
      </x:c>
      <x:c r="T397" s="42" t="n">
        <x:v>16</x:v>
      </x:c>
      <x:c r="U397" s="42" t="n">
        <x:v>816</x:v>
      </x:c>
      <x:c r="V397" s="42" t="n">
        <x:v>253</x:v>
      </x:c>
      <x:c r="W397" s="42" t="n">
        <x:v>25</x:v>
      </x:c>
      <x:c r="X397" s="42" t="n">
        <x:v>76</x:v>
      </x:c>
      <x:c r="Y397" s="42" t="str"/>
    </x:row>
    <x:row r="398">
      <x:c r="A398" s="1">
        <x:v>40</x:v>
      </x:c>
      <x:c r="B398" s="1" t="s">
        <x:v>681</x:v>
      </x:c>
      <x:c r="C398" s="1" t="s">
        <x:v>314</x:v>
      </x:c>
      <x:c r="D398" s="1">
        <x:v>1</x:v>
      </x:c>
      <x:c r="E398" s="1">
        <x:v>3</x:v>
      </x:c>
      <x:c r="F398" s="1">
        <x:v>7</x:v>
      </x:c>
      <x:c r="G398" s="1" t="s">
        <x:v>1042</x:v>
      </x:c>
      <x:c r="H398" s="1">
        <x:v>54</x:v>
      </x:c>
      <x:c r="I398" s="1">
        <x:v>33</x:v>
      </x:c>
      <x:c r="J398" s="1">
        <x:v>0.6</x:v>
      </x:c>
      <x:c r="K398" s="1" t="s">
        <x:v>1105</x:v>
      </x:c>
      <x:c r="L398" s="1">
        <x:v>3.25</x:v>
      </x:c>
      <x:c r="M398" s="1">
        <x:v>2.48</x:v>
      </x:c>
      <x:c r="N398" s="1">
        <x:v>9970</x:v>
      </x:c>
      <x:c r="O398" s="1" t="s">
        <x:v>1052</x:v>
      </x:c>
      <x:c r="P398" s="42" t="str">
        <x:v>Lv70~85</x:v>
      </x:c>
      <x:c r="Q398" s="42" t="str">
        <x:v>III~IV</x:v>
      </x:c>
      <x:c r="R398" s="42" t="str">
        <x:v>5</x:v>
      </x:c>
      <x:c r="S398" s="42" t="str">
        <x:v>Hard 중후반: 주요 벽 7~10일 / 사이 스테이지 연속 진행</x:v>
      </x:c>
      <x:c r="T398" s="42" t="n">
        <x:v>16</x:v>
      </x:c>
      <x:c r="U398" s="42" t="n">
        <x:v>864</x:v>
      </x:c>
      <x:c r="V398" s="42" t="n">
        <x:v>345</x:v>
      </x:c>
      <x:c r="W398" s="42" t="n">
        <x:v>34</x:v>
      </x:c>
      <x:c r="X398" s="42" t="n">
        <x:v>104</x:v>
      </x:c>
      <x:c r="Y398" s="42" t="str"/>
    </x:row>
    <x:row r="399">
      <x:c r="A399" s="1">
        <x:v>40</x:v>
      </x:c>
      <x:c r="B399" s="1" t="s">
        <x:v>681</x:v>
      </x:c>
      <x:c r="C399" s="1" t="s">
        <x:v>314</x:v>
      </x:c>
      <x:c r="D399" s="1">
        <x:v>1</x:v>
      </x:c>
      <x:c r="E399" s="1">
        <x:v>3</x:v>
      </x:c>
      <x:c r="F399" s="1">
        <x:v>8</x:v>
      </x:c>
      <x:c r="G399" s="1" t="s">
        <x:v>1042</x:v>
      </x:c>
      <x:c r="H399" s="1">
        <x:v>56</x:v>
      </x:c>
      <x:c r="I399" s="1">
        <x:v>35</x:v>
      </x:c>
      <x:c r="J399" s="1">
        <x:v>0.57999999999999996</x:v>
      </x:c>
      <x:c r="K399" s="1" t="s">
        <x:v>1106</x:v>
      </x:c>
      <x:c r="L399" s="1">
        <x:v>3.3</x:v>
      </x:c>
      <x:c r="M399" s="1">
        <x:v>2.52</x:v>
      </x:c>
      <x:c r="N399" s="1">
        <x:v>9970</x:v>
      </x:c>
      <x:c r="O399" s="1" t="s">
        <x:v>1052</x:v>
      </x:c>
      <x:c r="P399" s="42" t="str">
        <x:v>Lv70~85</x:v>
      </x:c>
      <x:c r="Q399" s="42" t="str">
        <x:v>III~IV</x:v>
      </x:c>
      <x:c r="R399" s="42" t="str">
        <x:v>5</x:v>
      </x:c>
      <x:c r="S399" s="42" t="str">
        <x:v>Hard 중후반: 주요 벽 7~10일 / 사이 스테이지 연속 진행</x:v>
      </x:c>
      <x:c r="T399" s="42" t="n">
        <x:v>16</x:v>
      </x:c>
      <x:c r="U399" s="42" t="n">
        <x:v>896</x:v>
      </x:c>
      <x:c r="V399" s="42" t="n">
        <x:v>460</x:v>
      </x:c>
      <x:c r="W399" s="42" t="n">
        <x:v>46</x:v>
      </x:c>
      <x:c r="X399" s="42" t="n">
        <x:v>138</x:v>
      </x:c>
      <x:c r="Y399" s="42" t="str"/>
    </x:row>
    <x:row r="400">
      <x:c r="A400" s="1">
        <x:v>40</x:v>
      </x:c>
      <x:c r="B400" s="1" t="s">
        <x:v>681</x:v>
      </x:c>
      <x:c r="C400" s="1" t="s">
        <x:v>314</x:v>
      </x:c>
      <x:c r="D400" s="1">
        <x:v>1</x:v>
      </x:c>
      <x:c r="E400" s="1">
        <x:v>3</x:v>
      </x:c>
      <x:c r="F400" s="1">
        <x:v>9</x:v>
      </x:c>
      <x:c r="G400" s="1" t="s">
        <x:v>1042</x:v>
      </x:c>
      <x:c r="H400" s="1">
        <x:v>59</x:v>
      </x:c>
      <x:c r="I400" s="1">
        <x:v>37</x:v>
      </x:c>
      <x:c r="J400" s="1">
        <x:v>0.56000000000000005</x:v>
      </x:c>
      <x:c r="K400" s="1" t="s">
        <x:v>1109</x:v>
      </x:c>
      <x:c r="L400" s="1">
        <x:v>3.35</x:v>
      </x:c>
      <x:c r="M400" s="1">
        <x:v>2.56</x:v>
      </x:c>
      <x:c r="N400" s="1">
        <x:v>9970</x:v>
      </x:c>
      <x:c r="O400" s="1" t="s">
        <x:v>1056</x:v>
      </x:c>
      <x:c r="P400" s="42" t="str">
        <x:v>Lv70~85</x:v>
      </x:c>
      <x:c r="Q400" s="42" t="str">
        <x:v>III~IV</x:v>
      </x:c>
      <x:c r="R400" s="42" t="str">
        <x:v>5</x:v>
      </x:c>
      <x:c r="S400" s="42" t="str">
        <x:v>Hard 중후반: 주요 벽 7~10일 / 사이 스테이지 연속 진행</x:v>
      </x:c>
      <x:c r="T400" s="42" t="n">
        <x:v>16</x:v>
      </x:c>
      <x:c r="U400" s="42" t="n">
        <x:v>944</x:v>
      </x:c>
      <x:c r="V400" s="42" t="n">
        <x:v>575</x:v>
      </x:c>
      <x:c r="W400" s="42" t="n">
        <x:v>58</x:v>
      </x:c>
      <x:c r="X400" s="42" t="n">
        <x:v>172</x:v>
      </x:c>
      <x:c r="Y400" s="42" t="str"/>
    </x:row>
    <x:row r="401">
      <x:c r="A401" s="1">
        <x:v>40</x:v>
      </x:c>
      <x:c r="B401" s="1" t="s">
        <x:v>681</x:v>
      </x:c>
      <x:c r="C401" s="1" t="s">
        <x:v>314</x:v>
      </x:c>
      <x:c r="D401" s="1">
        <x:v>1</x:v>
      </x:c>
      <x:c r="E401" s="1">
        <x:v>3</x:v>
      </x:c>
      <x:c r="F401" s="1">
        <x:v>10</x:v>
      </x:c>
      <x:c r="G401" s="1" t="s">
        <x:v>1057</x:v>
      </x:c>
      <x:c r="H401" s="1">
        <x:v>51</x:v>
      </x:c>
      <x:c r="I401" s="1">
        <x:v>38</x:v>
      </x:c>
      <x:c r="J401" s="1">
        <x:v>0.54</x:v>
      </x:c>
      <x:c r="K401" s="1" t="s">
        <x:v>1222</x:v>
      </x:c>
      <x:c r="L401" s="1">
        <x:v>3.41</x:v>
      </x:c>
      <x:c r="M401" s="1">
        <x:v>2.6</x:v>
      </x:c>
      <x:c r="N401" s="1">
        <x:v>9970</x:v>
      </x:c>
      <x:c r="O401" s="1" t="s">
        <x:v>1059</x:v>
      </x:c>
      <x:c r="P401" s="42" t="str">
        <x:v>Lv70~85</x:v>
      </x:c>
      <x:c r="Q401" s="42" t="str">
        <x:v>III~IV</x:v>
      </x:c>
      <x:c r="R401" s="42" t="str">
        <x:v>5</x:v>
      </x:c>
      <x:c r="S401" s="42" t="str">
        <x:v>Hard 중후반: 주요 벽 7~10일 / 사이 스테이지 연속 진행</x:v>
      </x:c>
      <x:c r="T401" s="42" t="n">
        <x:v>16</x:v>
      </x:c>
      <x:c r="U401" s="42" t="n">
        <x:v>800</x:v>
      </x:c>
      <x:c r="V401" s="42" t="n">
        <x:v>0</x:v>
      </x:c>
      <x:c r="W401" s="42" t="n">
        <x:v>0</x:v>
      </x:c>
      <x:c r="X401" s="42" t="n">
        <x:v>0</x:v>
      </x:c>
      <x:c r="Y401" s="42" t="str">
        <x:v>보스 처치 보상은 로비 보상으로 분리</x:v>
      </x:c>
    </x:row>
    <x:row r="402">
      <x:c r="A402" s="1">
        <x:v>41</x:v>
      </x:c>
      <x:c r="B402" s="1" t="s">
        <x:v>681</x:v>
      </x:c>
      <x:c r="C402" s="1" t="s">
        <x:v>314</x:v>
      </x:c>
      <x:c r="D402" s="1">
        <x:v>2</x:v>
      </x:c>
      <x:c r="E402" s="1">
        <x:v>3</x:v>
      </x:c>
      <x:c r="F402" s="1">
        <x:v>1</x:v>
      </x:c>
      <x:c r="G402" s="1" t="s">
        <x:v>1042</x:v>
      </x:c>
      <x:c r="H402" s="1">
        <x:v>39</x:v>
      </x:c>
      <x:c r="I402" s="1">
        <x:v>24</x:v>
      </x:c>
      <x:c r="J402" s="1">
        <x:v>0.71</x:v>
      </x:c>
      <x:c r="K402" s="1" t="s">
        <x:v>1102</x:v>
      </x:c>
      <x:c r="L402" s="1">
        <x:v>3</x:v>
      </x:c>
      <x:c r="M402" s="1">
        <x:v>2.2999999999999998</x:v>
      </x:c>
      <x:c r="N402" s="1">
        <x:v>10717</x:v>
      </x:c>
      <x:c r="O402" s="1" t="s">
        <x:v>1044</x:v>
      </x:c>
      <x:c r="P402" s="42" t="str">
        <x:v>Lv70~85</x:v>
      </x:c>
      <x:c r="Q402" s="42" t="str">
        <x:v>III~IV</x:v>
      </x:c>
      <x:c r="R402" s="42" t="str">
        <x:v>5</x:v>
      </x:c>
      <x:c r="S402" s="42" t="str">
        <x:v>Hard 중후반: 주요 벽 7~10일 / 사이 스테이지 연속 진행</x:v>
      </x:c>
      <x:c r="T402" s="42" t="n">
        <x:v>16</x:v>
      </x:c>
      <x:c r="U402" s="42" t="n">
        <x:v>624</x:v>
      </x:c>
      <x:c r="V402" s="42" t="n">
        <x:v>115</x:v>
      </x:c>
      <x:c r="W402" s="42" t="n">
        <x:v>12</x:v>
      </x:c>
      <x:c r="X402" s="42" t="n">
        <x:v>34</x:v>
      </x:c>
      <x:c r="Y402" s="42" t="str"/>
    </x:row>
    <x:row r="403">
      <x:c r="A403" s="1">
        <x:v>41</x:v>
      </x:c>
      <x:c r="B403" s="1" t="s">
        <x:v>681</x:v>
      </x:c>
      <x:c r="C403" s="1" t="s">
        <x:v>314</x:v>
      </x:c>
      <x:c r="D403" s="1">
        <x:v>2</x:v>
      </x:c>
      <x:c r="E403" s="1">
        <x:v>3</x:v>
      </x:c>
      <x:c r="F403" s="1">
        <x:v>2</x:v>
      </x:c>
      <x:c r="G403" s="1" t="s">
        <x:v>1042</x:v>
      </x:c>
      <x:c r="H403" s="1">
        <x:v>42</x:v>
      </x:c>
      <x:c r="I403" s="1">
        <x:v>26</x:v>
      </x:c>
      <x:c r="J403" s="1">
        <x:v>0.69</x:v>
      </x:c>
      <x:c r="K403" s="1" t="s">
        <x:v>1103</x:v>
      </x:c>
      <x:c r="L403" s="1">
        <x:v>3.06</x:v>
      </x:c>
      <x:c r="M403" s="1">
        <x:v>2.34</x:v>
      </x:c>
      <x:c r="N403" s="1">
        <x:v>10717</x:v>
      </x:c>
      <x:c r="O403" s="1" t="s">
        <x:v>1044</x:v>
      </x:c>
      <x:c r="P403" s="42" t="str">
        <x:v>Lv70~85</x:v>
      </x:c>
      <x:c r="Q403" s="42" t="str">
        <x:v>III~IV</x:v>
      </x:c>
      <x:c r="R403" s="42" t="str">
        <x:v>5</x:v>
      </x:c>
      <x:c r="S403" s="42" t="str">
        <x:v>Hard 중후반: 주요 벽 7~10일 / 사이 스테이지 연속 진행</x:v>
      </x:c>
      <x:c r="T403" s="42" t="n">
        <x:v>16</x:v>
      </x:c>
      <x:c r="U403" s="42" t="n">
        <x:v>672</x:v>
      </x:c>
      <x:c r="V403" s="42" t="n">
        <x:v>138</x:v>
      </x:c>
      <x:c r="W403" s="42" t="n">
        <x:v>14</x:v>
      </x:c>
      <x:c r="X403" s="42" t="n">
        <x:v>41</x:v>
      </x:c>
      <x:c r="Y403" s="42" t="str"/>
    </x:row>
    <x:row r="404">
      <x:c r="A404" s="1">
        <x:v>41</x:v>
      </x:c>
      <x:c r="B404" s="1" t="s">
        <x:v>681</x:v>
      </x:c>
      <x:c r="C404" s="1" t="s">
        <x:v>314</x:v>
      </x:c>
      <x:c r="D404" s="1">
        <x:v>2</x:v>
      </x:c>
      <x:c r="E404" s="1">
        <x:v>3</x:v>
      </x:c>
      <x:c r="F404" s="1">
        <x:v>3</x:v>
      </x:c>
      <x:c r="G404" s="1" t="s">
        <x:v>1042</x:v>
      </x:c>
      <x:c r="H404" s="1">
        <x:v>44</x:v>
      </x:c>
      <x:c r="I404" s="1">
        <x:v>27</x:v>
      </x:c>
      <x:c r="J404" s="1">
        <x:v>0.67</x:v>
      </x:c>
      <x:c r="K404" s="1" t="s">
        <x:v>1107</x:v>
      </x:c>
      <x:c r="L404" s="1">
        <x:v>3.11</x:v>
      </x:c>
      <x:c r="M404" s="1">
        <x:v>2.38</x:v>
      </x:c>
      <x:c r="N404" s="1">
        <x:v>10717</x:v>
      </x:c>
      <x:c r="O404" s="1" t="s">
        <x:v>1044</x:v>
      </x:c>
      <x:c r="P404" s="42" t="str">
        <x:v>Lv70~85</x:v>
      </x:c>
      <x:c r="Q404" s="42" t="str">
        <x:v>III~IV</x:v>
      </x:c>
      <x:c r="R404" s="42" t="str">
        <x:v>5</x:v>
      </x:c>
      <x:c r="S404" s="42" t="str">
        <x:v>Hard 중후반: 주요 벽 7~10일 / 사이 스테이지 연속 진행</x:v>
      </x:c>
      <x:c r="T404" s="42" t="n">
        <x:v>16</x:v>
      </x:c>
      <x:c r="U404" s="42" t="n">
        <x:v>704</x:v>
      </x:c>
      <x:c r="V404" s="42" t="n">
        <x:v>172</x:v>
      </x:c>
      <x:c r="W404" s="42" t="n">
        <x:v>17</x:v>
      </x:c>
      <x:c r="X404" s="42" t="n">
        <x:v>52</x:v>
      </x:c>
      <x:c r="Y404" s="42" t="str"/>
    </x:row>
    <x:row r="405">
      <x:c r="A405" s="1">
        <x:v>41</x:v>
      </x:c>
      <x:c r="B405" s="1" t="s">
        <x:v>681</x:v>
      </x:c>
      <x:c r="C405" s="1" t="s">
        <x:v>314</x:v>
      </x:c>
      <x:c r="D405" s="1">
        <x:v>2</x:v>
      </x:c>
      <x:c r="E405" s="1">
        <x:v>3</x:v>
      </x:c>
      <x:c r="F405" s="1">
        <x:v>4</x:v>
      </x:c>
      <x:c r="G405" s="1" t="s">
        <x:v>1042</x:v>
      </x:c>
      <x:c r="H405" s="1">
        <x:v>47</x:v>
      </x:c>
      <x:c r="I405" s="1">
        <x:v>29</x:v>
      </x:c>
      <x:c r="J405" s="1">
        <x:v>0.65</x:v>
      </x:c>
      <x:c r="K405" s="1" t="s">
        <x:v>1100</x:v>
      </x:c>
      <x:c r="L405" s="1">
        <x:v>3.17</x:v>
      </x:c>
      <x:c r="M405" s="1">
        <x:v>2.42</x:v>
      </x:c>
      <x:c r="N405" s="1">
        <x:v>10717</x:v>
      </x:c>
      <x:c r="O405" s="1" t="s">
        <x:v>1047</x:v>
      </x:c>
      <x:c r="P405" s="42" t="str">
        <x:v>Lv70~85</x:v>
      </x:c>
      <x:c r="Q405" s="42" t="str">
        <x:v>III~IV</x:v>
      </x:c>
      <x:c r="R405" s="42" t="str">
        <x:v>5</x:v>
      </x:c>
      <x:c r="S405" s="42" t="str">
        <x:v>Hard 중후반: 주요 벽 7~10일 / 사이 스테이지 연속 진행</x:v>
      </x:c>
      <x:c r="T405" s="42" t="n">
        <x:v>16</x:v>
      </x:c>
      <x:c r="U405" s="42" t="n">
        <x:v>752</x:v>
      </x:c>
      <x:c r="V405" s="42" t="n">
        <x:v>207</x:v>
      </x:c>
      <x:c r="W405" s="42" t="n">
        <x:v>21</x:v>
      </x:c>
      <x:c r="X405" s="42" t="n">
        <x:v>62</x:v>
      </x:c>
      <x:c r="Y405" s="42" t="str"/>
    </x:row>
    <x:row r="406">
      <x:c r="A406" s="1">
        <x:v>41</x:v>
      </x:c>
      <x:c r="B406" s="1" t="s">
        <x:v>681</x:v>
      </x:c>
      <x:c r="C406" s="1" t="s">
        <x:v>314</x:v>
      </x:c>
      <x:c r="D406" s="1">
        <x:v>2</x:v>
      </x:c>
      <x:c r="E406" s="1">
        <x:v>3</x:v>
      </x:c>
      <x:c r="F406" s="1">
        <x:v>5</x:v>
      </x:c>
      <x:c r="G406" s="1" t="s">
        <x:v>1048</x:v>
      </x:c>
      <x:c r="H406" s="1">
        <x:v>42</x:v>
      </x:c>
      <x:c r="I406" s="1">
        <x:v>31</x:v>
      </x:c>
      <x:c r="J406" s="1">
        <x:v>0.63</x:v>
      </x:c>
      <x:c r="K406" s="1" t="s">
        <x:v>1223</x:v>
      </x:c>
      <x:c r="L406" s="1">
        <x:v>3.22</x:v>
      </x:c>
      <x:c r="M406" s="1">
        <x:v>2.46</x:v>
      </x:c>
      <x:c r="N406" s="1">
        <x:v>10717</x:v>
      </x:c>
      <x:c r="O406" s="1" t="s">
        <x:v>1050</x:v>
      </x:c>
      <x:c r="P406" s="42" t="str">
        <x:v>Lv70~85</x:v>
      </x:c>
      <x:c r="Q406" s="42" t="str">
        <x:v>III~IV</x:v>
      </x:c>
      <x:c r="R406" s="42" t="str">
        <x:v>5</x:v>
      </x:c>
      <x:c r="S406" s="42" t="str">
        <x:v>Hard 중후반: 주요 벽 7~10일 / 사이 스테이지 연속 진행</x:v>
      </x:c>
      <x:c r="T406" s="42" t="n">
        <x:v>16</x:v>
      </x:c>
      <x:c r="U406" s="42" t="n">
        <x:v>944</x:v>
      </x:c>
      <x:c r="V406" s="42" t="n">
        <x:v>345</x:v>
      </x:c>
      <x:c r="W406" s="42" t="n">
        <x:v>34</x:v>
      </x:c>
      <x:c r="X406" s="42" t="n">
        <x:v>104</x:v>
      </x:c>
      <x:c r="Y406" s="42" t="str">
        <x:v>중간보스 현상금 포함</x:v>
      </x:c>
    </x:row>
    <x:row r="407">
      <x:c r="A407" s="1">
        <x:v>41</x:v>
      </x:c>
      <x:c r="B407" s="1" t="s">
        <x:v>681</x:v>
      </x:c>
      <x:c r="C407" s="1" t="s">
        <x:v>314</x:v>
      </x:c>
      <x:c r="D407" s="1">
        <x:v>2</x:v>
      </x:c>
      <x:c r="E407" s="1">
        <x:v>3</x:v>
      </x:c>
      <x:c r="F407" s="1">
        <x:v>6</x:v>
      </x:c>
      <x:c r="G407" s="1" t="s">
        <x:v>1042</x:v>
      </x:c>
      <x:c r="H407" s="1">
        <x:v>52</x:v>
      </x:c>
      <x:c r="I407" s="1">
        <x:v>32</x:v>
      </x:c>
      <x:c r="J407" s="1">
        <x:v>0.61</x:v>
      </x:c>
      <x:c r="K407" s="1" t="s">
        <x:v>1112</x:v>
      </x:c>
      <x:c r="L407" s="1">
        <x:v>3.27</x:v>
      </x:c>
      <x:c r="M407" s="1">
        <x:v>2.5</x:v>
      </x:c>
      <x:c r="N407" s="1">
        <x:v>10717</x:v>
      </x:c>
      <x:c r="O407" s="1" t="s">
        <x:v>1052</x:v>
      </x:c>
      <x:c r="P407" s="42" t="str">
        <x:v>Lv70~85</x:v>
      </x:c>
      <x:c r="Q407" s="42" t="str">
        <x:v>III~IV</x:v>
      </x:c>
      <x:c r="R407" s="42" t="str">
        <x:v>5</x:v>
      </x:c>
      <x:c r="S407" s="42" t="str">
        <x:v>Hard 중후반: 주요 벽 7~10일 / 사이 스테이지 연속 진행</x:v>
      </x:c>
      <x:c r="T407" s="42" t="n">
        <x:v>16</x:v>
      </x:c>
      <x:c r="U407" s="42" t="n">
        <x:v>832</x:v>
      </x:c>
      <x:c r="V407" s="42" t="n">
        <x:v>253</x:v>
      </x:c>
      <x:c r="W407" s="42" t="n">
        <x:v>25</x:v>
      </x:c>
      <x:c r="X407" s="42" t="n">
        <x:v>76</x:v>
      </x:c>
      <x:c r="Y407" s="42" t="str"/>
    </x:row>
    <x:row r="408">
      <x:c r="A408" s="1">
        <x:v>41</x:v>
      </x:c>
      <x:c r="B408" s="1" t="s">
        <x:v>681</x:v>
      </x:c>
      <x:c r="C408" s="1" t="s">
        <x:v>314</x:v>
      </x:c>
      <x:c r="D408" s="1">
        <x:v>2</x:v>
      </x:c>
      <x:c r="E408" s="1">
        <x:v>3</x:v>
      </x:c>
      <x:c r="F408" s="1">
        <x:v>7</x:v>
      </x:c>
      <x:c r="G408" s="1" t="s">
        <x:v>1042</x:v>
      </x:c>
      <x:c r="H408" s="1">
        <x:v>55</x:v>
      </x:c>
      <x:c r="I408" s="1">
        <x:v>34</x:v>
      </x:c>
      <x:c r="J408" s="1">
        <x:v>0.59</x:v>
      </x:c>
      <x:c r="K408" s="1" t="s">
        <x:v>1100</x:v>
      </x:c>
      <x:c r="L408" s="1">
        <x:v>3.33</x:v>
      </x:c>
      <x:c r="M408" s="1">
        <x:v>2.54</x:v>
      </x:c>
      <x:c r="N408" s="1">
        <x:v>10717</x:v>
      </x:c>
      <x:c r="O408" s="1" t="s">
        <x:v>1052</x:v>
      </x:c>
      <x:c r="P408" s="42" t="str">
        <x:v>Lv70~85</x:v>
      </x:c>
      <x:c r="Q408" s="42" t="str">
        <x:v>III~IV</x:v>
      </x:c>
      <x:c r="R408" s="42" t="str">
        <x:v>5</x:v>
      </x:c>
      <x:c r="S408" s="42" t="str">
        <x:v>Hard 중후반: 주요 벽 7~10일 / 사이 스테이지 연속 진행</x:v>
      </x:c>
      <x:c r="T408" s="42" t="n">
        <x:v>16</x:v>
      </x:c>
      <x:c r="U408" s="42" t="n">
        <x:v>880</x:v>
      </x:c>
      <x:c r="V408" s="42" t="n">
        <x:v>345</x:v>
      </x:c>
      <x:c r="W408" s="42" t="n">
        <x:v>34</x:v>
      </x:c>
      <x:c r="X408" s="42" t="n">
        <x:v>104</x:v>
      </x:c>
      <x:c r="Y408" s="42" t="str"/>
    </x:row>
    <x:row r="409">
      <x:c r="A409" s="1">
        <x:v>41</x:v>
      </x:c>
      <x:c r="B409" s="1" t="s">
        <x:v>681</x:v>
      </x:c>
      <x:c r="C409" s="1" t="s">
        <x:v>314</x:v>
      </x:c>
      <x:c r="D409" s="1">
        <x:v>2</x:v>
      </x:c>
      <x:c r="E409" s="1">
        <x:v>3</x:v>
      </x:c>
      <x:c r="F409" s="1">
        <x:v>8</x:v>
      </x:c>
      <x:c r="G409" s="1" t="s">
        <x:v>1042</x:v>
      </x:c>
      <x:c r="H409" s="1">
        <x:v>57</x:v>
      </x:c>
      <x:c r="I409" s="1">
        <x:v>35</x:v>
      </x:c>
      <x:c r="J409" s="1">
        <x:v>0.56999999999999995</x:v>
      </x:c>
      <x:c r="K409" s="1" t="s">
        <x:v>1109</x:v>
      </x:c>
      <x:c r="L409" s="1">
        <x:v>3.38</x:v>
      </x:c>
      <x:c r="M409" s="1">
        <x:v>2.58</x:v>
      </x:c>
      <x:c r="N409" s="1">
        <x:v>10717</x:v>
      </x:c>
      <x:c r="O409" s="1" t="s">
        <x:v>1052</x:v>
      </x:c>
      <x:c r="P409" s="42" t="str">
        <x:v>Lv70~85</x:v>
      </x:c>
      <x:c r="Q409" s="42" t="str">
        <x:v>III~IV</x:v>
      </x:c>
      <x:c r="R409" s="42" t="str">
        <x:v>5</x:v>
      </x:c>
      <x:c r="S409" s="42" t="str">
        <x:v>Hard 중후반: 주요 벽 7~10일 / 사이 스테이지 연속 진행</x:v>
      </x:c>
      <x:c r="T409" s="42" t="n">
        <x:v>16</x:v>
      </x:c>
      <x:c r="U409" s="42" t="n">
        <x:v>912</x:v>
      </x:c>
      <x:c r="V409" s="42" t="n">
        <x:v>460</x:v>
      </x:c>
      <x:c r="W409" s="42" t="n">
        <x:v>46</x:v>
      </x:c>
      <x:c r="X409" s="42" t="n">
        <x:v>138</x:v>
      </x:c>
      <x:c r="Y409" s="42" t="str"/>
    </x:row>
    <x:row r="410">
      <x:c r="A410" s="1">
        <x:v>41</x:v>
      </x:c>
      <x:c r="B410" s="1" t="s">
        <x:v>681</x:v>
      </x:c>
      <x:c r="C410" s="1" t="s">
        <x:v>314</x:v>
      </x:c>
      <x:c r="D410" s="1">
        <x:v>2</x:v>
      </x:c>
      <x:c r="E410" s="1">
        <x:v>3</x:v>
      </x:c>
      <x:c r="F410" s="1">
        <x:v>9</x:v>
      </x:c>
      <x:c r="G410" s="1" t="s">
        <x:v>1042</x:v>
      </x:c>
      <x:c r="H410" s="1">
        <x:v>60</x:v>
      </x:c>
      <x:c r="I410" s="1">
        <x:v>37</x:v>
      </x:c>
      <x:c r="J410" s="1">
        <x:v>0.55000000000000004</x:v>
      </x:c>
      <x:c r="K410" s="1" t="s">
        <x:v>1109</x:v>
      </x:c>
      <x:c r="L410" s="1">
        <x:v>3.44</x:v>
      </x:c>
      <x:c r="M410" s="1">
        <x:v>2.62</x:v>
      </x:c>
      <x:c r="N410" s="1">
        <x:v>10717</x:v>
      </x:c>
      <x:c r="O410" s="1" t="s">
        <x:v>1056</x:v>
      </x:c>
      <x:c r="P410" s="42" t="str">
        <x:v>Lv70~85</x:v>
      </x:c>
      <x:c r="Q410" s="42" t="str">
        <x:v>III~IV</x:v>
      </x:c>
      <x:c r="R410" s="42" t="str">
        <x:v>5</x:v>
      </x:c>
      <x:c r="S410" s="42" t="str">
        <x:v>Hard 중후반: 주요 벽 7~10일 / 사이 스테이지 연속 진행</x:v>
      </x:c>
      <x:c r="T410" s="42" t="n">
        <x:v>16</x:v>
      </x:c>
      <x:c r="U410" s="42" t="n">
        <x:v>960</x:v>
      </x:c>
      <x:c r="V410" s="42" t="n">
        <x:v>575</x:v>
      </x:c>
      <x:c r="W410" s="42" t="n">
        <x:v>58</x:v>
      </x:c>
      <x:c r="X410" s="42" t="n">
        <x:v>172</x:v>
      </x:c>
      <x:c r="Y410" s="42" t="str"/>
    </x:row>
    <x:row r="411">
      <x:c r="A411" s="1">
        <x:v>41</x:v>
      </x:c>
      <x:c r="B411" s="1" t="s">
        <x:v>681</x:v>
      </x:c>
      <x:c r="C411" s="1" t="s">
        <x:v>314</x:v>
      </x:c>
      <x:c r="D411" s="1">
        <x:v>2</x:v>
      </x:c>
      <x:c r="E411" s="1">
        <x:v>3</x:v>
      </x:c>
      <x:c r="F411" s="1">
        <x:v>10</x:v>
      </x:c>
      <x:c r="G411" s="1" t="s">
        <x:v>1057</x:v>
      </x:c>
      <x:c r="H411" s="1">
        <x:v>52</x:v>
      </x:c>
      <x:c r="I411" s="1">
        <x:v>38</x:v>
      </x:c>
      <x:c r="J411" s="1">
        <x:v>0.53</x:v>
      </x:c>
      <x:c r="K411" s="1" t="s">
        <x:v>1224</x:v>
      </x:c>
      <x:c r="L411" s="1">
        <x:v>3.5</x:v>
      </x:c>
      <x:c r="M411" s="1">
        <x:v>2.66</x:v>
      </x:c>
      <x:c r="N411" s="1">
        <x:v>10717</x:v>
      </x:c>
      <x:c r="O411" s="1" t="s">
        <x:v>1059</x:v>
      </x:c>
      <x:c r="P411" s="42" t="str">
        <x:v>Lv70~85</x:v>
      </x:c>
      <x:c r="Q411" s="42" t="str">
        <x:v>III~IV</x:v>
      </x:c>
      <x:c r="R411" s="42" t="str">
        <x:v>5</x:v>
      </x:c>
      <x:c r="S411" s="42" t="str">
        <x:v>Hard 중후반: 주요 벽 7~10일 / 사이 스테이지 연속 진행</x:v>
      </x:c>
      <x:c r="T411" s="42" t="n">
        <x:v>16</x:v>
      </x:c>
      <x:c r="U411" s="42" t="n">
        <x:v>816</x:v>
      </x:c>
      <x:c r="V411" s="42" t="n">
        <x:v>0</x:v>
      </x:c>
      <x:c r="W411" s="42" t="n">
        <x:v>0</x:v>
      </x:c>
      <x:c r="X411" s="42" t="n">
        <x:v>0</x:v>
      </x:c>
      <x:c r="Y411" s="42" t="str">
        <x:v>보스 처치 보상은 로비 보상으로 분리</x:v>
      </x:c>
    </x:row>
    <x:row r="412">
      <x:c r="A412" s="1">
        <x:v>42</x:v>
      </x:c>
      <x:c r="B412" s="1" t="s">
        <x:v>681</x:v>
      </x:c>
      <x:c r="C412" s="1" t="s">
        <x:v>314</x:v>
      </x:c>
      <x:c r="D412" s="1">
        <x:v>3</x:v>
      </x:c>
      <x:c r="E412" s="1">
        <x:v>4</x:v>
      </x:c>
      <x:c r="F412" s="1">
        <x:v>1</x:v>
      </x:c>
      <x:c r="G412" s="1" t="s">
        <x:v>1042</x:v>
      </x:c>
      <x:c r="H412" s="1">
        <x:v>42</x:v>
      </x:c>
      <x:c r="I412" s="1">
        <x:v>26</x:v>
      </x:c>
      <x:c r="J412" s="1">
        <x:v>0.7</x:v>
      </x:c>
      <x:c r="K412" s="1" t="s">
        <x:v>1106</x:v>
      </x:c>
      <x:c r="L412" s="1">
        <x:v>3.08</x:v>
      </x:c>
      <x:c r="M412" s="1">
        <x:v>2.36</x:v>
      </x:c>
      <x:c r="N412" s="1">
        <x:v>11521</x:v>
      </x:c>
      <x:c r="O412" s="1" t="s">
        <x:v>1044</x:v>
      </x:c>
      <x:c r="P412" s="42" t="str">
        <x:v>Lv70~85</x:v>
      </x:c>
      <x:c r="Q412" s="42" t="str">
        <x:v>III~IV</x:v>
      </x:c>
      <x:c r="R412" s="42" t="str">
        <x:v>5</x:v>
      </x:c>
      <x:c r="S412" s="42" t="str">
        <x:v>Hard 중후반: 주요 벽 7~10일 / 사이 스테이지 연속 진행</x:v>
      </x:c>
      <x:c r="T412" s="42" t="n">
        <x:v>16</x:v>
      </x:c>
      <x:c r="U412" s="42" t="n">
        <x:v>672</x:v>
      </x:c>
      <x:c r="V412" s="42" t="n">
        <x:v>115</x:v>
      </x:c>
      <x:c r="W412" s="42" t="n">
        <x:v>12</x:v>
      </x:c>
      <x:c r="X412" s="42" t="n">
        <x:v>34</x:v>
      </x:c>
      <x:c r="Y412" s="42" t="str"/>
    </x:row>
    <x:row r="413">
      <x:c r="A413" s="1">
        <x:v>42</x:v>
      </x:c>
      <x:c r="B413" s="1" t="s">
        <x:v>681</x:v>
      </x:c>
      <x:c r="C413" s="1" t="s">
        <x:v>314</x:v>
      </x:c>
      <x:c r="D413" s="1">
        <x:v>3</x:v>
      </x:c>
      <x:c r="E413" s="1">
        <x:v>4</x:v>
      </x:c>
      <x:c r="F413" s="1">
        <x:v>2</x:v>
      </x:c>
      <x:c r="G413" s="1" t="s">
        <x:v>1042</x:v>
      </x:c>
      <x:c r="H413" s="1">
        <x:v>45</x:v>
      </x:c>
      <x:c r="I413" s="1">
        <x:v>28</x:v>
      </x:c>
      <x:c r="J413" s="1">
        <x:v>0.68</x:v>
      </x:c>
      <x:c r="K413" s="1" t="s">
        <x:v>1107</x:v>
      </x:c>
      <x:c r="L413" s="1">
        <x:v>3.14</x:v>
      </x:c>
      <x:c r="M413" s="1">
        <x:v>2.4</x:v>
      </x:c>
      <x:c r="N413" s="1">
        <x:v>11521</x:v>
      </x:c>
      <x:c r="O413" s="1" t="s">
        <x:v>1044</x:v>
      </x:c>
      <x:c r="P413" s="42" t="str">
        <x:v>Lv70~85</x:v>
      </x:c>
      <x:c r="Q413" s="42" t="str">
        <x:v>III~IV</x:v>
      </x:c>
      <x:c r="R413" s="42" t="str">
        <x:v>5</x:v>
      </x:c>
      <x:c r="S413" s="42" t="str">
        <x:v>Hard 중후반: 주요 벽 7~10일 / 사이 스테이지 연속 진행</x:v>
      </x:c>
      <x:c r="T413" s="42" t="n">
        <x:v>16</x:v>
      </x:c>
      <x:c r="U413" s="42" t="n">
        <x:v>720</x:v>
      </x:c>
      <x:c r="V413" s="42" t="n">
        <x:v>138</x:v>
      </x:c>
      <x:c r="W413" s="42" t="n">
        <x:v>14</x:v>
      </x:c>
      <x:c r="X413" s="42" t="n">
        <x:v>41</x:v>
      </x:c>
      <x:c r="Y413" s="42" t="str"/>
    </x:row>
    <x:row r="414">
      <x:c r="A414" s="1">
        <x:v>42</x:v>
      </x:c>
      <x:c r="B414" s="1" t="s">
        <x:v>681</x:v>
      </x:c>
      <x:c r="C414" s="1" t="s">
        <x:v>314</x:v>
      </x:c>
      <x:c r="D414" s="1">
        <x:v>3</x:v>
      </x:c>
      <x:c r="E414" s="1">
        <x:v>4</x:v>
      </x:c>
      <x:c r="F414" s="1">
        <x:v>3</x:v>
      </x:c>
      <x:c r="G414" s="1" t="s">
        <x:v>1042</x:v>
      </x:c>
      <x:c r="H414" s="1">
        <x:v>47</x:v>
      </x:c>
      <x:c r="I414" s="1">
        <x:v>29</x:v>
      </x:c>
      <x:c r="J414" s="1">
        <x:v>0.66</x:v>
      </x:c>
      <x:c r="K414" s="1" t="s">
        <x:v>1118</x:v>
      </x:c>
      <x:c r="L414" s="1">
        <x:v>3.19</x:v>
      </x:c>
      <x:c r="M414" s="1">
        <x:v>2.44</x:v>
      </x:c>
      <x:c r="N414" s="1">
        <x:v>11521</x:v>
      </x:c>
      <x:c r="O414" s="1" t="s">
        <x:v>1044</x:v>
      </x:c>
      <x:c r="P414" s="42" t="str">
        <x:v>Lv70~85</x:v>
      </x:c>
      <x:c r="Q414" s="42" t="str">
        <x:v>III~IV</x:v>
      </x:c>
      <x:c r="R414" s="42" t="str">
        <x:v>5</x:v>
      </x:c>
      <x:c r="S414" s="42" t="str">
        <x:v>Hard 중후반: 주요 벽 7~10일 / 사이 스테이지 연속 진행</x:v>
      </x:c>
      <x:c r="T414" s="42" t="n">
        <x:v>16</x:v>
      </x:c>
      <x:c r="U414" s="42" t="n">
        <x:v>752</x:v>
      </x:c>
      <x:c r="V414" s="42" t="n">
        <x:v>172</x:v>
      </x:c>
      <x:c r="W414" s="42" t="n">
        <x:v>17</x:v>
      </x:c>
      <x:c r="X414" s="42" t="n">
        <x:v>52</x:v>
      </x:c>
      <x:c r="Y414" s="42" t="str"/>
    </x:row>
    <x:row r="415">
      <x:c r="A415" s="1">
        <x:v>42</x:v>
      </x:c>
      <x:c r="B415" s="1" t="s">
        <x:v>681</x:v>
      </x:c>
      <x:c r="C415" s="1" t="s">
        <x:v>314</x:v>
      </x:c>
      <x:c r="D415" s="1">
        <x:v>3</x:v>
      </x:c>
      <x:c r="E415" s="1">
        <x:v>4</x:v>
      </x:c>
      <x:c r="F415" s="1">
        <x:v>4</x:v>
      </x:c>
      <x:c r="G415" s="1" t="s">
        <x:v>1042</x:v>
      </x:c>
      <x:c r="H415" s="1">
        <x:v>50</x:v>
      </x:c>
      <x:c r="I415" s="1">
        <x:v>31</x:v>
      </x:c>
      <x:c r="J415" s="1">
        <x:v>0.64</x:v>
      </x:c>
      <x:c r="K415" s="1" t="s">
        <x:v>1111</x:v>
      </x:c>
      <x:c r="L415" s="1">
        <x:v>3.25</x:v>
      </x:c>
      <x:c r="M415" s="1">
        <x:v>2.48</x:v>
      </x:c>
      <x:c r="N415" s="1">
        <x:v>11521</x:v>
      </x:c>
      <x:c r="O415" s="1" t="s">
        <x:v>1047</x:v>
      </x:c>
      <x:c r="P415" s="42" t="str">
        <x:v>Lv70~85</x:v>
      </x:c>
      <x:c r="Q415" s="42" t="str">
        <x:v>III~IV</x:v>
      </x:c>
      <x:c r="R415" s="42" t="str">
        <x:v>5</x:v>
      </x:c>
      <x:c r="S415" s="42" t="str">
        <x:v>Hard 중후반: 주요 벽 7~10일 / 사이 스테이지 연속 진행</x:v>
      </x:c>
      <x:c r="T415" s="42" t="n">
        <x:v>16</x:v>
      </x:c>
      <x:c r="U415" s="42" t="n">
        <x:v>800</x:v>
      </x:c>
      <x:c r="V415" s="42" t="n">
        <x:v>207</x:v>
      </x:c>
      <x:c r="W415" s="42" t="n">
        <x:v>21</x:v>
      </x:c>
      <x:c r="X415" s="42" t="n">
        <x:v>62</x:v>
      </x:c>
      <x:c r="Y415" s="42" t="str"/>
    </x:row>
    <x:row r="416">
      <x:c r="A416" s="1">
        <x:v>42</x:v>
      </x:c>
      <x:c r="B416" s="1" t="s">
        <x:v>681</x:v>
      </x:c>
      <x:c r="C416" s="1" t="s">
        <x:v>314</x:v>
      </x:c>
      <x:c r="D416" s="1">
        <x:v>3</x:v>
      </x:c>
      <x:c r="E416" s="1">
        <x:v>4</x:v>
      </x:c>
      <x:c r="F416" s="1">
        <x:v>5</x:v>
      </x:c>
      <x:c r="G416" s="1" t="s">
        <x:v>1048</x:v>
      </x:c>
      <x:c r="H416" s="1">
        <x:v>45</x:v>
      </x:c>
      <x:c r="I416" s="1">
        <x:v>33</x:v>
      </x:c>
      <x:c r="J416" s="1">
        <x:v>0.62</x:v>
      </x:c>
      <x:c r="K416" s="1" t="s">
        <x:v>1225</x:v>
      </x:c>
      <x:c r="L416" s="1">
        <x:v>3.31</x:v>
      </x:c>
      <x:c r="M416" s="1">
        <x:v>2.52</x:v>
      </x:c>
      <x:c r="N416" s="1">
        <x:v>11521</x:v>
      </x:c>
      <x:c r="O416" s="1" t="s">
        <x:v>1050</x:v>
      </x:c>
      <x:c r="P416" s="42" t="str">
        <x:v>Lv70~85</x:v>
      </x:c>
      <x:c r="Q416" s="42" t="str">
        <x:v>III~IV</x:v>
      </x:c>
      <x:c r="R416" s="42" t="str">
        <x:v>5</x:v>
      </x:c>
      <x:c r="S416" s="42" t="str">
        <x:v>Hard 중후반: 주요 벽 7~10일 / 사이 스테이지 연속 진행</x:v>
      </x:c>
      <x:c r="T416" s="42" t="n">
        <x:v>16</x:v>
      </x:c>
      <x:c r="U416" s="42" t="n">
        <x:v>995</x:v>
      </x:c>
      <x:c r="V416" s="42" t="n">
        <x:v>345</x:v>
      </x:c>
      <x:c r="W416" s="42" t="n">
        <x:v>34</x:v>
      </x:c>
      <x:c r="X416" s="42" t="n">
        <x:v>104</x:v>
      </x:c>
      <x:c r="Y416" s="42" t="str">
        <x:v>중간보스 현상금 포함</x:v>
      </x:c>
    </x:row>
    <x:row r="417">
      <x:c r="A417" s="1">
        <x:v>42</x:v>
      </x:c>
      <x:c r="B417" s="1" t="s">
        <x:v>681</x:v>
      </x:c>
      <x:c r="C417" s="1" t="s">
        <x:v>314</x:v>
      </x:c>
      <x:c r="D417" s="1">
        <x:v>3</x:v>
      </x:c>
      <x:c r="E417" s="1">
        <x:v>4</x:v>
      </x:c>
      <x:c r="F417" s="1">
        <x:v>6</x:v>
      </x:c>
      <x:c r="G417" s="1" t="s">
        <x:v>1042</x:v>
      </x:c>
      <x:c r="H417" s="1">
        <x:v>55</x:v>
      </x:c>
      <x:c r="I417" s="1">
        <x:v>34</x:v>
      </x:c>
      <x:c r="J417" s="1">
        <x:v>0.6</x:v>
      </x:c>
      <x:c r="K417" s="1" t="s">
        <x:v>1115</x:v>
      </x:c>
      <x:c r="L417" s="1">
        <x:v>3.36</x:v>
      </x:c>
      <x:c r="M417" s="1">
        <x:v>2.56</x:v>
      </x:c>
      <x:c r="N417" s="1">
        <x:v>11521</x:v>
      </x:c>
      <x:c r="O417" s="1" t="s">
        <x:v>1052</x:v>
      </x:c>
      <x:c r="P417" s="42" t="str">
        <x:v>Lv70~85</x:v>
      </x:c>
      <x:c r="Q417" s="42" t="str">
        <x:v>III~IV</x:v>
      </x:c>
      <x:c r="R417" s="42" t="str">
        <x:v>5</x:v>
      </x:c>
      <x:c r="S417" s="42" t="str">
        <x:v>Hard 중후반: 주요 벽 7~10일 / 사이 스테이지 연속 진행</x:v>
      </x:c>
      <x:c r="T417" s="42" t="n">
        <x:v>16</x:v>
      </x:c>
      <x:c r="U417" s="42" t="n">
        <x:v>880</x:v>
      </x:c>
      <x:c r="V417" s="42" t="n">
        <x:v>253</x:v>
      </x:c>
      <x:c r="W417" s="42" t="n">
        <x:v>25</x:v>
      </x:c>
      <x:c r="X417" s="42" t="n">
        <x:v>76</x:v>
      </x:c>
      <x:c r="Y417" s="42" t="str"/>
    </x:row>
    <x:row r="418">
      <x:c r="A418" s="1">
        <x:v>42</x:v>
      </x:c>
      <x:c r="B418" s="1" t="s">
        <x:v>681</x:v>
      </x:c>
      <x:c r="C418" s="1" t="s">
        <x:v>314</x:v>
      </x:c>
      <x:c r="D418" s="1">
        <x:v>3</x:v>
      </x:c>
      <x:c r="E418" s="1">
        <x:v>4</x:v>
      </x:c>
      <x:c r="F418" s="1">
        <x:v>7</x:v>
      </x:c>
      <x:c r="G418" s="1" t="s">
        <x:v>1042</x:v>
      </x:c>
      <x:c r="H418" s="1">
        <x:v>58</x:v>
      </x:c>
      <x:c r="I418" s="1">
        <x:v>36</x:v>
      </x:c>
      <x:c r="J418" s="1">
        <x:v>0.57999999999999996</x:v>
      </x:c>
      <x:c r="K418" s="1" t="s">
        <x:v>1100</x:v>
      </x:c>
      <x:c r="L418" s="1">
        <x:v>3.42</x:v>
      </x:c>
      <x:c r="M418" s="1">
        <x:v>2.6</x:v>
      </x:c>
      <x:c r="N418" s="1">
        <x:v>11521</x:v>
      </x:c>
      <x:c r="O418" s="1" t="s">
        <x:v>1052</x:v>
      </x:c>
      <x:c r="P418" s="42" t="str">
        <x:v>Lv70~85</x:v>
      </x:c>
      <x:c r="Q418" s="42" t="str">
        <x:v>III~IV</x:v>
      </x:c>
      <x:c r="R418" s="42" t="str">
        <x:v>5</x:v>
      </x:c>
      <x:c r="S418" s="42" t="str">
        <x:v>Hard 중후반: 주요 벽 7~10일 / 사이 스테이지 연속 진행</x:v>
      </x:c>
      <x:c r="T418" s="42" t="n">
        <x:v>16</x:v>
      </x:c>
      <x:c r="U418" s="42" t="n">
        <x:v>928</x:v>
      </x:c>
      <x:c r="V418" s="42" t="n">
        <x:v>345</x:v>
      </x:c>
      <x:c r="W418" s="42" t="n">
        <x:v>34</x:v>
      </x:c>
      <x:c r="X418" s="42" t="n">
        <x:v>104</x:v>
      </x:c>
      <x:c r="Y418" s="42" t="str"/>
    </x:row>
    <x:row r="419">
      <x:c r="A419" s="1">
        <x:v>42</x:v>
      </x:c>
      <x:c r="B419" s="1" t="s">
        <x:v>681</x:v>
      </x:c>
      <x:c r="C419" s="1" t="s">
        <x:v>314</x:v>
      </x:c>
      <x:c r="D419" s="1">
        <x:v>3</x:v>
      </x:c>
      <x:c r="E419" s="1">
        <x:v>4</x:v>
      </x:c>
      <x:c r="F419" s="1">
        <x:v>8</x:v>
      </x:c>
      <x:c r="G419" s="1" t="s">
        <x:v>1042</x:v>
      </x:c>
      <x:c r="H419" s="1">
        <x:v>60</x:v>
      </x:c>
      <x:c r="I419" s="1">
        <x:v>37</x:v>
      </x:c>
      <x:c r="J419" s="1">
        <x:v>0.56000000000000005</x:v>
      </x:c>
      <x:c r="K419" s="1" t="s">
        <x:v>1109</x:v>
      </x:c>
      <x:c r="L419" s="1">
        <x:v>3.47</x:v>
      </x:c>
      <x:c r="M419" s="1">
        <x:v>2.64</x:v>
      </x:c>
      <x:c r="N419" s="1">
        <x:v>11521</x:v>
      </x:c>
      <x:c r="O419" s="1" t="s">
        <x:v>1052</x:v>
      </x:c>
      <x:c r="P419" s="42" t="str">
        <x:v>Lv70~85</x:v>
      </x:c>
      <x:c r="Q419" s="42" t="str">
        <x:v>III~IV</x:v>
      </x:c>
      <x:c r="R419" s="42" t="str">
        <x:v>5</x:v>
      </x:c>
      <x:c r="S419" s="42" t="str">
        <x:v>Hard 중후반: 주요 벽 7~10일 / 사이 스테이지 연속 진행</x:v>
      </x:c>
      <x:c r="T419" s="42" t="n">
        <x:v>16</x:v>
      </x:c>
      <x:c r="U419" s="42" t="n">
        <x:v>960</x:v>
      </x:c>
      <x:c r="V419" s="42" t="n">
        <x:v>460</x:v>
      </x:c>
      <x:c r="W419" s="42" t="n">
        <x:v>46</x:v>
      </x:c>
      <x:c r="X419" s="42" t="n">
        <x:v>138</x:v>
      </x:c>
      <x:c r="Y419" s="42" t="str"/>
    </x:row>
    <x:row r="420">
      <x:c r="A420" s="1">
        <x:v>42</x:v>
      </x:c>
      <x:c r="B420" s="1" t="s">
        <x:v>681</x:v>
      </x:c>
      <x:c r="C420" s="1" t="s">
        <x:v>314</x:v>
      </x:c>
      <x:c r="D420" s="1">
        <x:v>3</x:v>
      </x:c>
      <x:c r="E420" s="1">
        <x:v>4</x:v>
      </x:c>
      <x:c r="F420" s="1">
        <x:v>9</x:v>
      </x:c>
      <x:c r="G420" s="1" t="s">
        <x:v>1042</x:v>
      </x:c>
      <x:c r="H420" s="1">
        <x:v>63</x:v>
      </x:c>
      <x:c r="I420" s="1">
        <x:v>39</x:v>
      </x:c>
      <x:c r="J420" s="1">
        <x:v>0.54</x:v>
      </x:c>
      <x:c r="K420" s="1" t="s">
        <x:v>1118</x:v>
      </x:c>
      <x:c r="L420" s="1">
        <x:v>3.52</x:v>
      </x:c>
      <x:c r="M420" s="1">
        <x:v>2.68</x:v>
      </x:c>
      <x:c r="N420" s="1">
        <x:v>11521</x:v>
      </x:c>
      <x:c r="O420" s="1" t="s">
        <x:v>1056</x:v>
      </x:c>
      <x:c r="P420" s="42" t="str">
        <x:v>Lv70~85</x:v>
      </x:c>
      <x:c r="Q420" s="42" t="str">
        <x:v>III~IV</x:v>
      </x:c>
      <x:c r="R420" s="42" t="str">
        <x:v>5</x:v>
      </x:c>
      <x:c r="S420" s="42" t="str">
        <x:v>Hard 중후반: 주요 벽 7~10일 / 사이 스테이지 연속 진행</x:v>
      </x:c>
      <x:c r="T420" s="42" t="n">
        <x:v>16</x:v>
      </x:c>
      <x:c r="U420" s="42" t="n">
        <x:v>1008</x:v>
      </x:c>
      <x:c r="V420" s="42" t="n">
        <x:v>575</x:v>
      </x:c>
      <x:c r="W420" s="42" t="n">
        <x:v>58</x:v>
      </x:c>
      <x:c r="X420" s="42" t="n">
        <x:v>172</x:v>
      </x:c>
      <x:c r="Y420" s="42" t="str"/>
    </x:row>
    <x:row r="421">
      <x:c r="A421" s="1">
        <x:v>42</x:v>
      </x:c>
      <x:c r="B421" s="1" t="s">
        <x:v>681</x:v>
      </x:c>
      <x:c r="C421" s="1" t="s">
        <x:v>314</x:v>
      </x:c>
      <x:c r="D421" s="1">
        <x:v>3</x:v>
      </x:c>
      <x:c r="E421" s="1">
        <x:v>4</x:v>
      </x:c>
      <x:c r="F421" s="1">
        <x:v>10</x:v>
      </x:c>
      <x:c r="G421" s="1" t="s">
        <x:v>1057</x:v>
      </x:c>
      <x:c r="H421" s="1">
        <x:v>56</x:v>
      </x:c>
      <x:c r="I421" s="1">
        <x:v>41</x:v>
      </x:c>
      <x:c r="J421" s="1">
        <x:v>0.52</x:v>
      </x:c>
      <x:c r="K421" s="1" t="str">
        <x:v>침식에 물들은 동부의 설화 1 + 호위 일반몹 55</x:v>
      </x:c>
      <x:c r="L421" s="1">
        <x:v>3.58</x:v>
      </x:c>
      <x:c r="M421" s="1">
        <x:v>2.72</x:v>
      </x:c>
      <x:c r="N421" s="1">
        <x:v>11521</x:v>
      </x:c>
      <x:c r="O421" s="1" t="s">
        <x:v>1059</x:v>
      </x:c>
      <x:c r="P421" s="42" t="str">
        <x:v>Lv70~85</x:v>
      </x:c>
      <x:c r="Q421" s="42" t="str">
        <x:v>III~IV</x:v>
      </x:c>
      <x:c r="R421" s="42" t="str">
        <x:v>5</x:v>
      </x:c>
      <x:c r="S421" s="42" t="str">
        <x:v>Hard 중후반: 주요 벽 7~10일 / 사이 스테이지 연속 진행</x:v>
      </x:c>
      <x:c r="T421" s="42" t="n">
        <x:v>16</x:v>
      </x:c>
      <x:c r="U421" s="42" t="n">
        <x:v>880</x:v>
      </x:c>
      <x:c r="V421" s="42" t="n">
        <x:v>0</x:v>
      </x:c>
      <x:c r="W421" s="42" t="n">
        <x:v>0</x:v>
      </x:c>
      <x:c r="X421" s="42" t="n">
        <x:v>0</x:v>
      </x:c>
      <x:c r="Y421" s="42" t="str">
        <x:v>보스 처치 보상은 로비 보상으로 분리</x:v>
      </x:c>
    </x:row>
    <x:row r="422">
      <x:c r="A422" s="1">
        <x:v>43</x:v>
      </x:c>
      <x:c r="B422" s="1" t="s">
        <x:v>681</x:v>
      </x:c>
      <x:c r="C422" s="1" t="s">
        <x:v>403</x:v>
      </x:c>
      <x:c r="D422" s="1">
        <x:v>1</x:v>
      </x:c>
      <x:c r="E422" s="1">
        <x:v>3</x:v>
      </x:c>
      <x:c r="F422" s="1">
        <x:v>1</x:v>
      </x:c>
      <x:c r="G422" s="1" t="s">
        <x:v>1042</x:v>
      </x:c>
      <x:c r="H422" s="1">
        <x:v>41</x:v>
      </x:c>
      <x:c r="I422" s="1">
        <x:v>25</x:v>
      </x:c>
      <x:c r="J422" s="1">
        <x:v>0.69</x:v>
      </x:c>
      <x:c r="K422" s="1" t="s">
        <x:v>1151</x:v>
      </x:c>
      <x:c r="L422" s="1">
        <x:v>3.17</x:v>
      </x:c>
      <x:c r="M422" s="1">
        <x:v>2.42</x:v>
      </x:c>
      <x:c r="N422" s="1">
        <x:v>12385</x:v>
      </x:c>
      <x:c r="O422" s="1" t="s">
        <x:v>1044</x:v>
      </x:c>
      <x:c r="P422" s="42" t="str">
        <x:v>Lv70~85</x:v>
      </x:c>
      <x:c r="Q422" s="42" t="str">
        <x:v>III~IV</x:v>
      </x:c>
      <x:c r="R422" s="42" t="str">
        <x:v>5</x:v>
      </x:c>
      <x:c r="S422" s="42" t="str">
        <x:v>Hard 후반: 핵심 벽 10~14일 / 사이 스테이지 연속 진행</x:v>
      </x:c>
      <x:c r="T422" s="42" t="n">
        <x:v>16</x:v>
      </x:c>
      <x:c r="U422" s="42" t="n">
        <x:v>656</x:v>
      </x:c>
      <x:c r="V422" s="42" t="n">
        <x:v>115</x:v>
      </x:c>
      <x:c r="W422" s="42" t="n">
        <x:v>12</x:v>
      </x:c>
      <x:c r="X422" s="42" t="n">
        <x:v>34</x:v>
      </x:c>
      <x:c r="Y422" s="42" t="str"/>
    </x:row>
    <x:row r="423">
      <x:c r="A423" s="1">
        <x:v>43</x:v>
      </x:c>
      <x:c r="B423" s="1" t="s">
        <x:v>681</x:v>
      </x:c>
      <x:c r="C423" s="1" t="s">
        <x:v>403</x:v>
      </x:c>
      <x:c r="D423" s="1">
        <x:v>1</x:v>
      </x:c>
      <x:c r="E423" s="1">
        <x:v>3</x:v>
      </x:c>
      <x:c r="F423" s="1">
        <x:v>2</x:v>
      </x:c>
      <x:c r="G423" s="1" t="s">
        <x:v>1042</x:v>
      </x:c>
      <x:c r="H423" s="1">
        <x:v>44</x:v>
      </x:c>
      <x:c r="I423" s="1">
        <x:v>27</x:v>
      </x:c>
      <x:c r="J423" s="1">
        <x:v>0.67</x:v>
      </x:c>
      <x:c r="K423" s="1" t="s">
        <x:v>1152</x:v>
      </x:c>
      <x:c r="L423" s="1">
        <x:v>3.23</x:v>
      </x:c>
      <x:c r="M423" s="1">
        <x:v>2.46</x:v>
      </x:c>
      <x:c r="N423" s="1">
        <x:v>12385</x:v>
      </x:c>
      <x:c r="O423" s="1" t="s">
        <x:v>1044</x:v>
      </x:c>
      <x:c r="P423" s="42" t="str">
        <x:v>Lv70~85</x:v>
      </x:c>
      <x:c r="Q423" s="42" t="str">
        <x:v>III~IV</x:v>
      </x:c>
      <x:c r="R423" s="42" t="str">
        <x:v>5</x:v>
      </x:c>
      <x:c r="S423" s="42" t="str">
        <x:v>Hard 후반: 핵심 벽 10~14일 / 사이 스테이지 연속 진행</x:v>
      </x:c>
      <x:c r="T423" s="42" t="n">
        <x:v>16</x:v>
      </x:c>
      <x:c r="U423" s="42" t="n">
        <x:v>704</x:v>
      </x:c>
      <x:c r="V423" s="42" t="n">
        <x:v>138</x:v>
      </x:c>
      <x:c r="W423" s="42" t="n">
        <x:v>14</x:v>
      </x:c>
      <x:c r="X423" s="42" t="n">
        <x:v>41</x:v>
      </x:c>
      <x:c r="Y423" s="42" t="str"/>
    </x:row>
    <x:row r="424">
      <x:c r="A424" s="1">
        <x:v>43</x:v>
      </x:c>
      <x:c r="B424" s="1" t="s">
        <x:v>681</x:v>
      </x:c>
      <x:c r="C424" s="1" t="s">
        <x:v>403</x:v>
      </x:c>
      <x:c r="D424" s="1">
        <x:v>1</x:v>
      </x:c>
      <x:c r="E424" s="1">
        <x:v>3</x:v>
      </x:c>
      <x:c r="F424" s="1">
        <x:v>3</x:v>
      </x:c>
      <x:c r="G424" s="1" t="s">
        <x:v>1042</x:v>
      </x:c>
      <x:c r="H424" s="1">
        <x:v>46</x:v>
      </x:c>
      <x:c r="I424" s="1">
        <x:v>29</x:v>
      </x:c>
      <x:c r="J424" s="1">
        <x:v>0.65</x:v>
      </x:c>
      <x:c r="K424" s="1" t="s">
        <x:v>1226</x:v>
      </x:c>
      <x:c r="L424" s="1">
        <x:v>3.28</x:v>
      </x:c>
      <x:c r="M424" s="1">
        <x:v>2.5</x:v>
      </x:c>
      <x:c r="N424" s="1">
        <x:v>12385</x:v>
      </x:c>
      <x:c r="O424" s="1" t="s">
        <x:v>1044</x:v>
      </x:c>
      <x:c r="P424" s="42" t="str">
        <x:v>Lv70~85</x:v>
      </x:c>
      <x:c r="Q424" s="42" t="str">
        <x:v>III~IV</x:v>
      </x:c>
      <x:c r="R424" s="42" t="str">
        <x:v>5</x:v>
      </x:c>
      <x:c r="S424" s="42" t="str">
        <x:v>Hard 후반: 핵심 벽 10~14일 / 사이 스테이지 연속 진행</x:v>
      </x:c>
      <x:c r="T424" s="42" t="n">
        <x:v>16</x:v>
      </x:c>
      <x:c r="U424" s="42" t="n">
        <x:v>736</x:v>
      </x:c>
      <x:c r="V424" s="42" t="n">
        <x:v>172</x:v>
      </x:c>
      <x:c r="W424" s="42" t="n">
        <x:v>17</x:v>
      </x:c>
      <x:c r="X424" s="42" t="n">
        <x:v>52</x:v>
      </x:c>
      <x:c r="Y424" s="42" t="str"/>
    </x:row>
    <x:row r="425">
      <x:c r="A425" s="1">
        <x:v>43</x:v>
      </x:c>
      <x:c r="B425" s="1" t="s">
        <x:v>681</x:v>
      </x:c>
      <x:c r="C425" s="1" t="s">
        <x:v>403</x:v>
      </x:c>
      <x:c r="D425" s="1">
        <x:v>1</x:v>
      </x:c>
      <x:c r="E425" s="1">
        <x:v>3</x:v>
      </x:c>
      <x:c r="F425" s="1">
        <x:v>4</x:v>
      </x:c>
      <x:c r="G425" s="1" t="s">
        <x:v>1042</x:v>
      </x:c>
      <x:c r="H425" s="1">
        <x:v>49</x:v>
      </x:c>
      <x:c r="I425" s="1">
        <x:v>30</x:v>
      </x:c>
      <x:c r="J425" s="1">
        <x:v>0.63</x:v>
      </x:c>
      <x:c r="K425" s="1" t="s">
        <x:v>1159</x:v>
      </x:c>
      <x:c r="L425" s="1">
        <x:v>3.33</x:v>
      </x:c>
      <x:c r="M425" s="1">
        <x:v>2.54</x:v>
      </x:c>
      <x:c r="N425" s="1">
        <x:v>12385</x:v>
      </x:c>
      <x:c r="O425" s="1" t="s">
        <x:v>1047</x:v>
      </x:c>
      <x:c r="P425" s="42" t="str">
        <x:v>Lv70~85</x:v>
      </x:c>
      <x:c r="Q425" s="42" t="str">
        <x:v>III~IV</x:v>
      </x:c>
      <x:c r="R425" s="42" t="str">
        <x:v>5</x:v>
      </x:c>
      <x:c r="S425" s="42" t="str">
        <x:v>Hard 후반: 핵심 벽 10~14일 / 사이 스테이지 연속 진행</x:v>
      </x:c>
      <x:c r="T425" s="42" t="n">
        <x:v>16</x:v>
      </x:c>
      <x:c r="U425" s="42" t="n">
        <x:v>784</x:v>
      </x:c>
      <x:c r="V425" s="42" t="n">
        <x:v>207</x:v>
      </x:c>
      <x:c r="W425" s="42" t="n">
        <x:v>21</x:v>
      </x:c>
      <x:c r="X425" s="42" t="n">
        <x:v>62</x:v>
      </x:c>
      <x:c r="Y425" s="42" t="str"/>
    </x:row>
    <x:row r="426">
      <x:c r="A426" s="1">
        <x:v>43</x:v>
      </x:c>
      <x:c r="B426" s="1" t="s">
        <x:v>681</x:v>
      </x:c>
      <x:c r="C426" s="1" t="s">
        <x:v>403</x:v>
      </x:c>
      <x:c r="D426" s="1">
        <x:v>1</x:v>
      </x:c>
      <x:c r="E426" s="1">
        <x:v>3</x:v>
      </x:c>
      <x:c r="F426" s="1">
        <x:v>5</x:v>
      </x:c>
      <x:c r="G426" s="1" t="s">
        <x:v>1048</x:v>
      </x:c>
      <x:c r="H426" s="1">
        <x:v>44</x:v>
      </x:c>
      <x:c r="I426" s="1">
        <x:v>32</x:v>
      </x:c>
      <x:c r="J426" s="1">
        <x:v>0.61</x:v>
      </x:c>
      <x:c r="K426" s="1" t="s">
        <x:v>1227</x:v>
      </x:c>
      <x:c r="L426" s="1">
        <x:v>3.39</x:v>
      </x:c>
      <x:c r="M426" s="1">
        <x:v>2.58</x:v>
      </x:c>
      <x:c r="N426" s="1">
        <x:v>12385</x:v>
      </x:c>
      <x:c r="O426" s="1" t="s">
        <x:v>1050</x:v>
      </x:c>
      <x:c r="P426" s="42" t="str">
        <x:v>Lv70~85</x:v>
      </x:c>
      <x:c r="Q426" s="42" t="str">
        <x:v>III~IV</x:v>
      </x:c>
      <x:c r="R426" s="42" t="str">
        <x:v>5</x:v>
      </x:c>
      <x:c r="S426" s="42" t="str">
        <x:v>Hard 후반: 핵심 벽 10~14일 / 사이 스테이지 연속 진행</x:v>
      </x:c>
      <x:c r="T426" s="42" t="n">
        <x:v>16</x:v>
      </x:c>
      <x:c r="U426" s="42" t="n">
        <x:v>981</x:v>
      </x:c>
      <x:c r="V426" s="42" t="n">
        <x:v>345</x:v>
      </x:c>
      <x:c r="W426" s="42" t="n">
        <x:v>34</x:v>
      </x:c>
      <x:c r="X426" s="42" t="n">
        <x:v>104</x:v>
      </x:c>
      <x:c r="Y426" s="42" t="str">
        <x:v>중간보스 현상금 포함</x:v>
      </x:c>
    </x:row>
    <x:row r="427">
      <x:c r="A427" s="1">
        <x:v>43</x:v>
      </x:c>
      <x:c r="B427" s="1" t="s">
        <x:v>681</x:v>
      </x:c>
      <x:c r="C427" s="1" t="s">
        <x:v>403</x:v>
      </x:c>
      <x:c r="D427" s="1">
        <x:v>1</x:v>
      </x:c>
      <x:c r="E427" s="1">
        <x:v>3</x:v>
      </x:c>
      <x:c r="F427" s="1">
        <x:v>6</x:v>
      </x:c>
      <x:c r="G427" s="1" t="s">
        <x:v>1042</x:v>
      </x:c>
      <x:c r="H427" s="1">
        <x:v>54</x:v>
      </x:c>
      <x:c r="I427" s="1">
        <x:v>33</x:v>
      </x:c>
      <x:c r="J427" s="1">
        <x:v>0.59</x:v>
      </x:c>
      <x:c r="K427" s="1" t="s">
        <x:v>1157</x:v>
      </x:c>
      <x:c r="L427" s="1">
        <x:v>3.44</x:v>
      </x:c>
      <x:c r="M427" s="1">
        <x:v>2.62</x:v>
      </x:c>
      <x:c r="N427" s="1">
        <x:v>12385</x:v>
      </x:c>
      <x:c r="O427" s="1" t="s">
        <x:v>1052</x:v>
      </x:c>
      <x:c r="P427" s="42" t="str">
        <x:v>Lv70~85</x:v>
      </x:c>
      <x:c r="Q427" s="42" t="str">
        <x:v>III~IV</x:v>
      </x:c>
      <x:c r="R427" s="42" t="str">
        <x:v>5</x:v>
      </x:c>
      <x:c r="S427" s="42" t="str">
        <x:v>Hard 후반: 핵심 벽 10~14일 / 사이 스테이지 연속 진행</x:v>
      </x:c>
      <x:c r="T427" s="42" t="n">
        <x:v>16</x:v>
      </x:c>
      <x:c r="U427" s="42" t="n">
        <x:v>864</x:v>
      </x:c>
      <x:c r="V427" s="42" t="n">
        <x:v>253</x:v>
      </x:c>
      <x:c r="W427" s="42" t="n">
        <x:v>25</x:v>
      </x:c>
      <x:c r="X427" s="42" t="n">
        <x:v>76</x:v>
      </x:c>
      <x:c r="Y427" s="42" t="str"/>
    </x:row>
    <x:row r="428">
      <x:c r="A428" s="1">
        <x:v>43</x:v>
      </x:c>
      <x:c r="B428" s="1" t="s">
        <x:v>681</x:v>
      </x:c>
      <x:c r="C428" s="1" t="s">
        <x:v>403</x:v>
      </x:c>
      <x:c r="D428" s="1">
        <x:v>1</x:v>
      </x:c>
      <x:c r="E428" s="1">
        <x:v>3</x:v>
      </x:c>
      <x:c r="F428" s="1">
        <x:v>7</x:v>
      </x:c>
      <x:c r="G428" s="1" t="s">
        <x:v>1042</x:v>
      </x:c>
      <x:c r="H428" s="1">
        <x:v>57</x:v>
      </x:c>
      <x:c r="I428" s="1">
        <x:v>35</x:v>
      </x:c>
      <x:c r="J428" s="1">
        <x:v>0.56999999999999995</x:v>
      </x:c>
      <x:c r="K428" s="1" t="s">
        <x:v>1152</x:v>
      </x:c>
      <x:c r="L428" s="1">
        <x:v>3.5</x:v>
      </x:c>
      <x:c r="M428" s="1">
        <x:v>2.66</x:v>
      </x:c>
      <x:c r="N428" s="1">
        <x:v>12385</x:v>
      </x:c>
      <x:c r="O428" s="1" t="s">
        <x:v>1052</x:v>
      </x:c>
      <x:c r="P428" s="42" t="str">
        <x:v>Lv70~85</x:v>
      </x:c>
      <x:c r="Q428" s="42" t="str">
        <x:v>III~IV</x:v>
      </x:c>
      <x:c r="R428" s="42" t="str">
        <x:v>5</x:v>
      </x:c>
      <x:c r="S428" s="42" t="str">
        <x:v>Hard 후반: 핵심 벽 10~14일 / 사이 스테이지 연속 진행</x:v>
      </x:c>
      <x:c r="T428" s="42" t="n">
        <x:v>16</x:v>
      </x:c>
      <x:c r="U428" s="42" t="n">
        <x:v>912</x:v>
      </x:c>
      <x:c r="V428" s="42" t="n">
        <x:v>345</x:v>
      </x:c>
      <x:c r="W428" s="42" t="n">
        <x:v>34</x:v>
      </x:c>
      <x:c r="X428" s="42" t="n">
        <x:v>104</x:v>
      </x:c>
      <x:c r="Y428" s="42" t="str"/>
    </x:row>
    <x:row r="429">
      <x:c r="A429" s="1">
        <x:v>43</x:v>
      </x:c>
      <x:c r="B429" s="1" t="s">
        <x:v>681</x:v>
      </x:c>
      <x:c r="C429" s="1" t="s">
        <x:v>403</x:v>
      </x:c>
      <x:c r="D429" s="1">
        <x:v>1</x:v>
      </x:c>
      <x:c r="E429" s="1">
        <x:v>3</x:v>
      </x:c>
      <x:c r="F429" s="1">
        <x:v>8</x:v>
      </x:c>
      <x:c r="G429" s="1" t="s">
        <x:v>1042</x:v>
      </x:c>
      <x:c r="H429" s="1">
        <x:v>59</x:v>
      </x:c>
      <x:c r="I429" s="1">
        <x:v>37</x:v>
      </x:c>
      <x:c r="J429" s="1">
        <x:v>0.55000000000000004</x:v>
      </x:c>
      <x:c r="K429" s="1" t="s">
        <x:v>1153</x:v>
      </x:c>
      <x:c r="L429" s="1">
        <x:v>3.55</x:v>
      </x:c>
      <x:c r="M429" s="1">
        <x:v>2.7</x:v>
      </x:c>
      <x:c r="N429" s="1">
        <x:v>12385</x:v>
      </x:c>
      <x:c r="O429" s="1" t="s">
        <x:v>1052</x:v>
      </x:c>
      <x:c r="P429" s="42" t="str">
        <x:v>Lv70~85</x:v>
      </x:c>
      <x:c r="Q429" s="42" t="str">
        <x:v>III~IV</x:v>
      </x:c>
      <x:c r="R429" s="42" t="str">
        <x:v>5</x:v>
      </x:c>
      <x:c r="S429" s="42" t="str">
        <x:v>Hard 후반: 핵심 벽 10~14일 / 사이 스테이지 연속 진행</x:v>
      </x:c>
      <x:c r="T429" s="42" t="n">
        <x:v>16</x:v>
      </x:c>
      <x:c r="U429" s="42" t="n">
        <x:v>944</x:v>
      </x:c>
      <x:c r="V429" s="42" t="n">
        <x:v>460</x:v>
      </x:c>
      <x:c r="W429" s="42" t="n">
        <x:v>46</x:v>
      </x:c>
      <x:c r="X429" s="42" t="n">
        <x:v>138</x:v>
      </x:c>
      <x:c r="Y429" s="42" t="str"/>
    </x:row>
    <x:row r="430">
      <x:c r="A430" s="1">
        <x:v>43</x:v>
      </x:c>
      <x:c r="B430" s="1" t="s">
        <x:v>681</x:v>
      </x:c>
      <x:c r="C430" s="1" t="s">
        <x:v>403</x:v>
      </x:c>
      <x:c r="D430" s="1">
        <x:v>1</x:v>
      </x:c>
      <x:c r="E430" s="1">
        <x:v>3</x:v>
      </x:c>
      <x:c r="F430" s="1">
        <x:v>9</x:v>
      </x:c>
      <x:c r="G430" s="1" t="s">
        <x:v>1042</x:v>
      </x:c>
      <x:c r="H430" s="1">
        <x:v>62</x:v>
      </x:c>
      <x:c r="I430" s="1">
        <x:v>38</x:v>
      </x:c>
      <x:c r="J430" s="1">
        <x:v>0.53</x:v>
      </x:c>
      <x:c r="K430" s="1" t="s">
        <x:v>1160</x:v>
      </x:c>
      <x:c r="L430" s="1">
        <x:v>3.61</x:v>
      </x:c>
      <x:c r="M430" s="1">
        <x:v>2.74</x:v>
      </x:c>
      <x:c r="N430" s="1">
        <x:v>12385</x:v>
      </x:c>
      <x:c r="O430" s="1" t="s">
        <x:v>1056</x:v>
      </x:c>
      <x:c r="P430" s="42" t="str">
        <x:v>Lv70~85</x:v>
      </x:c>
      <x:c r="Q430" s="42" t="str">
        <x:v>III~IV</x:v>
      </x:c>
      <x:c r="R430" s="42" t="str">
        <x:v>5</x:v>
      </x:c>
      <x:c r="S430" s="42" t="str">
        <x:v>Hard 후반: 핵심 벽 10~14일 / 사이 스테이지 연속 진행</x:v>
      </x:c>
      <x:c r="T430" s="42" t="n">
        <x:v>16</x:v>
      </x:c>
      <x:c r="U430" s="42" t="n">
        <x:v>992</x:v>
      </x:c>
      <x:c r="V430" s="42" t="n">
        <x:v>575</x:v>
      </x:c>
      <x:c r="W430" s="42" t="n">
        <x:v>58</x:v>
      </x:c>
      <x:c r="X430" s="42" t="n">
        <x:v>172</x:v>
      </x:c>
      <x:c r="Y430" s="42" t="str"/>
    </x:row>
    <x:row r="431">
      <x:c r="A431" s="1">
        <x:v>43</x:v>
      </x:c>
      <x:c r="B431" s="1" t="s">
        <x:v>681</x:v>
      </x:c>
      <x:c r="C431" s="1" t="s">
        <x:v>403</x:v>
      </x:c>
      <x:c r="D431" s="1">
        <x:v>1</x:v>
      </x:c>
      <x:c r="E431" s="1">
        <x:v>3</x:v>
      </x:c>
      <x:c r="F431" s="1">
        <x:v>10</x:v>
      </x:c>
      <x:c r="G431" s="1" t="s">
        <x:v>1057</x:v>
      </x:c>
      <x:c r="H431" s="1">
        <x:v>55</x:v>
      </x:c>
      <x:c r="I431" s="1">
        <x:v>40</x:v>
      </x:c>
      <x:c r="J431" s="1">
        <x:v>0.51</x:v>
      </x:c>
      <x:c r="K431" s="1" t="s">
        <x:v>1228</x:v>
      </x:c>
      <x:c r="L431" s="1">
        <x:v>3.67</x:v>
      </x:c>
      <x:c r="M431" s="1">
        <x:v>2.78</x:v>
      </x:c>
      <x:c r="N431" s="1">
        <x:v>12385</x:v>
      </x:c>
      <x:c r="O431" s="1" t="s">
        <x:v>1059</x:v>
      </x:c>
      <x:c r="P431" s="42" t="str">
        <x:v>Lv70~85</x:v>
      </x:c>
      <x:c r="Q431" s="42" t="str">
        <x:v>III~IV</x:v>
      </x:c>
      <x:c r="R431" s="42" t="str">
        <x:v>5</x:v>
      </x:c>
      <x:c r="S431" s="42" t="str">
        <x:v>Hard 후반: 핵심 벽 10~14일 / 사이 스테이지 연속 진행</x:v>
      </x:c>
      <x:c r="T431" s="42" t="n">
        <x:v>16</x:v>
      </x:c>
      <x:c r="U431" s="42" t="n">
        <x:v>864</x:v>
      </x:c>
      <x:c r="V431" s="42" t="n">
        <x:v>0</x:v>
      </x:c>
      <x:c r="W431" s="42" t="n">
        <x:v>0</x:v>
      </x:c>
      <x:c r="X431" s="42" t="n">
        <x:v>0</x:v>
      </x:c>
      <x:c r="Y431" s="42" t="str">
        <x:v>보스 처치 보상은 로비 보상으로 분리</x:v>
      </x:c>
    </x:row>
    <x:row r="432">
      <x:c r="A432" s="1">
        <x:v>44</x:v>
      </x:c>
      <x:c r="B432" s="1" t="s">
        <x:v>681</x:v>
      </x:c>
      <x:c r="C432" s="1" t="s">
        <x:v>403</x:v>
      </x:c>
      <x:c r="D432" s="1">
        <x:v>2</x:v>
      </x:c>
      <x:c r="E432" s="1">
        <x:v>3</x:v>
      </x:c>
      <x:c r="F432" s="1">
        <x:v>1</x:v>
      </x:c>
      <x:c r="G432" s="1" t="s">
        <x:v>1042</x:v>
      </x:c>
      <x:c r="H432" s="1">
        <x:v>42</x:v>
      </x:c>
      <x:c r="I432" s="1">
        <x:v>26</x:v>
      </x:c>
      <x:c r="J432" s="1">
        <x:v>0.68</x:v>
      </x:c>
      <x:c r="K432" s="1" t="s">
        <x:v>1153</x:v>
      </x:c>
      <x:c r="L432" s="1">
        <x:v>3.25</x:v>
      </x:c>
      <x:c r="M432" s="1">
        <x:v>2.48</x:v>
      </x:c>
      <x:c r="N432" s="1">
        <x:v>13314</x:v>
      </x:c>
      <x:c r="O432" s="1" t="s">
        <x:v>1044</x:v>
      </x:c>
      <x:c r="P432" s="42" t="str">
        <x:v>Lv70~85</x:v>
      </x:c>
      <x:c r="Q432" s="42" t="str">
        <x:v>III~IV</x:v>
      </x:c>
      <x:c r="R432" s="42" t="str">
        <x:v>5</x:v>
      </x:c>
      <x:c r="S432" s="42" t="str">
        <x:v>Hard 후반: 핵심 벽 10~14일 / 사이 스테이지 연속 진행</x:v>
      </x:c>
      <x:c r="T432" s="42" t="n">
        <x:v>16</x:v>
      </x:c>
      <x:c r="U432" s="42" t="n">
        <x:v>672</x:v>
      </x:c>
      <x:c r="V432" s="42" t="n">
        <x:v>115</x:v>
      </x:c>
      <x:c r="W432" s="42" t="n">
        <x:v>12</x:v>
      </x:c>
      <x:c r="X432" s="42" t="n">
        <x:v>34</x:v>
      </x:c>
      <x:c r="Y432" s="42" t="str"/>
    </x:row>
    <x:row r="433">
      <x:c r="A433" s="1">
        <x:v>44</x:v>
      </x:c>
      <x:c r="B433" s="1" t="s">
        <x:v>681</x:v>
      </x:c>
      <x:c r="C433" s="1" t="s">
        <x:v>403</x:v>
      </x:c>
      <x:c r="D433" s="1">
        <x:v>2</x:v>
      </x:c>
      <x:c r="E433" s="1">
        <x:v>3</x:v>
      </x:c>
      <x:c r="F433" s="1">
        <x:v>2</x:v>
      </x:c>
      <x:c r="G433" s="1" t="s">
        <x:v>1042</x:v>
      </x:c>
      <x:c r="H433" s="1">
        <x:v>45</x:v>
      </x:c>
      <x:c r="I433" s="1">
        <x:v>28</x:v>
      </x:c>
      <x:c r="J433" s="1">
        <x:v>0.66</x:v>
      </x:c>
      <x:c r="K433" s="1" t="s">
        <x:v>1226</x:v>
      </x:c>
      <x:c r="L433" s="1">
        <x:v>3.31</x:v>
      </x:c>
      <x:c r="M433" s="1">
        <x:v>2.52</x:v>
      </x:c>
      <x:c r="N433" s="1">
        <x:v>13314</x:v>
      </x:c>
      <x:c r="O433" s="1" t="s">
        <x:v>1044</x:v>
      </x:c>
      <x:c r="P433" s="42" t="str">
        <x:v>Lv70~85</x:v>
      </x:c>
      <x:c r="Q433" s="42" t="str">
        <x:v>III~IV</x:v>
      </x:c>
      <x:c r="R433" s="42" t="str">
        <x:v>5</x:v>
      </x:c>
      <x:c r="S433" s="42" t="str">
        <x:v>Hard 후반: 핵심 벽 10~14일 / 사이 스테이지 연속 진행</x:v>
      </x:c>
      <x:c r="T433" s="42" t="n">
        <x:v>16</x:v>
      </x:c>
      <x:c r="U433" s="42" t="n">
        <x:v>720</x:v>
      </x:c>
      <x:c r="V433" s="42" t="n">
        <x:v>138</x:v>
      </x:c>
      <x:c r="W433" s="42" t="n">
        <x:v>14</x:v>
      </x:c>
      <x:c r="X433" s="42" t="n">
        <x:v>41</x:v>
      </x:c>
      <x:c r="Y433" s="42" t="str"/>
    </x:row>
    <x:row r="434">
      <x:c r="A434" s="1">
        <x:v>44</x:v>
      </x:c>
      <x:c r="B434" s="1" t="s">
        <x:v>681</x:v>
      </x:c>
      <x:c r="C434" s="1" t="s">
        <x:v>403</x:v>
      </x:c>
      <x:c r="D434" s="1">
        <x:v>2</x:v>
      </x:c>
      <x:c r="E434" s="1">
        <x:v>3</x:v>
      </x:c>
      <x:c r="F434" s="1">
        <x:v>3</x:v>
      </x:c>
      <x:c r="G434" s="1" t="s">
        <x:v>1042</x:v>
      </x:c>
      <x:c r="H434" s="1">
        <x:v>47</x:v>
      </x:c>
      <x:c r="I434" s="1">
        <x:v>29</x:v>
      </x:c>
      <x:c r="J434" s="1">
        <x:v>0.64</x:v>
      </x:c>
      <x:c r="K434" s="1" t="s">
        <x:v>1155</x:v>
      </x:c>
      <x:c r="L434" s="1">
        <x:v>3.36</x:v>
      </x:c>
      <x:c r="M434" s="1">
        <x:v>2.56</x:v>
      </x:c>
      <x:c r="N434" s="1">
        <x:v>13314</x:v>
      </x:c>
      <x:c r="O434" s="1" t="s">
        <x:v>1044</x:v>
      </x:c>
      <x:c r="P434" s="42" t="str">
        <x:v>Lv70~85</x:v>
      </x:c>
      <x:c r="Q434" s="42" t="str">
        <x:v>III~IV</x:v>
      </x:c>
      <x:c r="R434" s="42" t="str">
        <x:v>5</x:v>
      </x:c>
      <x:c r="S434" s="42" t="str">
        <x:v>Hard 후반: 핵심 벽 10~14일 / 사이 스테이지 연속 진행</x:v>
      </x:c>
      <x:c r="T434" s="42" t="n">
        <x:v>16</x:v>
      </x:c>
      <x:c r="U434" s="42" t="n">
        <x:v>752</x:v>
      </x:c>
      <x:c r="V434" s="42" t="n">
        <x:v>172</x:v>
      </x:c>
      <x:c r="W434" s="42" t="n">
        <x:v>17</x:v>
      </x:c>
      <x:c r="X434" s="42" t="n">
        <x:v>52</x:v>
      </x:c>
      <x:c r="Y434" s="42" t="str"/>
    </x:row>
    <x:row r="435">
      <x:c r="A435" s="1">
        <x:v>44</x:v>
      </x:c>
      <x:c r="B435" s="1" t="s">
        <x:v>681</x:v>
      </x:c>
      <x:c r="C435" s="1" t="s">
        <x:v>403</x:v>
      </x:c>
      <x:c r="D435" s="1">
        <x:v>2</x:v>
      </x:c>
      <x:c r="E435" s="1">
        <x:v>3</x:v>
      </x:c>
      <x:c r="F435" s="1">
        <x:v>4</x:v>
      </x:c>
      <x:c r="G435" s="1" t="s">
        <x:v>1042</x:v>
      </x:c>
      <x:c r="H435" s="1">
        <x:v>50</x:v>
      </x:c>
      <x:c r="I435" s="1">
        <x:v>31</x:v>
      </x:c>
      <x:c r="J435" s="1">
        <x:v>0.62</x:v>
      </x:c>
      <x:c r="K435" s="1" t="s">
        <x:v>1156</x:v>
      </x:c>
      <x:c r="L435" s="1">
        <x:v>3.42</x:v>
      </x:c>
      <x:c r="M435" s="1">
        <x:v>2.6</x:v>
      </x:c>
      <x:c r="N435" s="1">
        <x:v>13314</x:v>
      </x:c>
      <x:c r="O435" s="1" t="s">
        <x:v>1047</x:v>
      </x:c>
      <x:c r="P435" s="42" t="str">
        <x:v>Lv70~85</x:v>
      </x:c>
      <x:c r="Q435" s="42" t="str">
        <x:v>III~IV</x:v>
      </x:c>
      <x:c r="R435" s="42" t="str">
        <x:v>5</x:v>
      </x:c>
      <x:c r="S435" s="42" t="str">
        <x:v>Hard 후반: 핵심 벽 10~14일 / 사이 스테이지 연속 진행</x:v>
      </x:c>
      <x:c r="T435" s="42" t="n">
        <x:v>16</x:v>
      </x:c>
      <x:c r="U435" s="42" t="n">
        <x:v>800</x:v>
      </x:c>
      <x:c r="V435" s="42" t="n">
        <x:v>207</x:v>
      </x:c>
      <x:c r="W435" s="42" t="n">
        <x:v>21</x:v>
      </x:c>
      <x:c r="X435" s="42" t="n">
        <x:v>62</x:v>
      </x:c>
      <x:c r="Y435" s="42" t="str"/>
    </x:row>
    <x:row r="436">
      <x:c r="A436" s="1">
        <x:v>44</x:v>
      </x:c>
      <x:c r="B436" s="1" t="s">
        <x:v>681</x:v>
      </x:c>
      <x:c r="C436" s="1" t="s">
        <x:v>403</x:v>
      </x:c>
      <x:c r="D436" s="1">
        <x:v>2</x:v>
      </x:c>
      <x:c r="E436" s="1">
        <x:v>3</x:v>
      </x:c>
      <x:c r="F436" s="1">
        <x:v>5</x:v>
      </x:c>
      <x:c r="G436" s="1" t="s">
        <x:v>1048</x:v>
      </x:c>
      <x:c r="H436" s="1">
        <x:v>45</x:v>
      </x:c>
      <x:c r="I436" s="1">
        <x:v>33</x:v>
      </x:c>
      <x:c r="J436" s="1">
        <x:v>0.6</x:v>
      </x:c>
      <x:c r="K436" s="1" t="s">
        <x:v>1229</x:v>
      </x:c>
      <x:c r="L436" s="1">
        <x:v>3.48</x:v>
      </x:c>
      <x:c r="M436" s="1">
        <x:v>2.64</x:v>
      </x:c>
      <x:c r="N436" s="1">
        <x:v>13314</x:v>
      </x:c>
      <x:c r="O436" s="1" t="s">
        <x:v>1050</x:v>
      </x:c>
      <x:c r="P436" s="42" t="str">
        <x:v>Lv70~85</x:v>
      </x:c>
      <x:c r="Q436" s="42" t="str">
        <x:v>III~IV</x:v>
      </x:c>
      <x:c r="R436" s="42" t="str">
        <x:v>5</x:v>
      </x:c>
      <x:c r="S436" s="42" t="str">
        <x:v>Hard 후반: 핵심 벽 10~14일 / 사이 스테이지 연속 진행</x:v>
      </x:c>
      <x:c r="T436" s="42" t="n">
        <x:v>16</x:v>
      </x:c>
      <x:c r="U436" s="42" t="n">
        <x:v>1000</x:v>
      </x:c>
      <x:c r="V436" s="42" t="n">
        <x:v>345</x:v>
      </x:c>
      <x:c r="W436" s="42" t="n">
        <x:v>34</x:v>
      </x:c>
      <x:c r="X436" s="42" t="n">
        <x:v>104</x:v>
      </x:c>
      <x:c r="Y436" s="42" t="str">
        <x:v>중간보스 현상금 포함</x:v>
      </x:c>
    </x:row>
    <x:row r="437">
      <x:c r="A437" s="1">
        <x:v>44</x:v>
      </x:c>
      <x:c r="B437" s="1" t="s">
        <x:v>681</x:v>
      </x:c>
      <x:c r="C437" s="1" t="s">
        <x:v>403</x:v>
      </x:c>
      <x:c r="D437" s="1">
        <x:v>2</x:v>
      </x:c>
      <x:c r="E437" s="1">
        <x:v>3</x:v>
      </x:c>
      <x:c r="F437" s="1">
        <x:v>6</x:v>
      </x:c>
      <x:c r="G437" s="1" t="s">
        <x:v>1042</x:v>
      </x:c>
      <x:c r="H437" s="1">
        <x:v>55</x:v>
      </x:c>
      <x:c r="I437" s="1">
        <x:v>34</x:v>
      </x:c>
      <x:c r="J437" s="1">
        <x:v>0.57999999999999996</x:v>
      </x:c>
      <x:c r="K437" s="1" t="s">
        <x:v>1155</x:v>
      </x:c>
      <x:c r="L437" s="1">
        <x:v>3.53</x:v>
      </x:c>
      <x:c r="M437" s="1">
        <x:v>2.68</x:v>
      </x:c>
      <x:c r="N437" s="1">
        <x:v>13314</x:v>
      </x:c>
      <x:c r="O437" s="1" t="s">
        <x:v>1052</x:v>
      </x:c>
      <x:c r="P437" s="42" t="str">
        <x:v>Lv70~85</x:v>
      </x:c>
      <x:c r="Q437" s="42" t="str">
        <x:v>III~IV</x:v>
      </x:c>
      <x:c r="R437" s="42" t="str">
        <x:v>5</x:v>
      </x:c>
      <x:c r="S437" s="42" t="str">
        <x:v>Hard 후반: 핵심 벽 10~14일 / 사이 스테이지 연속 진행</x:v>
      </x:c>
      <x:c r="T437" s="42" t="n">
        <x:v>16</x:v>
      </x:c>
      <x:c r="U437" s="42" t="n">
        <x:v>880</x:v>
      </x:c>
      <x:c r="V437" s="42" t="n">
        <x:v>253</x:v>
      </x:c>
      <x:c r="W437" s="42" t="n">
        <x:v>25</x:v>
      </x:c>
      <x:c r="X437" s="42" t="n">
        <x:v>76</x:v>
      </x:c>
      <x:c r="Y437" s="42" t="str"/>
    </x:row>
    <x:row r="438">
      <x:c r="A438" s="1">
        <x:v>44</x:v>
      </x:c>
      <x:c r="B438" s="1" t="s">
        <x:v>681</x:v>
      </x:c>
      <x:c r="C438" s="1" t="s">
        <x:v>403</x:v>
      </x:c>
      <x:c r="D438" s="1">
        <x:v>2</x:v>
      </x:c>
      <x:c r="E438" s="1">
        <x:v>3</x:v>
      </x:c>
      <x:c r="F438" s="1">
        <x:v>7</x:v>
      </x:c>
      <x:c r="G438" s="1" t="s">
        <x:v>1042</x:v>
      </x:c>
      <x:c r="H438" s="1">
        <x:v>58</x:v>
      </x:c>
      <x:c r="I438" s="1">
        <x:v>36</x:v>
      </x:c>
      <x:c r="J438" s="1">
        <x:v>0.56000000000000005</x:v>
      </x:c>
      <x:c r="K438" s="1" t="s">
        <x:v>1162</x:v>
      </x:c>
      <x:c r="L438" s="1">
        <x:v>3.58</x:v>
      </x:c>
      <x:c r="M438" s="1">
        <x:v>2.72</x:v>
      </x:c>
      <x:c r="N438" s="1">
        <x:v>13314</x:v>
      </x:c>
      <x:c r="O438" s="1" t="s">
        <x:v>1052</x:v>
      </x:c>
      <x:c r="P438" s="42" t="str">
        <x:v>Lv70~85</x:v>
      </x:c>
      <x:c r="Q438" s="42" t="str">
        <x:v>III~IV</x:v>
      </x:c>
      <x:c r="R438" s="42" t="str">
        <x:v>5</x:v>
      </x:c>
      <x:c r="S438" s="42" t="str">
        <x:v>Hard 후반: 핵심 벽 10~14일 / 사이 스테이지 연속 진행</x:v>
      </x:c>
      <x:c r="T438" s="42" t="n">
        <x:v>16</x:v>
      </x:c>
      <x:c r="U438" s="42" t="n">
        <x:v>928</x:v>
      </x:c>
      <x:c r="V438" s="42" t="n">
        <x:v>345</x:v>
      </x:c>
      <x:c r="W438" s="42" t="n">
        <x:v>34</x:v>
      </x:c>
      <x:c r="X438" s="42" t="n">
        <x:v>104</x:v>
      </x:c>
      <x:c r="Y438" s="42" t="str"/>
    </x:row>
    <x:row r="439">
      <x:c r="A439" s="1">
        <x:v>44</x:v>
      </x:c>
      <x:c r="B439" s="1" t="s">
        <x:v>681</x:v>
      </x:c>
      <x:c r="C439" s="1" t="s">
        <x:v>403</x:v>
      </x:c>
      <x:c r="D439" s="1">
        <x:v>2</x:v>
      </x:c>
      <x:c r="E439" s="1">
        <x:v>3</x:v>
      </x:c>
      <x:c r="F439" s="1">
        <x:v>8</x:v>
      </x:c>
      <x:c r="G439" s="1" t="s">
        <x:v>1042</x:v>
      </x:c>
      <x:c r="H439" s="1">
        <x:v>60</x:v>
      </x:c>
      <x:c r="I439" s="1">
        <x:v>37</x:v>
      </x:c>
      <x:c r="J439" s="1">
        <x:v>0.54</x:v>
      </x:c>
      <x:c r="K439" s="1" t="s">
        <x:v>1160</x:v>
      </x:c>
      <x:c r="L439" s="1">
        <x:v>3.64</x:v>
      </x:c>
      <x:c r="M439" s="1">
        <x:v>2.76</x:v>
      </x:c>
      <x:c r="N439" s="1">
        <x:v>13314</x:v>
      </x:c>
      <x:c r="O439" s="1" t="s">
        <x:v>1052</x:v>
      </x:c>
      <x:c r="P439" s="42" t="str">
        <x:v>Lv70~85</x:v>
      </x:c>
      <x:c r="Q439" s="42" t="str">
        <x:v>III~IV</x:v>
      </x:c>
      <x:c r="R439" s="42" t="str">
        <x:v>5</x:v>
      </x:c>
      <x:c r="S439" s="42" t="str">
        <x:v>Hard 후반: 핵심 벽 10~14일 / 사이 스테이지 연속 진행</x:v>
      </x:c>
      <x:c r="T439" s="42" t="n">
        <x:v>16</x:v>
      </x:c>
      <x:c r="U439" s="42" t="n">
        <x:v>960</x:v>
      </x:c>
      <x:c r="V439" s="42" t="n">
        <x:v>460</x:v>
      </x:c>
      <x:c r="W439" s="42" t="n">
        <x:v>46</x:v>
      </x:c>
      <x:c r="X439" s="42" t="n">
        <x:v>138</x:v>
      </x:c>
      <x:c r="Y439" s="42" t="str"/>
    </x:row>
    <x:row r="440">
      <x:c r="A440" s="1">
        <x:v>44</x:v>
      </x:c>
      <x:c r="B440" s="1" t="s">
        <x:v>681</x:v>
      </x:c>
      <x:c r="C440" s="1" t="s">
        <x:v>403</x:v>
      </x:c>
      <x:c r="D440" s="1">
        <x:v>2</x:v>
      </x:c>
      <x:c r="E440" s="1">
        <x:v>3</x:v>
      </x:c>
      <x:c r="F440" s="1">
        <x:v>9</x:v>
      </x:c>
      <x:c r="G440" s="1" t="s">
        <x:v>1042</x:v>
      </x:c>
      <x:c r="H440" s="1">
        <x:v>63</x:v>
      </x:c>
      <x:c r="I440" s="1">
        <x:v>39</x:v>
      </x:c>
      <x:c r="J440" s="1">
        <x:v>0.52</x:v>
      </x:c>
      <x:c r="K440" s="1" t="s">
        <x:v>1173</x:v>
      </x:c>
      <x:c r="L440" s="1">
        <x:v>3.69</x:v>
      </x:c>
      <x:c r="M440" s="1">
        <x:v>2.8</x:v>
      </x:c>
      <x:c r="N440" s="1">
        <x:v>13314</x:v>
      </x:c>
      <x:c r="O440" s="1" t="s">
        <x:v>1056</x:v>
      </x:c>
      <x:c r="P440" s="42" t="str">
        <x:v>Lv70~85</x:v>
      </x:c>
      <x:c r="Q440" s="42" t="str">
        <x:v>III~IV</x:v>
      </x:c>
      <x:c r="R440" s="42" t="str">
        <x:v>5</x:v>
      </x:c>
      <x:c r="S440" s="42" t="str">
        <x:v>Hard 후반: 핵심 벽 10~14일 / 사이 스테이지 연속 진행</x:v>
      </x:c>
      <x:c r="T440" s="42" t="n">
        <x:v>16</x:v>
      </x:c>
      <x:c r="U440" s="42" t="n">
        <x:v>1008</x:v>
      </x:c>
      <x:c r="V440" s="42" t="n">
        <x:v>575</x:v>
      </x:c>
      <x:c r="W440" s="42" t="n">
        <x:v>58</x:v>
      </x:c>
      <x:c r="X440" s="42" t="n">
        <x:v>172</x:v>
      </x:c>
      <x:c r="Y440" s="42" t="str"/>
    </x:row>
    <x:row r="441">
      <x:c r="A441" s="1">
        <x:v>44</x:v>
      </x:c>
      <x:c r="B441" s="1" t="s">
        <x:v>681</x:v>
      </x:c>
      <x:c r="C441" s="1" t="s">
        <x:v>403</x:v>
      </x:c>
      <x:c r="D441" s="1">
        <x:v>2</x:v>
      </x:c>
      <x:c r="E441" s="1">
        <x:v>3</x:v>
      </x:c>
      <x:c r="F441" s="1">
        <x:v>10</x:v>
      </x:c>
      <x:c r="G441" s="1" t="s">
        <x:v>1057</x:v>
      </x:c>
      <x:c r="H441" s="1">
        <x:v>56</x:v>
      </x:c>
      <x:c r="I441" s="1">
        <x:v>41</x:v>
      </x:c>
      <x:c r="J441" s="1">
        <x:v>0.5</x:v>
      </x:c>
      <x:c r="K441" s="1" t="s">
        <x:v>1230</x:v>
      </x:c>
      <x:c r="L441" s="1">
        <x:v>3.75</x:v>
      </x:c>
      <x:c r="M441" s="1">
        <x:v>2.84</x:v>
      </x:c>
      <x:c r="N441" s="1">
        <x:v>13314</x:v>
      </x:c>
      <x:c r="O441" s="1" t="s">
        <x:v>1059</x:v>
      </x:c>
      <x:c r="P441" s="42" t="str">
        <x:v>Lv70~85</x:v>
      </x:c>
      <x:c r="Q441" s="42" t="str">
        <x:v>III~IV</x:v>
      </x:c>
      <x:c r="R441" s="42" t="str">
        <x:v>5</x:v>
      </x:c>
      <x:c r="S441" s="42" t="str">
        <x:v>Hard 후반: 핵심 벽 10~14일 / 사이 스테이지 연속 진행</x:v>
      </x:c>
      <x:c r="T441" s="42" t="n">
        <x:v>16</x:v>
      </x:c>
      <x:c r="U441" s="42" t="n">
        <x:v>880</x:v>
      </x:c>
      <x:c r="V441" s="42" t="n">
        <x:v>0</x:v>
      </x:c>
      <x:c r="W441" s="42" t="n">
        <x:v>0</x:v>
      </x:c>
      <x:c r="X441" s="42" t="n">
        <x:v>0</x:v>
      </x:c>
      <x:c r="Y441" s="42" t="str">
        <x:v>보스 처치 보상은 로비 보상으로 분리</x:v>
      </x:c>
    </x:row>
    <x:row r="442">
      <x:c r="A442" s="1">
        <x:v>45</x:v>
      </x:c>
      <x:c r="B442" s="1" t="s">
        <x:v>681</x:v>
      </x:c>
      <x:c r="C442" s="1" t="s">
        <x:v>403</x:v>
      </x:c>
      <x:c r="D442" s="1">
        <x:v>3</x:v>
      </x:c>
      <x:c r="E442" s="1">
        <x:v>4</x:v>
      </x:c>
      <x:c r="F442" s="1">
        <x:v>1</x:v>
      </x:c>
      <x:c r="G442" s="1" t="s">
        <x:v>1042</x:v>
      </x:c>
      <x:c r="H442" s="1">
        <x:v>45</x:v>
      </x:c>
      <x:c r="I442" s="1">
        <x:v>28</x:v>
      </x:c>
      <x:c r="J442" s="1">
        <x:v>0.67</x:v>
      </x:c>
      <x:c r="K442" s="1" t="s">
        <x:v>1153</x:v>
      </x:c>
      <x:c r="L442" s="1">
        <x:v>3.34</x:v>
      </x:c>
      <x:c r="M442" s="1">
        <x:v>2.54</x:v>
      </x:c>
      <x:c r="N442" s="1">
        <x:v>14313</x:v>
      </x:c>
      <x:c r="O442" s="1" t="s">
        <x:v>1044</x:v>
      </x:c>
      <x:c r="P442" s="42" t="str">
        <x:v>Lv70~85</x:v>
      </x:c>
      <x:c r="Q442" s="42" t="str">
        <x:v>III~IV</x:v>
      </x:c>
      <x:c r="R442" s="42" t="str">
        <x:v>5</x:v>
      </x:c>
      <x:c r="S442" s="42" t="str">
        <x:v>Hard 후반: 핵심 벽 10~14일 / 사이 스테이지 연속 진행</x:v>
      </x:c>
      <x:c r="T442" s="42" t="n">
        <x:v>16</x:v>
      </x:c>
      <x:c r="U442" s="42" t="n">
        <x:v>720</x:v>
      </x:c>
      <x:c r="V442" s="42" t="n">
        <x:v>115</x:v>
      </x:c>
      <x:c r="W442" s="42" t="n">
        <x:v>12</x:v>
      </x:c>
      <x:c r="X442" s="42" t="n">
        <x:v>34</x:v>
      </x:c>
      <x:c r="Y442" s="42" t="str"/>
    </x:row>
    <x:row r="443">
      <x:c r="A443" s="1">
        <x:v>45</x:v>
      </x:c>
      <x:c r="B443" s="1" t="s">
        <x:v>681</x:v>
      </x:c>
      <x:c r="C443" s="1" t="s">
        <x:v>403</x:v>
      </x:c>
      <x:c r="D443" s="1">
        <x:v>3</x:v>
      </x:c>
      <x:c r="E443" s="1">
        <x:v>4</x:v>
      </x:c>
      <x:c r="F443" s="1">
        <x:v>2</x:v>
      </x:c>
      <x:c r="G443" s="1" t="s">
        <x:v>1042</x:v>
      </x:c>
      <x:c r="H443" s="1">
        <x:v>48</x:v>
      </x:c>
      <x:c r="I443" s="1">
        <x:v>30</x:v>
      </x:c>
      <x:c r="J443" s="1">
        <x:v>0.65</x:v>
      </x:c>
      <x:c r="K443" s="1" t="s">
        <x:v>1155</x:v>
      </x:c>
      <x:c r="L443" s="1">
        <x:v>3.4</x:v>
      </x:c>
      <x:c r="M443" s="1">
        <x:v>2.58</x:v>
      </x:c>
      <x:c r="N443" s="1">
        <x:v>14313</x:v>
      </x:c>
      <x:c r="O443" s="1" t="s">
        <x:v>1044</x:v>
      </x:c>
      <x:c r="P443" s="42" t="str">
        <x:v>Lv70~85</x:v>
      </x:c>
      <x:c r="Q443" s="42" t="str">
        <x:v>III~IV</x:v>
      </x:c>
      <x:c r="R443" s="42" t="str">
        <x:v>5</x:v>
      </x:c>
      <x:c r="S443" s="42" t="str">
        <x:v>Hard 후반: 핵심 벽 10~14일 / 사이 스테이지 연속 진행</x:v>
      </x:c>
      <x:c r="T443" s="42" t="n">
        <x:v>16</x:v>
      </x:c>
      <x:c r="U443" s="42" t="n">
        <x:v>768</x:v>
      </x:c>
      <x:c r="V443" s="42" t="n">
        <x:v>138</x:v>
      </x:c>
      <x:c r="W443" s="42" t="n">
        <x:v>14</x:v>
      </x:c>
      <x:c r="X443" s="42" t="n">
        <x:v>41</x:v>
      </x:c>
      <x:c r="Y443" s="42" t="str"/>
    </x:row>
    <x:row r="444">
      <x:c r="A444" s="1">
        <x:v>45</x:v>
      </x:c>
      <x:c r="B444" s="1" t="s">
        <x:v>681</x:v>
      </x:c>
      <x:c r="C444" s="1" t="s">
        <x:v>403</x:v>
      </x:c>
      <x:c r="D444" s="1">
        <x:v>3</x:v>
      </x:c>
      <x:c r="E444" s="1">
        <x:v>4</x:v>
      </x:c>
      <x:c r="F444" s="1">
        <x:v>3</x:v>
      </x:c>
      <x:c r="G444" s="1" t="s">
        <x:v>1042</x:v>
      </x:c>
      <x:c r="H444" s="1">
        <x:v>50</x:v>
      </x:c>
      <x:c r="I444" s="1">
        <x:v>31</x:v>
      </x:c>
      <x:c r="J444" s="1">
        <x:v>0.63</x:v>
      </x:c>
      <x:c r="K444" s="1" t="s">
        <x:v>1152</x:v>
      </x:c>
      <x:c r="L444" s="1">
        <x:v>3.45</x:v>
      </x:c>
      <x:c r="M444" s="1">
        <x:v>2.62</x:v>
      </x:c>
      <x:c r="N444" s="1">
        <x:v>14313</x:v>
      </x:c>
      <x:c r="O444" s="1" t="s">
        <x:v>1044</x:v>
      </x:c>
      <x:c r="P444" s="42" t="str">
        <x:v>Lv70~85</x:v>
      </x:c>
      <x:c r="Q444" s="42" t="str">
        <x:v>III~IV</x:v>
      </x:c>
      <x:c r="R444" s="42" t="str">
        <x:v>5</x:v>
      </x:c>
      <x:c r="S444" s="42" t="str">
        <x:v>Hard 후반: 핵심 벽 10~14일 / 사이 스테이지 연속 진행</x:v>
      </x:c>
      <x:c r="T444" s="42" t="n">
        <x:v>16</x:v>
      </x:c>
      <x:c r="U444" s="42" t="n">
        <x:v>800</x:v>
      </x:c>
      <x:c r="V444" s="42" t="n">
        <x:v>172</x:v>
      </x:c>
      <x:c r="W444" s="42" t="n">
        <x:v>17</x:v>
      </x:c>
      <x:c r="X444" s="42" t="n">
        <x:v>52</x:v>
      </x:c>
      <x:c r="Y444" s="42" t="str"/>
    </x:row>
    <x:row r="445">
      <x:c r="A445" s="1">
        <x:v>45</x:v>
      </x:c>
      <x:c r="B445" s="1" t="s">
        <x:v>681</x:v>
      </x:c>
      <x:c r="C445" s="1" t="s">
        <x:v>403</x:v>
      </x:c>
      <x:c r="D445" s="1">
        <x:v>3</x:v>
      </x:c>
      <x:c r="E445" s="1">
        <x:v>4</x:v>
      </x:c>
      <x:c r="F445" s="1">
        <x:v>4</x:v>
      </x:c>
      <x:c r="G445" s="1" t="s">
        <x:v>1042</x:v>
      </x:c>
      <x:c r="H445" s="1">
        <x:v>53</x:v>
      </x:c>
      <x:c r="I445" s="1">
        <x:v>33</x:v>
      </x:c>
      <x:c r="J445" s="1">
        <x:v>0.61</x:v>
      </x:c>
      <x:c r="K445" s="1" t="s">
        <x:v>1153</x:v>
      </x:c>
      <x:c r="L445" s="1">
        <x:v>3.5</x:v>
      </x:c>
      <x:c r="M445" s="1">
        <x:v>2.66</x:v>
      </x:c>
      <x:c r="N445" s="1">
        <x:v>14313</x:v>
      </x:c>
      <x:c r="O445" s="1" t="s">
        <x:v>1047</x:v>
      </x:c>
      <x:c r="P445" s="42" t="str">
        <x:v>Lv70~85</x:v>
      </x:c>
      <x:c r="Q445" s="42" t="str">
        <x:v>III~IV</x:v>
      </x:c>
      <x:c r="R445" s="42" t="str">
        <x:v>5</x:v>
      </x:c>
      <x:c r="S445" s="42" t="str">
        <x:v>Hard 후반: 핵심 벽 10~14일 / 사이 스테이지 연속 진행</x:v>
      </x:c>
      <x:c r="T445" s="42" t="n">
        <x:v>16</x:v>
      </x:c>
      <x:c r="U445" s="42" t="n">
        <x:v>848</x:v>
      </x:c>
      <x:c r="V445" s="42" t="n">
        <x:v>207</x:v>
      </x:c>
      <x:c r="W445" s="42" t="n">
        <x:v>21</x:v>
      </x:c>
      <x:c r="X445" s="42" t="n">
        <x:v>62</x:v>
      </x:c>
      <x:c r="Y445" s="42" t="str"/>
    </x:row>
    <x:row r="446">
      <x:c r="A446" s="1">
        <x:v>45</x:v>
      </x:c>
      <x:c r="B446" s="1" t="s">
        <x:v>681</x:v>
      </x:c>
      <x:c r="C446" s="1" t="s">
        <x:v>403</x:v>
      </x:c>
      <x:c r="D446" s="1">
        <x:v>3</x:v>
      </x:c>
      <x:c r="E446" s="1">
        <x:v>4</x:v>
      </x:c>
      <x:c r="F446" s="1">
        <x:v>5</x:v>
      </x:c>
      <x:c r="G446" s="1" t="s">
        <x:v>1048</x:v>
      </x:c>
      <x:c r="H446" s="1">
        <x:v>48</x:v>
      </x:c>
      <x:c r="I446" s="1">
        <x:v>35</x:v>
      </x:c>
      <x:c r="J446" s="1">
        <x:v>0.59</x:v>
      </x:c>
      <x:c r="K446" s="1" t="s">
        <x:v>1231</x:v>
      </x:c>
      <x:c r="L446" s="1">
        <x:v>3.56</x:v>
      </x:c>
      <x:c r="M446" s="1">
        <x:v>2.7</x:v>
      </x:c>
      <x:c r="N446" s="1">
        <x:v>14313</x:v>
      </x:c>
      <x:c r="O446" s="1" t="s">
        <x:v>1050</x:v>
      </x:c>
      <x:c r="P446" s="42" t="str">
        <x:v>Lv70~85</x:v>
      </x:c>
      <x:c r="Q446" s="42" t="str">
        <x:v>III~IV</x:v>
      </x:c>
      <x:c r="R446" s="42" t="str">
        <x:v>5</x:v>
      </x:c>
      <x:c r="S446" s="42" t="str">
        <x:v>Hard 후반: 핵심 벽 10~14일 / 사이 스테이지 연속 진행</x:v>
      </x:c>
      <x:c r="T446" s="42" t="n">
        <x:v>16</x:v>
      </x:c>
      <x:c r="U446" s="42" t="n">
        <x:v>1051</x:v>
      </x:c>
      <x:c r="V446" s="42" t="n">
        <x:v>345</x:v>
      </x:c>
      <x:c r="W446" s="42" t="n">
        <x:v>34</x:v>
      </x:c>
      <x:c r="X446" s="42" t="n">
        <x:v>104</x:v>
      </x:c>
      <x:c r="Y446" s="42" t="str">
        <x:v>중간보스 현상금 포함</x:v>
      </x:c>
    </x:row>
    <x:row r="447">
      <x:c r="A447" s="1">
        <x:v>45</x:v>
      </x:c>
      <x:c r="B447" s="1" t="s">
        <x:v>681</x:v>
      </x:c>
      <x:c r="C447" s="1" t="s">
        <x:v>403</x:v>
      </x:c>
      <x:c r="D447" s="1">
        <x:v>3</x:v>
      </x:c>
      <x:c r="E447" s="1">
        <x:v>4</x:v>
      </x:c>
      <x:c r="F447" s="1">
        <x:v>6</x:v>
      </x:c>
      <x:c r="G447" s="1" t="s">
        <x:v>1042</x:v>
      </x:c>
      <x:c r="H447" s="1">
        <x:v>58</x:v>
      </x:c>
      <x:c r="I447" s="1">
        <x:v>36</x:v>
      </x:c>
      <x:c r="J447" s="1">
        <x:v>0.56999999999999995</x:v>
      </x:c>
      <x:c r="K447" s="1" t="s">
        <x:v>1155</x:v>
      </x:c>
      <x:c r="L447" s="1">
        <x:v>3.61</x:v>
      </x:c>
      <x:c r="M447" s="1">
        <x:v>2.74</x:v>
      </x:c>
      <x:c r="N447" s="1">
        <x:v>14313</x:v>
      </x:c>
      <x:c r="O447" s="1" t="s">
        <x:v>1052</x:v>
      </x:c>
      <x:c r="P447" s="42" t="str">
        <x:v>Lv70~85</x:v>
      </x:c>
      <x:c r="Q447" s="42" t="str">
        <x:v>III~IV</x:v>
      </x:c>
      <x:c r="R447" s="42" t="str">
        <x:v>5</x:v>
      </x:c>
      <x:c r="S447" s="42" t="str">
        <x:v>Hard 후반: 핵심 벽 10~14일 / 사이 스테이지 연속 진행</x:v>
      </x:c>
      <x:c r="T447" s="42" t="n">
        <x:v>16</x:v>
      </x:c>
      <x:c r="U447" s="42" t="n">
        <x:v>928</x:v>
      </x:c>
      <x:c r="V447" s="42" t="n">
        <x:v>253</x:v>
      </x:c>
      <x:c r="W447" s="42" t="n">
        <x:v>25</x:v>
      </x:c>
      <x:c r="X447" s="42" t="n">
        <x:v>76</x:v>
      </x:c>
      <x:c r="Y447" s="42" t="str"/>
    </x:row>
    <x:row r="448">
      <x:c r="A448" s="1">
        <x:v>45</x:v>
      </x:c>
      <x:c r="B448" s="1" t="s">
        <x:v>681</x:v>
      </x:c>
      <x:c r="C448" s="1" t="s">
        <x:v>403</x:v>
      </x:c>
      <x:c r="D448" s="1">
        <x:v>3</x:v>
      </x:c>
      <x:c r="E448" s="1">
        <x:v>4</x:v>
      </x:c>
      <x:c r="F448" s="1">
        <x:v>7</x:v>
      </x:c>
      <x:c r="G448" s="1" t="s">
        <x:v>1042</x:v>
      </x:c>
      <x:c r="H448" s="1">
        <x:v>61</x:v>
      </x:c>
      <x:c r="I448" s="1">
        <x:v>38</x:v>
      </x:c>
      <x:c r="J448" s="1">
        <x:v>0.55000000000000004</x:v>
      </x:c>
      <x:c r="K448" s="1" t="s">
        <x:v>1162</x:v>
      </x:c>
      <x:c r="L448" s="1">
        <x:v>3.67</x:v>
      </x:c>
      <x:c r="M448" s="1">
        <x:v>2.78</x:v>
      </x:c>
      <x:c r="N448" s="1">
        <x:v>14313</x:v>
      </x:c>
      <x:c r="O448" s="1" t="s">
        <x:v>1052</x:v>
      </x:c>
      <x:c r="P448" s="42" t="str">
        <x:v>Lv70~85</x:v>
      </x:c>
      <x:c r="Q448" s="42" t="str">
        <x:v>III~IV</x:v>
      </x:c>
      <x:c r="R448" s="42" t="str">
        <x:v>5</x:v>
      </x:c>
      <x:c r="S448" s="42" t="str">
        <x:v>Hard 후반: 핵심 벽 10~14일 / 사이 스테이지 연속 진행</x:v>
      </x:c>
      <x:c r="T448" s="42" t="n">
        <x:v>16</x:v>
      </x:c>
      <x:c r="U448" s="42" t="n">
        <x:v>976</x:v>
      </x:c>
      <x:c r="V448" s="42" t="n">
        <x:v>345</x:v>
      </x:c>
      <x:c r="W448" s="42" t="n">
        <x:v>34</x:v>
      </x:c>
      <x:c r="X448" s="42" t="n">
        <x:v>104</x:v>
      </x:c>
      <x:c r="Y448" s="42" t="str"/>
    </x:row>
    <x:row r="449">
      <x:c r="A449" s="1">
        <x:v>45</x:v>
      </x:c>
      <x:c r="B449" s="1" t="s">
        <x:v>681</x:v>
      </x:c>
      <x:c r="C449" s="1" t="s">
        <x:v>403</x:v>
      </x:c>
      <x:c r="D449" s="1">
        <x:v>3</x:v>
      </x:c>
      <x:c r="E449" s="1">
        <x:v>4</x:v>
      </x:c>
      <x:c r="F449" s="1">
        <x:v>8</x:v>
      </x:c>
      <x:c r="G449" s="1" t="s">
        <x:v>1042</x:v>
      </x:c>
      <x:c r="H449" s="1">
        <x:v>64</x:v>
      </x:c>
      <x:c r="I449" s="1">
        <x:v>40</x:v>
      </x:c>
      <x:c r="J449" s="1">
        <x:v>0.53</x:v>
      </x:c>
      <x:c r="K449" s="1" t="s">
        <x:v>1173</x:v>
      </x:c>
      <x:c r="L449" s="1">
        <x:v>3.72</x:v>
      </x:c>
      <x:c r="M449" s="1">
        <x:v>2.82</x:v>
      </x:c>
      <x:c r="N449" s="1">
        <x:v>14313</x:v>
      </x:c>
      <x:c r="O449" s="1" t="s">
        <x:v>1052</x:v>
      </x:c>
      <x:c r="P449" s="42" t="str">
        <x:v>Lv70~85</x:v>
      </x:c>
      <x:c r="Q449" s="42" t="str">
        <x:v>III~IV</x:v>
      </x:c>
      <x:c r="R449" s="42" t="str">
        <x:v>5</x:v>
      </x:c>
      <x:c r="S449" s="42" t="str">
        <x:v>Hard 후반: 핵심 벽 10~14일 / 사이 스테이지 연속 진행</x:v>
      </x:c>
      <x:c r="T449" s="42" t="n">
        <x:v>16</x:v>
      </x:c>
      <x:c r="U449" s="42" t="n">
        <x:v>1024</x:v>
      </x:c>
      <x:c r="V449" s="42" t="n">
        <x:v>460</x:v>
      </x:c>
      <x:c r="W449" s="42" t="n">
        <x:v>46</x:v>
      </x:c>
      <x:c r="X449" s="42" t="n">
        <x:v>138</x:v>
      </x:c>
      <x:c r="Y449" s="42" t="str"/>
    </x:row>
    <x:row r="450">
      <x:c r="A450" s="1">
        <x:v>45</x:v>
      </x:c>
      <x:c r="B450" s="1" t="s">
        <x:v>681</x:v>
      </x:c>
      <x:c r="C450" s="1" t="s">
        <x:v>403</x:v>
      </x:c>
      <x:c r="D450" s="1">
        <x:v>3</x:v>
      </x:c>
      <x:c r="E450" s="1">
        <x:v>4</x:v>
      </x:c>
      <x:c r="F450" s="1">
        <x:v>9</x:v>
      </x:c>
      <x:c r="G450" s="1" t="s">
        <x:v>1042</x:v>
      </x:c>
      <x:c r="H450" s="1">
        <x:v>66</x:v>
      </x:c>
      <x:c r="I450" s="1">
        <x:v>41</x:v>
      </x:c>
      <x:c r="J450" s="1">
        <x:v>0.51</x:v>
      </x:c>
      <x:c r="K450" s="1" t="s">
        <x:v>1168</x:v>
      </x:c>
      <x:c r="L450" s="1">
        <x:v>3.78</x:v>
      </x:c>
      <x:c r="M450" s="1">
        <x:v>2.86</x:v>
      </x:c>
      <x:c r="N450" s="1">
        <x:v>14313</x:v>
      </x:c>
      <x:c r="O450" s="1" t="s">
        <x:v>1056</x:v>
      </x:c>
      <x:c r="P450" s="42" t="str">
        <x:v>Lv70~85</x:v>
      </x:c>
      <x:c r="Q450" s="42" t="str">
        <x:v>III~IV</x:v>
      </x:c>
      <x:c r="R450" s="42" t="str">
        <x:v>5</x:v>
      </x:c>
      <x:c r="S450" s="42" t="str">
        <x:v>Hard 후반: 핵심 벽 10~14일 / 사이 스테이지 연속 진행</x:v>
      </x:c>
      <x:c r="T450" s="42" t="n">
        <x:v>16</x:v>
      </x:c>
      <x:c r="U450" s="42" t="n">
        <x:v>1056</x:v>
      </x:c>
      <x:c r="V450" s="42" t="n">
        <x:v>575</x:v>
      </x:c>
      <x:c r="W450" s="42" t="n">
        <x:v>58</x:v>
      </x:c>
      <x:c r="X450" s="42" t="n">
        <x:v>172</x:v>
      </x:c>
      <x:c r="Y450" s="42" t="str"/>
    </x:row>
    <x:row r="451">
      <x:c r="A451" s="1">
        <x:v>45</x:v>
      </x:c>
      <x:c r="B451" s="1" t="s">
        <x:v>681</x:v>
      </x:c>
      <x:c r="C451" s="1" t="s">
        <x:v>403</x:v>
      </x:c>
      <x:c r="D451" s="1">
        <x:v>3</x:v>
      </x:c>
      <x:c r="E451" s="1">
        <x:v>4</x:v>
      </x:c>
      <x:c r="F451" s="1">
        <x:v>10</x:v>
      </x:c>
      <x:c r="G451" s="1" t="s">
        <x:v>1057</x:v>
      </x:c>
      <x:c r="H451" s="1">
        <x:v>59</x:v>
      </x:c>
      <x:c r="I451" s="1">
        <x:v>43</x:v>
      </x:c>
      <x:c r="J451" s="1">
        <x:v>0.49</x:v>
      </x:c>
      <x:c r="K451" s="1" t="str">
        <x:v>침식에 물들은 용살자의 설화 1 + 호위 일반몹 58</x:v>
      </x:c>
      <x:c r="L451" s="1">
        <x:v>3.83</x:v>
      </x:c>
      <x:c r="M451" s="1">
        <x:v>2.9</x:v>
      </x:c>
      <x:c r="N451" s="1">
        <x:v>14313</x:v>
      </x:c>
      <x:c r="O451" s="1" t="s">
        <x:v>1059</x:v>
      </x:c>
      <x:c r="P451" s="42" t="str">
        <x:v>Lv70~85</x:v>
      </x:c>
      <x:c r="Q451" s="42" t="str">
        <x:v>III~IV</x:v>
      </x:c>
      <x:c r="R451" s="42" t="str">
        <x:v>5</x:v>
      </x:c>
      <x:c r="S451" s="42" t="str">
        <x:v>Hard 후반: 핵심 벽 10~14일 / 사이 스테이지 연속 진행</x:v>
      </x:c>
      <x:c r="T451" s="42" t="n">
        <x:v>16</x:v>
      </x:c>
      <x:c r="U451" s="42" t="n">
        <x:v>928</x:v>
      </x:c>
      <x:c r="V451" s="42" t="n">
        <x:v>0</x:v>
      </x:c>
      <x:c r="W451" s="42" t="n">
        <x:v>0</x:v>
      </x:c>
      <x:c r="X451" s="42" t="n">
        <x:v>0</x:v>
      </x:c>
      <x:c r="Y451" s="42" t="str">
        <x:v>보스 처치 보상은 로비 보상으로 분리</x:v>
      </x:c>
      <x:c r="Z451" s="564" t="n">
        <x:v>176500</x:v>
      </x:c>
      <x:c r="AA451" t="str">
        <x:v>5신화 ★5</x:v>
      </x:c>
      <x:c r="AB451" t="str">
        <x:v>4신화+전설 매우 어려움</x:v>
      </x:c>
      <x:c r="AC451" t="str">
        <x:v>이 실전EHP를 V3.6 최종 TD 기준으로 사용. 기존 L열 HP배율은 과거안 보존.</x:v>
      </x:c>
    </x:row>
    <x:row r="452">
      <x:c r="A452" s="1">
        <x:v>46</x:v>
      </x:c>
      <x:c r="B452" s="1" t="s">
        <x:v>681</x:v>
      </x:c>
      <x:c r="C452" s="1" t="s">
        <x:v>446</x:v>
      </x:c>
      <x:c r="D452" s="1">
        <x:v>1</x:v>
      </x:c>
      <x:c r="E452" s="1">
        <x:v>3</x:v>
      </x:c>
      <x:c r="F452" s="1">
        <x:v>1</x:v>
      </x:c>
      <x:c r="G452" s="1" t="s">
        <x:v>1042</x:v>
      </x:c>
      <x:c r="H452" s="1">
        <x:v>44</x:v>
      </x:c>
      <x:c r="I452" s="1">
        <x:v>27</x:v>
      </x:c>
      <x:c r="J452" s="1">
        <x:v>0.66</x:v>
      </x:c>
      <x:c r="K452" s="1" t="s">
        <x:v>1232</x:v>
      </x:c>
      <x:c r="L452" s="1">
        <x:v>3.42</x:v>
      </x:c>
      <x:c r="M452" s="1">
        <x:v>2.6</x:v>
      </x:c>
      <x:c r="N452" s="1">
        <x:v>15386</x:v>
      </x:c>
      <x:c r="O452" s="1" t="s">
        <x:v>1044</x:v>
      </x:c>
      <x:c r="P452" s="42" t="str">
        <x:v>Lv85~100</x:v>
      </x:c>
      <x:c r="Q452" s="42" t="str">
        <x:v>IV</x:v>
      </x:c>
      <x:c r="R452" s="42" t="str">
        <x:v>5</x:v>
      </x:c>
      <x:c r="S452" s="42" t="str">
        <x:v>Final 장기 성장: Stage46 10~14일+ / 중간 스테이지 진행</x:v>
      </x:c>
      <x:c r="T452" s="42" t="n">
        <x:v>17</x:v>
      </x:c>
      <x:c r="U452" s="42" t="n">
        <x:v>748</x:v>
      </x:c>
      <x:c r="V452" s="42" t="n">
        <x:v>118</x:v>
      </x:c>
      <x:c r="W452" s="42" t="n">
        <x:v>12</x:v>
      </x:c>
      <x:c r="X452" s="42" t="n">
        <x:v>35</x:v>
      </x:c>
      <x:c r="Y452" s="42" t="str"/>
    </x:row>
    <x:row r="453">
      <x:c r="A453" s="1">
        <x:v>46</x:v>
      </x:c>
      <x:c r="B453" s="1" t="s">
        <x:v>681</x:v>
      </x:c>
      <x:c r="C453" s="1" t="s">
        <x:v>446</x:v>
      </x:c>
      <x:c r="D453" s="1">
        <x:v>1</x:v>
      </x:c>
      <x:c r="E453" s="1">
        <x:v>3</x:v>
      </x:c>
      <x:c r="F453" s="1">
        <x:v>2</x:v>
      </x:c>
      <x:c r="G453" s="1" t="s">
        <x:v>1042</x:v>
      </x:c>
      <x:c r="H453" s="1">
        <x:v>47</x:v>
      </x:c>
      <x:c r="I453" s="1">
        <x:v>29</x:v>
      </x:c>
      <x:c r="J453" s="1">
        <x:v>0.64</x:v>
      </x:c>
      <x:c r="K453" s="1" t="s">
        <x:v>1177</x:v>
      </x:c>
      <x:c r="L453" s="1">
        <x:v>3.48</x:v>
      </x:c>
      <x:c r="M453" s="1">
        <x:v>2.64</x:v>
      </x:c>
      <x:c r="N453" s="1">
        <x:v>15386</x:v>
      </x:c>
      <x:c r="O453" s="1" t="s">
        <x:v>1044</x:v>
      </x:c>
      <x:c r="P453" s="42" t="str">
        <x:v>Lv85~100</x:v>
      </x:c>
      <x:c r="Q453" s="42" t="str">
        <x:v>IV</x:v>
      </x:c>
      <x:c r="R453" s="42" t="str">
        <x:v>5</x:v>
      </x:c>
      <x:c r="S453" s="42" t="str">
        <x:v>Final 장기 성장: Stage46 10~14일+ / 중간 스테이지 진행</x:v>
      </x:c>
      <x:c r="T453" s="42" t="n">
        <x:v>17</x:v>
      </x:c>
      <x:c r="U453" s="42" t="n">
        <x:v>799</x:v>
      </x:c>
      <x:c r="V453" s="42" t="n">
        <x:v>142</x:v>
      </x:c>
      <x:c r="W453" s="42" t="n">
        <x:v>14</x:v>
      </x:c>
      <x:c r="X453" s="42" t="n">
        <x:v>43</x:v>
      </x:c>
      <x:c r="Y453" s="42" t="str"/>
    </x:row>
    <x:row r="454">
      <x:c r="A454" s="1">
        <x:v>46</x:v>
      </x:c>
      <x:c r="B454" s="1" t="s">
        <x:v>681</x:v>
      </x:c>
      <x:c r="C454" s="1" t="s">
        <x:v>446</x:v>
      </x:c>
      <x:c r="D454" s="1">
        <x:v>1</x:v>
      </x:c>
      <x:c r="E454" s="1">
        <x:v>3</x:v>
      </x:c>
      <x:c r="F454" s="1">
        <x:v>3</x:v>
      </x:c>
      <x:c r="G454" s="1" t="s">
        <x:v>1042</x:v>
      </x:c>
      <x:c r="H454" s="1">
        <x:v>50</x:v>
      </x:c>
      <x:c r="I454" s="1">
        <x:v>31</x:v>
      </x:c>
      <x:c r="J454" s="1">
        <x:v>0.62</x:v>
      </x:c>
      <x:c r="K454" s="1" t="s">
        <x:v>1179</x:v>
      </x:c>
      <x:c r="L454" s="1">
        <x:v>3.53</x:v>
      </x:c>
      <x:c r="M454" s="1">
        <x:v>2.68</x:v>
      </x:c>
      <x:c r="N454" s="1">
        <x:v>15386</x:v>
      </x:c>
      <x:c r="O454" s="1" t="s">
        <x:v>1044</x:v>
      </x:c>
      <x:c r="P454" s="42" t="str">
        <x:v>Lv85~100</x:v>
      </x:c>
      <x:c r="Q454" s="42" t="str">
        <x:v>IV</x:v>
      </x:c>
      <x:c r="R454" s="42" t="str">
        <x:v>5</x:v>
      </x:c>
      <x:c r="S454" s="42" t="str">
        <x:v>Final 장기 성장: Stage46 10~14일+ / 중간 스테이지 진행</x:v>
      </x:c>
      <x:c r="T454" s="42" t="n">
        <x:v>17</x:v>
      </x:c>
      <x:c r="U454" s="42" t="n">
        <x:v>850</x:v>
      </x:c>
      <x:c r="V454" s="42" t="n">
        <x:v>177</x:v>
      </x:c>
      <x:c r="W454" s="42" t="n">
        <x:v>18</x:v>
      </x:c>
      <x:c r="X454" s="42" t="n">
        <x:v>53</x:v>
      </x:c>
      <x:c r="Y454" s="42" t="str"/>
    </x:row>
    <x:row r="455">
      <x:c r="A455" s="1">
        <x:v>46</x:v>
      </x:c>
      <x:c r="B455" s="1" t="s">
        <x:v>681</x:v>
      </x:c>
      <x:c r="C455" s="1" t="s">
        <x:v>446</x:v>
      </x:c>
      <x:c r="D455" s="1">
        <x:v>1</x:v>
      </x:c>
      <x:c r="E455" s="1">
        <x:v>3</x:v>
      </x:c>
      <x:c r="F455" s="1">
        <x:v>4</x:v>
      </x:c>
      <x:c r="G455" s="1" t="s">
        <x:v>1042</x:v>
      </x:c>
      <x:c r="H455" s="1">
        <x:v>52</x:v>
      </x:c>
      <x:c r="I455" s="1">
        <x:v>32</x:v>
      </x:c>
      <x:c r="J455" s="1">
        <x:v>0.6</x:v>
      </x:c>
      <x:c r="K455" s="1" t="s">
        <x:v>1180</x:v>
      </x:c>
      <x:c r="L455" s="1">
        <x:v>3.59</x:v>
      </x:c>
      <x:c r="M455" s="1">
        <x:v>2.72</x:v>
      </x:c>
      <x:c r="N455" s="1">
        <x:v>15386</x:v>
      </x:c>
      <x:c r="O455" s="1" t="s">
        <x:v>1047</x:v>
      </x:c>
      <x:c r="P455" s="42" t="str">
        <x:v>Lv85~100</x:v>
      </x:c>
      <x:c r="Q455" s="42" t="str">
        <x:v>IV</x:v>
      </x:c>
      <x:c r="R455" s="42" t="str">
        <x:v>5</x:v>
      </x:c>
      <x:c r="S455" s="42" t="str">
        <x:v>Final 장기 성장: Stage46 10~14일+ / 중간 스테이지 진행</x:v>
      </x:c>
      <x:c r="T455" s="42" t="n">
        <x:v>17</x:v>
      </x:c>
      <x:c r="U455" s="42" t="n">
        <x:v>884</x:v>
      </x:c>
      <x:c r="V455" s="42" t="n">
        <x:v>212</x:v>
      </x:c>
      <x:c r="W455" s="42" t="n">
        <x:v>21</x:v>
      </x:c>
      <x:c r="X455" s="42" t="n">
        <x:v>64</x:v>
      </x:c>
      <x:c r="Y455" s="42" t="str"/>
    </x:row>
    <x:row r="456">
      <x:c r="A456" s="1">
        <x:v>46</x:v>
      </x:c>
      <x:c r="B456" s="1" t="s">
        <x:v>681</x:v>
      </x:c>
      <x:c r="C456" s="1" t="s">
        <x:v>446</x:v>
      </x:c>
      <x:c r="D456" s="1">
        <x:v>1</x:v>
      </x:c>
      <x:c r="E456" s="1">
        <x:v>3</x:v>
      </x:c>
      <x:c r="F456" s="1">
        <x:v>5</x:v>
      </x:c>
      <x:c r="G456" s="1" t="s">
        <x:v>1048</x:v>
      </x:c>
      <x:c r="H456" s="1">
        <x:v>47</x:v>
      </x:c>
      <x:c r="I456" s="1">
        <x:v>34</x:v>
      </x:c>
      <x:c r="J456" s="1">
        <x:v>0.57999999999999996</x:v>
      </x:c>
      <x:c r="K456" s="1" t="s">
        <x:v>1233</x:v>
      </x:c>
      <x:c r="L456" s="1">
        <x:v>3.65</x:v>
      </x:c>
      <x:c r="M456" s="1">
        <x:v>2.76</x:v>
      </x:c>
      <x:c r="N456" s="1">
        <x:v>15386</x:v>
      </x:c>
      <x:c r="O456" s="1" t="s">
        <x:v>1050</x:v>
      </x:c>
      <x:c r="P456" s="42" t="str">
        <x:v>Lv85~100</x:v>
      </x:c>
      <x:c r="Q456" s="42" t="str">
        <x:v>IV</x:v>
      </x:c>
      <x:c r="R456" s="42" t="str">
        <x:v>5</x:v>
      </x:c>
      <x:c r="S456" s="42" t="str">
        <x:v>Final 장기 성장: Stage46 10~14일+ / 중간 스테이지 진행</x:v>
      </x:c>
      <x:c r="T456" s="42" t="n">
        <x:v>17</x:v>
      </x:c>
      <x:c r="U456" s="42" t="n">
        <x:v>1083</x:v>
      </x:c>
      <x:c r="V456" s="42" t="n">
        <x:v>354</x:v>
      </x:c>
      <x:c r="W456" s="42" t="n">
        <x:v>35</x:v>
      </x:c>
      <x:c r="X456" s="42" t="n">
        <x:v>106</x:v>
      </x:c>
      <x:c r="Y456" s="42" t="str">
        <x:v>중간보스 현상금 포함</x:v>
      </x:c>
    </x:row>
    <x:row r="457">
      <x:c r="A457" s="1">
        <x:v>46</x:v>
      </x:c>
      <x:c r="B457" s="1" t="s">
        <x:v>681</x:v>
      </x:c>
      <x:c r="C457" s="1" t="s">
        <x:v>446</x:v>
      </x:c>
      <x:c r="D457" s="1">
        <x:v>1</x:v>
      </x:c>
      <x:c r="E457" s="1">
        <x:v>3</x:v>
      </x:c>
      <x:c r="F457" s="1">
        <x:v>6</x:v>
      </x:c>
      <x:c r="G457" s="1" t="s">
        <x:v>1042</x:v>
      </x:c>
      <x:c r="H457" s="1">
        <x:v>57</x:v>
      </x:c>
      <x:c r="I457" s="1">
        <x:v>35</x:v>
      </x:c>
      <x:c r="J457" s="1">
        <x:v>0.56000000000000005</x:v>
      </x:c>
      <x:c r="K457" s="1" t="s">
        <x:v>1182</x:v>
      </x:c>
      <x:c r="L457" s="1">
        <x:v>3.7</x:v>
      </x:c>
      <x:c r="M457" s="1">
        <x:v>2.8</x:v>
      </x:c>
      <x:c r="N457" s="1">
        <x:v>15386</x:v>
      </x:c>
      <x:c r="O457" s="1" t="s">
        <x:v>1052</x:v>
      </x:c>
      <x:c r="P457" s="42" t="str">
        <x:v>Lv85~100</x:v>
      </x:c>
      <x:c r="Q457" s="42" t="str">
        <x:v>IV</x:v>
      </x:c>
      <x:c r="R457" s="42" t="str">
        <x:v>5</x:v>
      </x:c>
      <x:c r="S457" s="42" t="str">
        <x:v>Final 장기 성장: Stage46 10~14일+ / 중간 스테이지 진행</x:v>
      </x:c>
      <x:c r="T457" s="42" t="n">
        <x:v>17</x:v>
      </x:c>
      <x:c r="U457" s="42" t="n">
        <x:v>969</x:v>
      </x:c>
      <x:c r="V457" s="42" t="n">
        <x:v>260</x:v>
      </x:c>
      <x:c r="W457" s="42" t="n">
        <x:v>26</x:v>
      </x:c>
      <x:c r="X457" s="42" t="n">
        <x:v>78</x:v>
      </x:c>
      <x:c r="Y457" s="42" t="str"/>
    </x:row>
    <x:row r="458">
      <x:c r="A458" s="1">
        <x:v>46</x:v>
      </x:c>
      <x:c r="B458" s="1" t="s">
        <x:v>681</x:v>
      </x:c>
      <x:c r="C458" s="1" t="s">
        <x:v>446</x:v>
      </x:c>
      <x:c r="D458" s="1">
        <x:v>1</x:v>
      </x:c>
      <x:c r="E458" s="1">
        <x:v>3</x:v>
      </x:c>
      <x:c r="F458" s="1">
        <x:v>7</x:v>
      </x:c>
      <x:c r="G458" s="1" t="s">
        <x:v>1042</x:v>
      </x:c>
      <x:c r="H458" s="1">
        <x:v>60</x:v>
      </x:c>
      <x:c r="I458" s="1">
        <x:v>37</x:v>
      </x:c>
      <x:c r="J458" s="1">
        <x:v>0.54</x:v>
      </x:c>
      <x:c r="K458" s="1" t="s">
        <x:v>1183</x:v>
      </x:c>
      <x:c r="L458" s="1">
        <x:v>3.75</x:v>
      </x:c>
      <x:c r="M458" s="1">
        <x:v>2.84</x:v>
      </x:c>
      <x:c r="N458" s="1">
        <x:v>15386</x:v>
      </x:c>
      <x:c r="O458" s="1" t="s">
        <x:v>1052</x:v>
      </x:c>
      <x:c r="P458" s="42" t="str">
        <x:v>Lv85~100</x:v>
      </x:c>
      <x:c r="Q458" s="42" t="str">
        <x:v>IV</x:v>
      </x:c>
      <x:c r="R458" s="42" t="str">
        <x:v>5</x:v>
      </x:c>
      <x:c r="S458" s="42" t="str">
        <x:v>Final 장기 성장: Stage46 10~14일+ / 중간 스테이지 진행</x:v>
      </x:c>
      <x:c r="T458" s="42" t="n">
        <x:v>17</x:v>
      </x:c>
      <x:c r="U458" s="42" t="n">
        <x:v>1020</x:v>
      </x:c>
      <x:c r="V458" s="42" t="n">
        <x:v>354</x:v>
      </x:c>
      <x:c r="W458" s="42" t="n">
        <x:v>35</x:v>
      </x:c>
      <x:c r="X458" s="42" t="n">
        <x:v>106</x:v>
      </x:c>
      <x:c r="Y458" s="42" t="str"/>
    </x:row>
    <x:row r="459">
      <x:c r="A459" s="1">
        <x:v>46</x:v>
      </x:c>
      <x:c r="B459" s="1" t="s">
        <x:v>681</x:v>
      </x:c>
      <x:c r="C459" s="1" t="s">
        <x:v>446</x:v>
      </x:c>
      <x:c r="D459" s="1">
        <x:v>1</x:v>
      </x:c>
      <x:c r="E459" s="1">
        <x:v>3</x:v>
      </x:c>
      <x:c r="F459" s="1">
        <x:v>8</x:v>
      </x:c>
      <x:c r="G459" s="1" t="s">
        <x:v>1042</x:v>
      </x:c>
      <x:c r="H459" s="1">
        <x:v>63</x:v>
      </x:c>
      <x:c r="I459" s="1">
        <x:v>39</x:v>
      </x:c>
      <x:c r="J459" s="1">
        <x:v>0.52</x:v>
      </x:c>
      <x:c r="K459" s="1" t="s">
        <x:v>1184</x:v>
      </x:c>
      <x:c r="L459" s="1">
        <x:v>3.81</x:v>
      </x:c>
      <x:c r="M459" s="1">
        <x:v>2.88</x:v>
      </x:c>
      <x:c r="N459" s="1">
        <x:v>15386</x:v>
      </x:c>
      <x:c r="O459" s="1" t="s">
        <x:v>1052</x:v>
      </x:c>
      <x:c r="P459" s="42" t="str">
        <x:v>Lv85~100</x:v>
      </x:c>
      <x:c r="Q459" s="42" t="str">
        <x:v>IV</x:v>
      </x:c>
      <x:c r="R459" s="42" t="str">
        <x:v>5</x:v>
      </x:c>
      <x:c r="S459" s="42" t="str">
        <x:v>Final 장기 성장: Stage46 10~14일+ / 중간 스테이지 진행</x:v>
      </x:c>
      <x:c r="T459" s="42" t="n">
        <x:v>17</x:v>
      </x:c>
      <x:c r="U459" s="42" t="n">
        <x:v>1071</x:v>
      </x:c>
      <x:c r="V459" s="42" t="n">
        <x:v>472</x:v>
      </x:c>
      <x:c r="W459" s="42" t="n">
        <x:v>47</x:v>
      </x:c>
      <x:c r="X459" s="42" t="n">
        <x:v>142</x:v>
      </x:c>
      <x:c r="Y459" s="42" t="str"/>
    </x:row>
    <x:row r="460">
      <x:c r="A460" s="1">
        <x:v>46</x:v>
      </x:c>
      <x:c r="B460" s="1" t="s">
        <x:v>681</x:v>
      </x:c>
      <x:c r="C460" s="1" t="s">
        <x:v>446</x:v>
      </x:c>
      <x:c r="D460" s="1">
        <x:v>1</x:v>
      </x:c>
      <x:c r="E460" s="1">
        <x:v>3</x:v>
      </x:c>
      <x:c r="F460" s="1">
        <x:v>9</x:v>
      </x:c>
      <x:c r="G460" s="1" t="s">
        <x:v>1042</x:v>
      </x:c>
      <x:c r="H460" s="1">
        <x:v>65</x:v>
      </x:c>
      <x:c r="I460" s="1">
        <x:v>40</x:v>
      </x:c>
      <x:c r="J460" s="1">
        <x:v>0.5</x:v>
      </x:c>
      <x:c r="K460" s="1" t="s">
        <x:v>1179</x:v>
      </x:c>
      <x:c r="L460" s="1">
        <x:v>3.86</x:v>
      </x:c>
      <x:c r="M460" s="1">
        <x:v>2.92</x:v>
      </x:c>
      <x:c r="N460" s="1">
        <x:v>15386</x:v>
      </x:c>
      <x:c r="O460" s="1" t="s">
        <x:v>1056</x:v>
      </x:c>
      <x:c r="P460" s="42" t="str">
        <x:v>Lv85~100</x:v>
      </x:c>
      <x:c r="Q460" s="42" t="str">
        <x:v>IV</x:v>
      </x:c>
      <x:c r="R460" s="42" t="str">
        <x:v>5</x:v>
      </x:c>
      <x:c r="S460" s="42" t="str">
        <x:v>Final 장기 성장: Stage46 10~14일+ / 중간 스테이지 진행</x:v>
      </x:c>
      <x:c r="T460" s="42" t="n">
        <x:v>17</x:v>
      </x:c>
      <x:c r="U460" s="42" t="n">
        <x:v>1105</x:v>
      </x:c>
      <x:c r="V460" s="42" t="n">
        <x:v>590</x:v>
      </x:c>
      <x:c r="W460" s="42" t="n">
        <x:v>59</x:v>
      </x:c>
      <x:c r="X460" s="42" t="n">
        <x:v>177</x:v>
      </x:c>
      <x:c r="Y460" s="42" t="str"/>
    </x:row>
    <x:row r="461">
      <x:c r="A461" s="1">
        <x:v>46</x:v>
      </x:c>
      <x:c r="B461" s="1" t="s">
        <x:v>681</x:v>
      </x:c>
      <x:c r="C461" s="1" t="s">
        <x:v>446</x:v>
      </x:c>
      <x:c r="D461" s="1">
        <x:v>1</x:v>
      </x:c>
      <x:c r="E461" s="1">
        <x:v>3</x:v>
      </x:c>
      <x:c r="F461" s="1">
        <x:v>10</x:v>
      </x:c>
      <x:c r="G461" s="1" t="s">
        <x:v>1057</x:v>
      </x:c>
      <x:c r="H461" s="1">
        <x:v>58</x:v>
      </x:c>
      <x:c r="I461" s="1">
        <x:v>42</x:v>
      </x:c>
      <x:c r="J461" s="1">
        <x:v>0.48</x:v>
      </x:c>
      <x:c r="K461" s="1" t="s">
        <x:v>1234</x:v>
      </x:c>
      <x:c r="L461" s="1">
        <x:v>3.92</x:v>
      </x:c>
      <x:c r="M461" s="1">
        <x:v>2.96</x:v>
      </x:c>
      <x:c r="N461" s="1">
        <x:v>15386</x:v>
      </x:c>
      <x:c r="O461" s="1" t="s">
        <x:v>1059</x:v>
      </x:c>
      <x:c r="P461" s="42" t="str">
        <x:v>Lv85~100</x:v>
      </x:c>
      <x:c r="Q461" s="42" t="str">
        <x:v>IV</x:v>
      </x:c>
      <x:c r="R461" s="42" t="str">
        <x:v>5</x:v>
      </x:c>
      <x:c r="S461" s="42" t="str">
        <x:v>Final 장기 성장: Stage46 10~14일+ / 중간 스테이지 진행</x:v>
      </x:c>
      <x:c r="T461" s="42" t="n">
        <x:v>17</x:v>
      </x:c>
      <x:c r="U461" s="42" t="n">
        <x:v>969</x:v>
      </x:c>
      <x:c r="V461" s="42" t="n">
        <x:v>0</x:v>
      </x:c>
      <x:c r="W461" s="42" t="n">
        <x:v>0</x:v>
      </x:c>
      <x:c r="X461" s="42" t="n">
        <x:v>0</x:v>
      </x:c>
      <x:c r="Y461" s="42" t="str">
        <x:v>보스 처치 보상은 로비 보상으로 분리</x:v>
      </x:c>
      <x:c r="Z461" s="564" t="n">
        <x:v>177000</x:v>
      </x:c>
      <x:c r="AA461" t="str">
        <x:v>5신화 ★5</x:v>
      </x:c>
      <x:c r="AB461" t="str">
        <x:v>4신화+전설 매우 어려움</x:v>
      </x:c>
      <x:c r="AC461" t="str">
        <x:v>이 실전EHP를 V3.6 최종 TD 기준으로 사용. 기존 L열 HP배율은 과거안 보존.</x:v>
      </x:c>
    </x:row>
    <x:row r="462">
      <x:c r="A462" s="1">
        <x:v>47</x:v>
      </x:c>
      <x:c r="B462" s="1" t="s">
        <x:v>681</x:v>
      </x:c>
      <x:c r="C462" s="1" t="s">
        <x:v>446</x:v>
      </x:c>
      <x:c r="D462" s="1">
        <x:v>2</x:v>
      </x:c>
      <x:c r="E462" s="1">
        <x:v>3</x:v>
      </x:c>
      <x:c r="F462" s="1">
        <x:v>1</x:v>
      </x:c>
      <x:c r="G462" s="1" t="s">
        <x:v>1042</x:v>
      </x:c>
      <x:c r="H462" s="1">
        <x:v>45</x:v>
      </x:c>
      <x:c r="I462" s="1">
        <x:v>28</x:v>
      </x:c>
      <x:c r="J462" s="1">
        <x:v>0.66</x:v>
      </x:c>
      <x:c r="K462" s="1" t="s">
        <x:v>1177</x:v>
      </x:c>
      <x:c r="L462" s="1">
        <x:v>3.51</x:v>
      </x:c>
      <x:c r="M462" s="1">
        <x:v>2.66</x:v>
      </x:c>
      <x:c r="N462" s="1">
        <x:v>16540</x:v>
      </x:c>
      <x:c r="O462" s="1" t="s">
        <x:v>1044</x:v>
      </x:c>
      <x:c r="P462" s="42" t="str">
        <x:v>Lv85~100</x:v>
      </x:c>
      <x:c r="Q462" s="42" t="str">
        <x:v>IV</x:v>
      </x:c>
      <x:c r="R462" s="42" t="str">
        <x:v>5</x:v>
      </x:c>
      <x:c r="S462" s="42" t="str">
        <x:v>Final 장기 성장: Stage46 10~14일+ / 중간 스테이지 진행</x:v>
      </x:c>
      <x:c r="T462" s="42" t="n">
        <x:v>17</x:v>
      </x:c>
      <x:c r="U462" s="42" t="n">
        <x:v>765</x:v>
      </x:c>
      <x:c r="V462" s="42" t="n">
        <x:v>118</x:v>
      </x:c>
      <x:c r="W462" s="42" t="n">
        <x:v>12</x:v>
      </x:c>
      <x:c r="X462" s="42" t="n">
        <x:v>35</x:v>
      </x:c>
      <x:c r="Y462" s="42" t="str"/>
    </x:row>
    <x:row r="463">
      <x:c r="A463" s="1">
        <x:v>47</x:v>
      </x:c>
      <x:c r="B463" s="1" t="s">
        <x:v>681</x:v>
      </x:c>
      <x:c r="C463" s="1" t="s">
        <x:v>446</x:v>
      </x:c>
      <x:c r="D463" s="1">
        <x:v>2</x:v>
      </x:c>
      <x:c r="E463" s="1">
        <x:v>3</x:v>
      </x:c>
      <x:c r="F463" s="1">
        <x:v>2</x:v>
      </x:c>
      <x:c r="G463" s="1" t="s">
        <x:v>1042</x:v>
      </x:c>
      <x:c r="H463" s="1">
        <x:v>48</x:v>
      </x:c>
      <x:c r="I463" s="1">
        <x:v>30</x:v>
      </x:c>
      <x:c r="J463" s="1">
        <x:v>0.64</x:v>
      </x:c>
      <x:c r="K463" s="1" t="s">
        <x:v>1179</x:v>
      </x:c>
      <x:c r="L463" s="1">
        <x:v>3.56</x:v>
      </x:c>
      <x:c r="M463" s="1">
        <x:v>2.7</x:v>
      </x:c>
      <x:c r="N463" s="1">
        <x:v>16540</x:v>
      </x:c>
      <x:c r="O463" s="1" t="s">
        <x:v>1044</x:v>
      </x:c>
      <x:c r="P463" s="42" t="str">
        <x:v>Lv85~100</x:v>
      </x:c>
      <x:c r="Q463" s="42" t="str">
        <x:v>IV</x:v>
      </x:c>
      <x:c r="R463" s="42" t="str">
        <x:v>5</x:v>
      </x:c>
      <x:c r="S463" s="42" t="str">
        <x:v>Final 장기 성장: Stage46 10~14일+ / 중간 스테이지 진행</x:v>
      </x:c>
      <x:c r="T463" s="42" t="n">
        <x:v>17</x:v>
      </x:c>
      <x:c r="U463" s="42" t="n">
        <x:v>816</x:v>
      </x:c>
      <x:c r="V463" s="42" t="n">
        <x:v>142</x:v>
      </x:c>
      <x:c r="W463" s="42" t="n">
        <x:v>14</x:v>
      </x:c>
      <x:c r="X463" s="42" t="n">
        <x:v>43</x:v>
      </x:c>
      <x:c r="Y463" s="42" t="str"/>
    </x:row>
    <x:row r="464">
      <x:c r="A464" s="1">
        <x:v>47</x:v>
      </x:c>
      <x:c r="B464" s="1" t="s">
        <x:v>681</x:v>
      </x:c>
      <x:c r="C464" s="1" t="s">
        <x:v>446</x:v>
      </x:c>
      <x:c r="D464" s="1">
        <x:v>2</x:v>
      </x:c>
      <x:c r="E464" s="1">
        <x:v>3</x:v>
      </x:c>
      <x:c r="F464" s="1">
        <x:v>3</x:v>
      </x:c>
      <x:c r="G464" s="1" t="s">
        <x:v>1042</x:v>
      </x:c>
      <x:c r="H464" s="1">
        <x:v>51</x:v>
      </x:c>
      <x:c r="I464" s="1">
        <x:v>32</x:v>
      </x:c>
      <x:c r="J464" s="1">
        <x:v>0.62</x:v>
      </x:c>
      <x:c r="K464" s="1" t="s">
        <x:v>1177</x:v>
      </x:c>
      <x:c r="L464" s="1">
        <x:v>3.62</x:v>
      </x:c>
      <x:c r="M464" s="1">
        <x:v>2.74</x:v>
      </x:c>
      <x:c r="N464" s="1">
        <x:v>16540</x:v>
      </x:c>
      <x:c r="O464" s="1" t="s">
        <x:v>1044</x:v>
      </x:c>
      <x:c r="P464" s="42" t="str">
        <x:v>Lv85~100</x:v>
      </x:c>
      <x:c r="Q464" s="42" t="str">
        <x:v>IV</x:v>
      </x:c>
      <x:c r="R464" s="42" t="str">
        <x:v>5</x:v>
      </x:c>
      <x:c r="S464" s="42" t="str">
        <x:v>Final 장기 성장: Stage46 10~14일+ / 중간 스테이지 진행</x:v>
      </x:c>
      <x:c r="T464" s="42" t="n">
        <x:v>17</x:v>
      </x:c>
      <x:c r="U464" s="42" t="n">
        <x:v>867</x:v>
      </x:c>
      <x:c r="V464" s="42" t="n">
        <x:v>177</x:v>
      </x:c>
      <x:c r="W464" s="42" t="n">
        <x:v>18</x:v>
      </x:c>
      <x:c r="X464" s="42" t="n">
        <x:v>53</x:v>
      </x:c>
      <x:c r="Y464" s="42" t="str"/>
    </x:row>
    <x:row r="465">
      <x:c r="A465" s="1">
        <x:v>47</x:v>
      </x:c>
      <x:c r="B465" s="1" t="s">
        <x:v>681</x:v>
      </x:c>
      <x:c r="C465" s="1" t="s">
        <x:v>446</x:v>
      </x:c>
      <x:c r="D465" s="1">
        <x:v>2</x:v>
      </x:c>
      <x:c r="E465" s="1">
        <x:v>3</x:v>
      </x:c>
      <x:c r="F465" s="1">
        <x:v>4</x:v>
      </x:c>
      <x:c r="G465" s="1" t="s">
        <x:v>1042</x:v>
      </x:c>
      <x:c r="H465" s="1">
        <x:v>53</x:v>
      </x:c>
      <x:c r="I465" s="1">
        <x:v>33</x:v>
      </x:c>
      <x:c r="J465" s="1">
        <x:v>0.6</x:v>
      </x:c>
      <x:c r="K465" s="1" t="s">
        <x:v>1179</x:v>
      </x:c>
      <x:c r="L465" s="1">
        <x:v>3.67</x:v>
      </x:c>
      <x:c r="M465" s="1">
        <x:v>2.78</x:v>
      </x:c>
      <x:c r="N465" s="1">
        <x:v>16540</x:v>
      </x:c>
      <x:c r="O465" s="1" t="s">
        <x:v>1047</x:v>
      </x:c>
      <x:c r="P465" s="42" t="str">
        <x:v>Lv85~100</x:v>
      </x:c>
      <x:c r="Q465" s="42" t="str">
        <x:v>IV</x:v>
      </x:c>
      <x:c r="R465" s="42" t="str">
        <x:v>5</x:v>
      </x:c>
      <x:c r="S465" s="42" t="str">
        <x:v>Final 장기 성장: Stage46 10~14일+ / 중간 스테이지 진행</x:v>
      </x:c>
      <x:c r="T465" s="42" t="n">
        <x:v>17</x:v>
      </x:c>
      <x:c r="U465" s="42" t="n">
        <x:v>901</x:v>
      </x:c>
      <x:c r="V465" s="42" t="n">
        <x:v>212</x:v>
      </x:c>
      <x:c r="W465" s="42" t="n">
        <x:v>21</x:v>
      </x:c>
      <x:c r="X465" s="42" t="n">
        <x:v>64</x:v>
      </x:c>
      <x:c r="Y465" s="42" t="str"/>
    </x:row>
    <x:row r="466">
      <x:c r="A466" s="1">
        <x:v>47</x:v>
      </x:c>
      <x:c r="B466" s="1" t="s">
        <x:v>681</x:v>
      </x:c>
      <x:c r="C466" s="1" t="s">
        <x:v>446</x:v>
      </x:c>
      <x:c r="D466" s="1">
        <x:v>2</x:v>
      </x:c>
      <x:c r="E466" s="1">
        <x:v>3</x:v>
      </x:c>
      <x:c r="F466" s="1">
        <x:v>5</x:v>
      </x:c>
      <x:c r="G466" s="1" t="s">
        <x:v>1048</x:v>
      </x:c>
      <x:c r="H466" s="1">
        <x:v>48</x:v>
      </x:c>
      <x:c r="I466" s="1">
        <x:v>35</x:v>
      </x:c>
      <x:c r="J466" s="1">
        <x:v>0.57999999999999996</x:v>
      </x:c>
      <x:c r="K466" s="1" t="s">
        <x:v>1235</x:v>
      </x:c>
      <x:c r="L466" s="1">
        <x:v>3.73</x:v>
      </x:c>
      <x:c r="M466" s="1">
        <x:v>2.82</x:v>
      </x:c>
      <x:c r="N466" s="1">
        <x:v>16540</x:v>
      </x:c>
      <x:c r="O466" s="1" t="s">
        <x:v>1050</x:v>
      </x:c>
      <x:c r="P466" s="42" t="str">
        <x:v>Lv85~100</x:v>
      </x:c>
      <x:c r="Q466" s="42" t="str">
        <x:v>IV</x:v>
      </x:c>
      <x:c r="R466" s="42" t="str">
        <x:v>5</x:v>
      </x:c>
      <x:c r="S466" s="42" t="str">
        <x:v>Final 장기 성장: Stage46 10~14일+ / 중간 스테이지 진행</x:v>
      </x:c>
      <x:c r="T466" s="42" t="n">
        <x:v>17</x:v>
      </x:c>
      <x:c r="U466" s="42" t="n">
        <x:v>1103</x:v>
      </x:c>
      <x:c r="V466" s="42" t="n">
        <x:v>354</x:v>
      </x:c>
      <x:c r="W466" s="42" t="n">
        <x:v>35</x:v>
      </x:c>
      <x:c r="X466" s="42" t="n">
        <x:v>106</x:v>
      </x:c>
      <x:c r="Y466" s="42" t="str">
        <x:v>중간보스 현상금 포함</x:v>
      </x:c>
    </x:row>
    <x:row r="467">
      <x:c r="A467" s="1">
        <x:v>47</x:v>
      </x:c>
      <x:c r="B467" s="1" t="s">
        <x:v>681</x:v>
      </x:c>
      <x:c r="C467" s="1" t="s">
        <x:v>446</x:v>
      </x:c>
      <x:c r="D467" s="1">
        <x:v>2</x:v>
      </x:c>
      <x:c r="E467" s="1">
        <x:v>3</x:v>
      </x:c>
      <x:c r="F467" s="1">
        <x:v>6</x:v>
      </x:c>
      <x:c r="G467" s="1" t="s">
        <x:v>1042</x:v>
      </x:c>
      <x:c r="H467" s="1">
        <x:v>58</x:v>
      </x:c>
      <x:c r="I467" s="1">
        <x:v>36</x:v>
      </x:c>
      <x:c r="J467" s="1">
        <x:v>0.56000000000000005</x:v>
      </x:c>
      <x:c r="K467" s="1" t="s">
        <x:v>1185</x:v>
      </x:c>
      <x:c r="L467" s="1">
        <x:v>3.78</x:v>
      </x:c>
      <x:c r="M467" s="1">
        <x:v>2.86</x:v>
      </x:c>
      <x:c r="N467" s="1">
        <x:v>16540</x:v>
      </x:c>
      <x:c r="O467" s="1" t="s">
        <x:v>1052</x:v>
      </x:c>
      <x:c r="P467" s="42" t="str">
        <x:v>Lv85~100</x:v>
      </x:c>
      <x:c r="Q467" s="42" t="str">
        <x:v>IV</x:v>
      </x:c>
      <x:c r="R467" s="42" t="str">
        <x:v>5</x:v>
      </x:c>
      <x:c r="S467" s="42" t="str">
        <x:v>Final 장기 성장: Stage46 10~14일+ / 중간 스테이지 진행</x:v>
      </x:c>
      <x:c r="T467" s="42" t="n">
        <x:v>17</x:v>
      </x:c>
      <x:c r="U467" s="42" t="n">
        <x:v>986</x:v>
      </x:c>
      <x:c r="V467" s="42" t="n">
        <x:v>260</x:v>
      </x:c>
      <x:c r="W467" s="42" t="n">
        <x:v>26</x:v>
      </x:c>
      <x:c r="X467" s="42" t="n">
        <x:v>78</x:v>
      </x:c>
      <x:c r="Y467" s="42" t="str"/>
    </x:row>
    <x:row r="468">
      <x:c r="A468" s="1">
        <x:v>47</x:v>
      </x:c>
      <x:c r="B468" s="1" t="s">
        <x:v>681</x:v>
      </x:c>
      <x:c r="C468" s="1" t="s">
        <x:v>446</x:v>
      </x:c>
      <x:c r="D468" s="1">
        <x:v>2</x:v>
      </x:c>
      <x:c r="E468" s="1">
        <x:v>3</x:v>
      </x:c>
      <x:c r="F468" s="1">
        <x:v>7</x:v>
      </x:c>
      <x:c r="G468" s="1" t="s">
        <x:v>1042</x:v>
      </x:c>
      <x:c r="H468" s="1">
        <x:v>61</x:v>
      </x:c>
      <x:c r="I468" s="1">
        <x:v>38</x:v>
      </x:c>
      <x:c r="J468" s="1">
        <x:v>0.54</x:v>
      </x:c>
      <x:c r="K468" s="1" t="s">
        <x:v>1177</x:v>
      </x:c>
      <x:c r="L468" s="1">
        <x:v>3.84</x:v>
      </x:c>
      <x:c r="M468" s="1">
        <x:v>2.9</x:v>
      </x:c>
      <x:c r="N468" s="1">
        <x:v>16540</x:v>
      </x:c>
      <x:c r="O468" s="1" t="s">
        <x:v>1052</x:v>
      </x:c>
      <x:c r="P468" s="42" t="str">
        <x:v>Lv85~100</x:v>
      </x:c>
      <x:c r="Q468" s="42" t="str">
        <x:v>IV</x:v>
      </x:c>
      <x:c r="R468" s="42" t="str">
        <x:v>5</x:v>
      </x:c>
      <x:c r="S468" s="42" t="str">
        <x:v>Final 장기 성장: Stage46 10~14일+ / 중간 스테이지 진행</x:v>
      </x:c>
      <x:c r="T468" s="42" t="n">
        <x:v>17</x:v>
      </x:c>
      <x:c r="U468" s="42" t="n">
        <x:v>1037</x:v>
      </x:c>
      <x:c r="V468" s="42" t="n">
        <x:v>354</x:v>
      </x:c>
      <x:c r="W468" s="42" t="n">
        <x:v>35</x:v>
      </x:c>
      <x:c r="X468" s="42" t="n">
        <x:v>106</x:v>
      </x:c>
      <x:c r="Y468" s="42" t="str"/>
    </x:row>
    <x:row r="469">
      <x:c r="A469" s="1">
        <x:v>47</x:v>
      </x:c>
      <x:c r="B469" s="1" t="s">
        <x:v>681</x:v>
      </x:c>
      <x:c r="C469" s="1" t="s">
        <x:v>446</x:v>
      </x:c>
      <x:c r="D469" s="1">
        <x:v>2</x:v>
      </x:c>
      <x:c r="E469" s="1">
        <x:v>3</x:v>
      </x:c>
      <x:c r="F469" s="1">
        <x:v>8</x:v>
      </x:c>
      <x:c r="G469" s="1" t="s">
        <x:v>1042</x:v>
      </x:c>
      <x:c r="H469" s="1">
        <x:v>64</x:v>
      </x:c>
      <x:c r="I469" s="1">
        <x:v>40</x:v>
      </x:c>
      <x:c r="J469" s="1">
        <x:v>0.52</x:v>
      </x:c>
      <x:c r="K469" s="1" t="s">
        <x:v>1179</x:v>
      </x:c>
      <x:c r="L469" s="1">
        <x:v>3.89</x:v>
      </x:c>
      <x:c r="M469" s="1">
        <x:v>2.94</x:v>
      </x:c>
      <x:c r="N469" s="1">
        <x:v>16540</x:v>
      </x:c>
      <x:c r="O469" s="1" t="s">
        <x:v>1052</x:v>
      </x:c>
      <x:c r="P469" s="42" t="str">
        <x:v>Lv85~100</x:v>
      </x:c>
      <x:c r="Q469" s="42" t="str">
        <x:v>IV</x:v>
      </x:c>
      <x:c r="R469" s="42" t="str">
        <x:v>5</x:v>
      </x:c>
      <x:c r="S469" s="42" t="str">
        <x:v>Final 장기 성장: Stage46 10~14일+ / 중간 스테이지 진행</x:v>
      </x:c>
      <x:c r="T469" s="42" t="n">
        <x:v>17</x:v>
      </x:c>
      <x:c r="U469" s="42" t="n">
        <x:v>1088</x:v>
      </x:c>
      <x:c r="V469" s="42" t="n">
        <x:v>472</x:v>
      </x:c>
      <x:c r="W469" s="42" t="n">
        <x:v>47</x:v>
      </x:c>
      <x:c r="X469" s="42" t="n">
        <x:v>142</x:v>
      </x:c>
      <x:c r="Y469" s="42" t="str"/>
    </x:row>
    <x:row r="470">
      <x:c r="A470" s="1">
        <x:v>47</x:v>
      </x:c>
      <x:c r="B470" s="1" t="s">
        <x:v>681</x:v>
      </x:c>
      <x:c r="C470" s="1" t="s">
        <x:v>446</x:v>
      </x:c>
      <x:c r="D470" s="1">
        <x:v>2</x:v>
      </x:c>
      <x:c r="E470" s="1">
        <x:v>3</x:v>
      </x:c>
      <x:c r="F470" s="1">
        <x:v>9</x:v>
      </x:c>
      <x:c r="G470" s="1" t="s">
        <x:v>1042</x:v>
      </x:c>
      <x:c r="H470" s="1">
        <x:v>66</x:v>
      </x:c>
      <x:c r="I470" s="1">
        <x:v>41</x:v>
      </x:c>
      <x:c r="J470" s="1">
        <x:v>0.5</x:v>
      </x:c>
      <x:c r="K470" s="1" t="s">
        <x:v>1177</x:v>
      </x:c>
      <x:c r="L470" s="1">
        <x:v>3.95</x:v>
      </x:c>
      <x:c r="M470" s="1">
        <x:v>2.98</x:v>
      </x:c>
      <x:c r="N470" s="1">
        <x:v>16540</x:v>
      </x:c>
      <x:c r="O470" s="1" t="s">
        <x:v>1056</x:v>
      </x:c>
      <x:c r="P470" s="42" t="str">
        <x:v>Lv85~100</x:v>
      </x:c>
      <x:c r="Q470" s="42" t="str">
        <x:v>IV</x:v>
      </x:c>
      <x:c r="R470" s="42" t="str">
        <x:v>5</x:v>
      </x:c>
      <x:c r="S470" s="42" t="str">
        <x:v>Final 장기 성장: Stage46 10~14일+ / 중간 스테이지 진행</x:v>
      </x:c>
      <x:c r="T470" s="42" t="n">
        <x:v>17</x:v>
      </x:c>
      <x:c r="U470" s="42" t="n">
        <x:v>1122</x:v>
      </x:c>
      <x:c r="V470" s="42" t="n">
        <x:v>590</x:v>
      </x:c>
      <x:c r="W470" s="42" t="n">
        <x:v>59</x:v>
      </x:c>
      <x:c r="X470" s="42" t="n">
        <x:v>177</x:v>
      </x:c>
      <x:c r="Y470" s="42" t="str"/>
    </x:row>
    <x:row r="471">
      <x:c r="A471" s="1">
        <x:v>47</x:v>
      </x:c>
      <x:c r="B471" s="1" t="s">
        <x:v>681</x:v>
      </x:c>
      <x:c r="C471" s="1" t="s">
        <x:v>446</x:v>
      </x:c>
      <x:c r="D471" s="1">
        <x:v>2</x:v>
      </x:c>
      <x:c r="E471" s="1">
        <x:v>3</x:v>
      </x:c>
      <x:c r="F471" s="1">
        <x:v>10</x:v>
      </x:c>
      <x:c r="G471" s="1" t="s">
        <x:v>1057</x:v>
      </x:c>
      <x:c r="H471" s="1">
        <x:v>59</x:v>
      </x:c>
      <x:c r="I471" s="1">
        <x:v>43</x:v>
      </x:c>
      <x:c r="J471" s="1">
        <x:v>0.48</x:v>
      </x:c>
      <x:c r="K471" s="1" t="s">
        <x:v>1236</x:v>
      </x:c>
      <x:c r="L471" s="1">
        <x:v>4</x:v>
      </x:c>
      <x:c r="M471" s="1">
        <x:v>3.02</x:v>
      </x:c>
      <x:c r="N471" s="1">
        <x:v>16540</x:v>
      </x:c>
      <x:c r="O471" s="1" t="s">
        <x:v>1059</x:v>
      </x:c>
      <x:c r="P471" s="42" t="str">
        <x:v>Lv85~100</x:v>
      </x:c>
      <x:c r="Q471" s="42" t="str">
        <x:v>IV</x:v>
      </x:c>
      <x:c r="R471" s="42" t="str">
        <x:v>5</x:v>
      </x:c>
      <x:c r="S471" s="42" t="str">
        <x:v>Final 장기 성장: Stage46 10~14일+ / 중간 스테이지 진행</x:v>
      </x:c>
      <x:c r="T471" s="42" t="n">
        <x:v>17</x:v>
      </x:c>
      <x:c r="U471" s="42" t="n">
        <x:v>986</x:v>
      </x:c>
      <x:c r="V471" s="42" t="n">
        <x:v>0</x:v>
      </x:c>
      <x:c r="W471" s="42" t="n">
        <x:v>0</x:v>
      </x:c>
      <x:c r="X471" s="42" t="n">
        <x:v>0</x:v>
      </x:c>
      <x:c r="Y471" s="42" t="str">
        <x:v>보스 처치 보상은 로비 보상으로 분리</x:v>
      </x:c>
      <x:c r="Z471" s="564" t="n">
        <x:v>178000</x:v>
      </x:c>
      <x:c r="AA471" t="str">
        <x:v>5신화 ★5</x:v>
      </x:c>
      <x:c r="AB471" t="str">
        <x:v>4신화+전설 매우 어려움</x:v>
      </x:c>
      <x:c r="AC471" t="str">
        <x:v>이 실전EHP를 V3.6 최종 TD 기준으로 사용. 기존 L열 HP배율은 과거안 보존.</x:v>
      </x:c>
    </x:row>
    <x:row r="472">
      <x:c r="A472" s="1">
        <x:v>48</x:v>
      </x:c>
      <x:c r="B472" s="1" t="s">
        <x:v>681</x:v>
      </x:c>
      <x:c r="C472" s="1" t="s">
        <x:v>446</x:v>
      </x:c>
      <x:c r="D472" s="1">
        <x:v>3</x:v>
      </x:c>
      <x:c r="E472" s="1">
        <x:v>4</x:v>
      </x:c>
      <x:c r="F472" s="1">
        <x:v>1</x:v>
      </x:c>
      <x:c r="G472" s="1" t="s">
        <x:v>1042</x:v>
      </x:c>
      <x:c r="H472" s="1">
        <x:v>48</x:v>
      </x:c>
      <x:c r="I472" s="1">
        <x:v>30</x:v>
      </x:c>
      <x:c r="J472" s="1">
        <x:v>0.65</x:v>
      </x:c>
      <x:c r="K472" s="1" t="s">
        <x:v>1184</x:v>
      </x:c>
      <x:c r="L472" s="1">
        <x:v>3.59</x:v>
      </x:c>
      <x:c r="M472" s="1">
        <x:v>2.72</x:v>
      </x:c>
      <x:c r="N472" s="1">
        <x:v>17781</x:v>
      </x:c>
      <x:c r="O472" s="1" t="s">
        <x:v>1044</x:v>
      </x:c>
      <x:c r="P472" s="42" t="str">
        <x:v>Lv85~100</x:v>
      </x:c>
      <x:c r="Q472" s="42" t="str">
        <x:v>IV</x:v>
      </x:c>
      <x:c r="R472" s="42" t="str">
        <x:v>5</x:v>
      </x:c>
      <x:c r="S472" s="42" t="str">
        <x:v>Final 장기 성장: Stage46 10~14일+ / 중간 스테이지 진행</x:v>
      </x:c>
      <x:c r="T472" s="42" t="n">
        <x:v>17</x:v>
      </x:c>
      <x:c r="U472" s="42" t="n">
        <x:v>816</x:v>
      </x:c>
      <x:c r="V472" s="42" t="n">
        <x:v>118</x:v>
      </x:c>
      <x:c r="W472" s="42" t="n">
        <x:v>12</x:v>
      </x:c>
      <x:c r="X472" s="42" t="n">
        <x:v>35</x:v>
      </x:c>
      <x:c r="Y472" s="42" t="str"/>
    </x:row>
    <x:row r="473">
      <x:c r="A473" s="1">
        <x:v>48</x:v>
      </x:c>
      <x:c r="B473" s="1" t="s">
        <x:v>681</x:v>
      </x:c>
      <x:c r="C473" s="1" t="s">
        <x:v>446</x:v>
      </x:c>
      <x:c r="D473" s="1">
        <x:v>3</x:v>
      </x:c>
      <x:c r="E473" s="1">
        <x:v>4</x:v>
      </x:c>
      <x:c r="F473" s="1">
        <x:v>2</x:v>
      </x:c>
      <x:c r="G473" s="1" t="s">
        <x:v>1042</x:v>
      </x:c>
      <x:c r="H473" s="1">
        <x:v>51</x:v>
      </x:c>
      <x:c r="I473" s="1">
        <x:v>32</x:v>
      </x:c>
      <x:c r="J473" s="1">
        <x:v>0.63</x:v>
      </x:c>
      <x:c r="K473" s="1" t="s">
        <x:v>1177</x:v>
      </x:c>
      <x:c r="L473" s="1">
        <x:v>3.65</x:v>
      </x:c>
      <x:c r="M473" s="1">
        <x:v>2.76</x:v>
      </x:c>
      <x:c r="N473" s="1">
        <x:v>17781</x:v>
      </x:c>
      <x:c r="O473" s="1" t="s">
        <x:v>1044</x:v>
      </x:c>
      <x:c r="P473" s="42" t="str">
        <x:v>Lv85~100</x:v>
      </x:c>
      <x:c r="Q473" s="42" t="str">
        <x:v>IV</x:v>
      </x:c>
      <x:c r="R473" s="42" t="str">
        <x:v>5</x:v>
      </x:c>
      <x:c r="S473" s="42" t="str">
        <x:v>Final 장기 성장: Stage46 10~14일+ / 중간 스테이지 진행</x:v>
      </x:c>
      <x:c r="T473" s="42" t="n">
        <x:v>17</x:v>
      </x:c>
      <x:c r="U473" s="42" t="n">
        <x:v>867</x:v>
      </x:c>
      <x:c r="V473" s="42" t="n">
        <x:v>142</x:v>
      </x:c>
      <x:c r="W473" s="42" t="n">
        <x:v>14</x:v>
      </x:c>
      <x:c r="X473" s="42" t="n">
        <x:v>43</x:v>
      </x:c>
      <x:c r="Y473" s="42" t="str"/>
    </x:row>
    <x:row r="474">
      <x:c r="A474" s="1">
        <x:v>48</x:v>
      </x:c>
      <x:c r="B474" s="1" t="s">
        <x:v>681</x:v>
      </x:c>
      <x:c r="C474" s="1" t="s">
        <x:v>446</x:v>
      </x:c>
      <x:c r="D474" s="1">
        <x:v>3</x:v>
      </x:c>
      <x:c r="E474" s="1">
        <x:v>4</x:v>
      </x:c>
      <x:c r="F474" s="1">
        <x:v>3</x:v>
      </x:c>
      <x:c r="G474" s="1" t="s">
        <x:v>1042</x:v>
      </x:c>
      <x:c r="H474" s="1">
        <x:v>54</x:v>
      </x:c>
      <x:c r="I474" s="1">
        <x:v>33</x:v>
      </x:c>
      <x:c r="J474" s="1">
        <x:v>0.61</x:v>
      </x:c>
      <x:c r="K474" s="1" t="s">
        <x:v>1188</x:v>
      </x:c>
      <x:c r="L474" s="1">
        <x:v>3.7</x:v>
      </x:c>
      <x:c r="M474" s="1">
        <x:v>2.8</x:v>
      </x:c>
      <x:c r="N474" s="1">
        <x:v>17781</x:v>
      </x:c>
      <x:c r="O474" s="1" t="s">
        <x:v>1044</x:v>
      </x:c>
      <x:c r="P474" s="42" t="str">
        <x:v>Lv85~100</x:v>
      </x:c>
      <x:c r="Q474" s="42" t="str">
        <x:v>IV</x:v>
      </x:c>
      <x:c r="R474" s="42" t="str">
        <x:v>5</x:v>
      </x:c>
      <x:c r="S474" s="42" t="str">
        <x:v>Final 장기 성장: Stage46 10~14일+ / 중간 스테이지 진행</x:v>
      </x:c>
      <x:c r="T474" s="42" t="n">
        <x:v>17</x:v>
      </x:c>
      <x:c r="U474" s="42" t="n">
        <x:v>918</x:v>
      </x:c>
      <x:c r="V474" s="42" t="n">
        <x:v>177</x:v>
      </x:c>
      <x:c r="W474" s="42" t="n">
        <x:v>18</x:v>
      </x:c>
      <x:c r="X474" s="42" t="n">
        <x:v>53</x:v>
      </x:c>
      <x:c r="Y474" s="42" t="str"/>
    </x:row>
    <x:row r="475">
      <x:c r="A475" s="1">
        <x:v>48</x:v>
      </x:c>
      <x:c r="B475" s="1" t="s">
        <x:v>681</x:v>
      </x:c>
      <x:c r="C475" s="1" t="s">
        <x:v>446</x:v>
      </x:c>
      <x:c r="D475" s="1">
        <x:v>3</x:v>
      </x:c>
      <x:c r="E475" s="1">
        <x:v>4</x:v>
      </x:c>
      <x:c r="F475" s="1">
        <x:v>4</x:v>
      </x:c>
      <x:c r="G475" s="1" t="s">
        <x:v>1042</x:v>
      </x:c>
      <x:c r="H475" s="1">
        <x:v>56</x:v>
      </x:c>
      <x:c r="I475" s="1">
        <x:v>35</x:v>
      </x:c>
      <x:c r="J475" s="1">
        <x:v>0.59</x:v>
      </x:c>
      <x:c r="K475" s="1" t="s">
        <x:v>1189</x:v>
      </x:c>
      <x:c r="L475" s="1">
        <x:v>3.76</x:v>
      </x:c>
      <x:c r="M475" s="1">
        <x:v>2.84</x:v>
      </x:c>
      <x:c r="N475" s="1">
        <x:v>17781</x:v>
      </x:c>
      <x:c r="O475" s="1" t="s">
        <x:v>1047</x:v>
      </x:c>
      <x:c r="P475" s="42" t="str">
        <x:v>Lv85~100</x:v>
      </x:c>
      <x:c r="Q475" s="42" t="str">
        <x:v>IV</x:v>
      </x:c>
      <x:c r="R475" s="42" t="str">
        <x:v>5</x:v>
      </x:c>
      <x:c r="S475" s="42" t="str">
        <x:v>Final 장기 성장: Stage46 10~14일+ / 중간 스테이지 진행</x:v>
      </x:c>
      <x:c r="T475" s="42" t="n">
        <x:v>17</x:v>
      </x:c>
      <x:c r="U475" s="42" t="n">
        <x:v>952</x:v>
      </x:c>
      <x:c r="V475" s="42" t="n">
        <x:v>212</x:v>
      </x:c>
      <x:c r="W475" s="42" t="n">
        <x:v>21</x:v>
      </x:c>
      <x:c r="X475" s="42" t="n">
        <x:v>64</x:v>
      </x:c>
      <x:c r="Y475" s="42" t="str"/>
    </x:row>
    <x:row r="476">
      <x:c r="A476" s="1">
        <x:v>48</x:v>
      </x:c>
      <x:c r="B476" s="1" t="s">
        <x:v>681</x:v>
      </x:c>
      <x:c r="C476" s="1" t="s">
        <x:v>446</x:v>
      </x:c>
      <x:c r="D476" s="1">
        <x:v>3</x:v>
      </x:c>
      <x:c r="E476" s="1">
        <x:v>4</x:v>
      </x:c>
      <x:c r="F476" s="1">
        <x:v>5</x:v>
      </x:c>
      <x:c r="G476" s="1" t="s">
        <x:v>1048</x:v>
      </x:c>
      <x:c r="H476" s="1">
        <x:v>51</x:v>
      </x:c>
      <x:c r="I476" s="1">
        <x:v>37</x:v>
      </x:c>
      <x:c r="J476" s="1">
        <x:v>0.56999999999999995</x:v>
      </x:c>
      <x:c r="K476" s="1" t="s">
        <x:v>1237</x:v>
      </x:c>
      <x:c r="L476" s="1">
        <x:v>3.81</x:v>
      </x:c>
      <x:c r="M476" s="1">
        <x:v>2.88</x:v>
      </x:c>
      <x:c r="N476" s="1">
        <x:v>17781</x:v>
      </x:c>
      <x:c r="O476" s="1" t="s">
        <x:v>1050</x:v>
      </x:c>
      <x:c r="P476" s="42" t="str">
        <x:v>Lv85~100</x:v>
      </x:c>
      <x:c r="Q476" s="42" t="str">
        <x:v>IV</x:v>
      </x:c>
      <x:c r="R476" s="42" t="str">
        <x:v>5</x:v>
      </x:c>
      <x:c r="S476" s="42" t="str">
        <x:v>Final 장기 성장: Stage46 10~14일+ / 중간 스테이지 진행</x:v>
      </x:c>
      <x:c r="T476" s="42" t="n">
        <x:v>17</x:v>
      </x:c>
      <x:c r="U476" s="42" t="n">
        <x:v>1157</x:v>
      </x:c>
      <x:c r="V476" s="42" t="n">
        <x:v>354</x:v>
      </x:c>
      <x:c r="W476" s="42" t="n">
        <x:v>35</x:v>
      </x:c>
      <x:c r="X476" s="42" t="n">
        <x:v>106</x:v>
      </x:c>
      <x:c r="Y476" s="42" t="str">
        <x:v>중간보스 현상금 포함</x:v>
      </x:c>
    </x:row>
    <x:row r="477">
      <x:c r="A477" s="1">
        <x:v>48</x:v>
      </x:c>
      <x:c r="B477" s="1" t="s">
        <x:v>681</x:v>
      </x:c>
      <x:c r="C477" s="1" t="s">
        <x:v>446</x:v>
      </x:c>
      <x:c r="D477" s="1">
        <x:v>3</x:v>
      </x:c>
      <x:c r="E477" s="1">
        <x:v>4</x:v>
      </x:c>
      <x:c r="F477" s="1">
        <x:v>6</x:v>
      </x:c>
      <x:c r="G477" s="1" t="s">
        <x:v>1042</x:v>
      </x:c>
      <x:c r="H477" s="1">
        <x:v>61</x:v>
      </x:c>
      <x:c r="I477" s="1">
        <x:v>38</x:v>
      </x:c>
      <x:c r="J477" s="1">
        <x:v>0.55000000000000004</x:v>
      </x:c>
      <x:c r="K477" s="1" t="s">
        <x:v>1196</x:v>
      </x:c>
      <x:c r="L477" s="1">
        <x:v>3.87</x:v>
      </x:c>
      <x:c r="M477" s="1">
        <x:v>2.92</x:v>
      </x:c>
      <x:c r="N477" s="1">
        <x:v>17781</x:v>
      </x:c>
      <x:c r="O477" s="1" t="s">
        <x:v>1052</x:v>
      </x:c>
      <x:c r="P477" s="42" t="str">
        <x:v>Lv85~100</x:v>
      </x:c>
      <x:c r="Q477" s="42" t="str">
        <x:v>IV</x:v>
      </x:c>
      <x:c r="R477" s="42" t="str">
        <x:v>5</x:v>
      </x:c>
      <x:c r="S477" s="42" t="str">
        <x:v>Final 장기 성장: Stage46 10~14일+ / 중간 스테이지 진행</x:v>
      </x:c>
      <x:c r="T477" s="42" t="n">
        <x:v>17</x:v>
      </x:c>
      <x:c r="U477" s="42" t="n">
        <x:v>1037</x:v>
      </x:c>
      <x:c r="V477" s="42" t="n">
        <x:v>260</x:v>
      </x:c>
      <x:c r="W477" s="42" t="n">
        <x:v>26</x:v>
      </x:c>
      <x:c r="X477" s="42" t="n">
        <x:v>78</x:v>
      </x:c>
      <x:c r="Y477" s="42" t="str"/>
    </x:row>
    <x:row r="478">
      <x:c r="A478" s="1">
        <x:v>48</x:v>
      </x:c>
      <x:c r="B478" s="1" t="s">
        <x:v>681</x:v>
      </x:c>
      <x:c r="C478" s="1" t="s">
        <x:v>446</x:v>
      </x:c>
      <x:c r="D478" s="1">
        <x:v>3</x:v>
      </x:c>
      <x:c r="E478" s="1">
        <x:v>4</x:v>
      </x:c>
      <x:c r="F478" s="1">
        <x:v>7</x:v>
      </x:c>
      <x:c r="G478" s="1" t="s">
        <x:v>1042</x:v>
      </x:c>
      <x:c r="H478" s="1">
        <x:v>64</x:v>
      </x:c>
      <x:c r="I478" s="1">
        <x:v>40</x:v>
      </x:c>
      <x:c r="J478" s="1">
        <x:v>0.53</x:v>
      </x:c>
      <x:c r="K478" s="1" t="s">
        <x:v>1192</x:v>
      </x:c>
      <x:c r="L478" s="1">
        <x:v>3.92</x:v>
      </x:c>
      <x:c r="M478" s="1">
        <x:v>2.96</x:v>
      </x:c>
      <x:c r="N478" s="1">
        <x:v>17781</x:v>
      </x:c>
      <x:c r="O478" s="1" t="s">
        <x:v>1052</x:v>
      </x:c>
      <x:c r="P478" s="42" t="str">
        <x:v>Lv85~100</x:v>
      </x:c>
      <x:c r="Q478" s="42" t="str">
        <x:v>IV</x:v>
      </x:c>
      <x:c r="R478" s="42" t="str">
        <x:v>5</x:v>
      </x:c>
      <x:c r="S478" s="42" t="str">
        <x:v>Final 장기 성장: Stage46 10~14일+ / 중간 스테이지 진행</x:v>
      </x:c>
      <x:c r="T478" s="42" t="n">
        <x:v>17</x:v>
      </x:c>
      <x:c r="U478" s="42" t="n">
        <x:v>1088</x:v>
      </x:c>
      <x:c r="V478" s="42" t="n">
        <x:v>354</x:v>
      </x:c>
      <x:c r="W478" s="42" t="n">
        <x:v>35</x:v>
      </x:c>
      <x:c r="X478" s="42" t="n">
        <x:v>106</x:v>
      </x:c>
      <x:c r="Y478" s="42" t="str"/>
    </x:row>
    <x:row r="479">
      <x:c r="A479" s="1">
        <x:v>48</x:v>
      </x:c>
      <x:c r="B479" s="1" t="s">
        <x:v>681</x:v>
      </x:c>
      <x:c r="C479" s="1" t="s">
        <x:v>446</x:v>
      </x:c>
      <x:c r="D479" s="1">
        <x:v>3</x:v>
      </x:c>
      <x:c r="E479" s="1">
        <x:v>4</x:v>
      </x:c>
      <x:c r="F479" s="1">
        <x:v>8</x:v>
      </x:c>
      <x:c r="G479" s="1" t="s">
        <x:v>1042</x:v>
      </x:c>
      <x:c r="H479" s="1">
        <x:v>67</x:v>
      </x:c>
      <x:c r="I479" s="1">
        <x:v>42</x:v>
      </x:c>
      <x:c r="J479" s="1">
        <x:v>0.51</x:v>
      </x:c>
      <x:c r="K479" s="1" t="s">
        <x:v>1177</x:v>
      </x:c>
      <x:c r="L479" s="1">
        <x:v>3.98</x:v>
      </x:c>
      <x:c r="M479" s="1">
        <x:v>3</x:v>
      </x:c>
      <x:c r="N479" s="1">
        <x:v>17781</x:v>
      </x:c>
      <x:c r="O479" s="1" t="s">
        <x:v>1052</x:v>
      </x:c>
      <x:c r="P479" s="42" t="str">
        <x:v>Lv85~100</x:v>
      </x:c>
      <x:c r="Q479" s="42" t="str">
        <x:v>IV</x:v>
      </x:c>
      <x:c r="R479" s="42" t="str">
        <x:v>5</x:v>
      </x:c>
      <x:c r="S479" s="42" t="str">
        <x:v>Final 장기 성장: Stage46 10~14일+ / 중간 스테이지 진행</x:v>
      </x:c>
      <x:c r="T479" s="42" t="n">
        <x:v>17</x:v>
      </x:c>
      <x:c r="U479" s="42" t="n">
        <x:v>1139</x:v>
      </x:c>
      <x:c r="V479" s="42" t="n">
        <x:v>472</x:v>
      </x:c>
      <x:c r="W479" s="42" t="n">
        <x:v>47</x:v>
      </x:c>
      <x:c r="X479" s="42" t="n">
        <x:v>142</x:v>
      </x:c>
      <x:c r="Y479" s="42" t="str"/>
    </x:row>
    <x:row r="480">
      <x:c r="A480" s="1">
        <x:v>48</x:v>
      </x:c>
      <x:c r="B480" s="1" t="s">
        <x:v>681</x:v>
      </x:c>
      <x:c r="C480" s="1" t="s">
        <x:v>446</x:v>
      </x:c>
      <x:c r="D480" s="1">
        <x:v>3</x:v>
      </x:c>
      <x:c r="E480" s="1">
        <x:v>4</x:v>
      </x:c>
      <x:c r="F480" s="1">
        <x:v>9</x:v>
      </x:c>
      <x:c r="G480" s="1" t="s">
        <x:v>1042</x:v>
      </x:c>
      <x:c r="H480" s="1">
        <x:v>69</x:v>
      </x:c>
      <x:c r="I480" s="1">
        <x:v>43</x:v>
      </x:c>
      <x:c r="J480" s="1">
        <x:v>0.49</x:v>
      </x:c>
      <x:c r="K480" s="1" t="s">
        <x:v>1179</x:v>
      </x:c>
      <x:c r="L480" s="1">
        <x:v>4.04</x:v>
      </x:c>
      <x:c r="M480" s="1">
        <x:v>3.04</x:v>
      </x:c>
      <x:c r="N480" s="1">
        <x:v>17781</x:v>
      </x:c>
      <x:c r="O480" s="1" t="s">
        <x:v>1056</x:v>
      </x:c>
      <x:c r="P480" s="42" t="str">
        <x:v>Lv85~100</x:v>
      </x:c>
      <x:c r="Q480" s="42" t="str">
        <x:v>IV</x:v>
      </x:c>
      <x:c r="R480" s="42" t="str">
        <x:v>5</x:v>
      </x:c>
      <x:c r="S480" s="42" t="str">
        <x:v>Final 장기 성장: Stage46 10~14일+ / 중간 스테이지 진행</x:v>
      </x:c>
      <x:c r="T480" s="42" t="n">
        <x:v>17</x:v>
      </x:c>
      <x:c r="U480" s="42" t="n">
        <x:v>1173</x:v>
      </x:c>
      <x:c r="V480" s="42" t="n">
        <x:v>590</x:v>
      </x:c>
      <x:c r="W480" s="42" t="n">
        <x:v>59</x:v>
      </x:c>
      <x:c r="X480" s="42" t="n">
        <x:v>177</x:v>
      </x:c>
      <x:c r="Y480" s="42" t="str"/>
    </x:row>
    <x:row r="481">
      <x:c r="A481" s="1">
        <x:v>48</x:v>
      </x:c>
      <x:c r="B481" s="1" t="s">
        <x:v>681</x:v>
      </x:c>
      <x:c r="C481" s="1" t="s">
        <x:v>446</x:v>
      </x:c>
      <x:c r="D481" s="1">
        <x:v>3</x:v>
      </x:c>
      <x:c r="E481" s="1">
        <x:v>4</x:v>
      </x:c>
      <x:c r="F481" s="1">
        <x:v>10</x:v>
      </x:c>
      <x:c r="G481" s="1" t="s">
        <x:v>1057</x:v>
      </x:c>
      <x:c r="H481" s="1">
        <x:v>62</x:v>
      </x:c>
      <x:c r="I481" s="1">
        <x:v>45</x:v>
      </x:c>
      <x:c r="J481" s="1">
        <x:v>0.47</x:v>
      </x:c>
      <x:c r="K481" s="1" t="s">
        <x:v>1238</x:v>
      </x:c>
      <x:c r="L481" s="1">
        <x:v>4.09</x:v>
      </x:c>
      <x:c r="M481" s="1">
        <x:v>3.08</x:v>
      </x:c>
      <x:c r="N481" s="1">
        <x:v>17781</x:v>
      </x:c>
      <x:c r="O481" s="1" t="s">
        <x:v>1059</x:v>
      </x:c>
      <x:c r="P481" s="42" t="str">
        <x:v>Lv85~100</x:v>
      </x:c>
      <x:c r="Q481" s="42" t="str">
        <x:v>IV</x:v>
      </x:c>
      <x:c r="R481" s="42" t="str">
        <x:v>5</x:v>
      </x:c>
      <x:c r="S481" s="42" t="str">
        <x:v>Final 장기 성장: Stage46 10~14일+ / 중간 스테이지 진행</x:v>
      </x:c>
      <x:c r="T481" s="42" t="n">
        <x:v>17</x:v>
      </x:c>
      <x:c r="U481" s="42" t="n">
        <x:v>1037</x:v>
      </x:c>
      <x:c r="V481" s="42" t="n">
        <x:v>0</x:v>
      </x:c>
      <x:c r="W481" s="42" t="n">
        <x:v>0</x:v>
      </x:c>
      <x:c r="X481" s="42" t="n">
        <x:v>0</x:v>
      </x:c>
      <x:c r="Y481" s="42" t="str">
        <x:v>보스 처치 보상은 로비 보상으로 분리</x:v>
      </x:c>
      <x:c r="Z481" s="564" t="n">
        <x:v>179000</x:v>
      </x:c>
      <x:c r="AA481" t="str">
        <x:v>5신화 ★5</x:v>
      </x:c>
      <x:c r="AB481" t="str">
        <x:v>4신화+전설 매우 어려움</x:v>
      </x:c>
      <x:c r="AC481" t="str">
        <x:v>이 실전EHP를 V3.6 최종 TD 기준으로 사용. 기존 L열 HP배율은 과거안 보존.</x:v>
      </x:c>
    </x:row>
    <x:row r="482">
      <x:c r="A482" s="1">
        <x:v>49</x:v>
      </x:c>
      <x:c r="B482" s="1" t="s">
        <x:v>681</x:v>
      </x:c>
      <x:c r="C482" s="1" t="s">
        <x:v>446</x:v>
      </x:c>
      <x:c r="D482" s="1">
        <x:v>4</x:v>
      </x:c>
      <x:c r="E482" s="1">
        <x:v>4</x:v>
      </x:c>
      <x:c r="F482" s="1">
        <x:v>1</x:v>
      </x:c>
      <x:c r="G482" s="1" t="s">
        <x:v>1042</x:v>
      </x:c>
      <x:c r="H482" s="1">
        <x:v>50</x:v>
      </x:c>
      <x:c r="I482" s="1">
        <x:v>31</x:v>
      </x:c>
      <x:c r="J482" s="1">
        <x:v>0.64</x:v>
      </x:c>
      <x:c r="K482" s="1" t="s">
        <x:v>1182</x:v>
      </x:c>
      <x:c r="L482" s="1">
        <x:v>3.68</x:v>
      </x:c>
      <x:c r="M482" s="1">
        <x:v>2.78</x:v>
      </x:c>
      <x:c r="N482" s="1">
        <x:v>19114</x:v>
      </x:c>
      <x:c r="O482" s="1" t="s">
        <x:v>1044</x:v>
      </x:c>
      <x:c r="P482" s="42" t="str">
        <x:v>Lv85~100</x:v>
      </x:c>
      <x:c r="Q482" s="42" t="str">
        <x:v>IV</x:v>
      </x:c>
      <x:c r="R482" s="42" t="str">
        <x:v>5</x:v>
      </x:c>
      <x:c r="S482" s="42" t="str">
        <x:v>Final 장기 성장: Stage46 10~14일+ / 중간 스테이지 진행</x:v>
      </x:c>
      <x:c r="T482" s="42" t="n">
        <x:v>17</x:v>
      </x:c>
      <x:c r="U482" s="42" t="n">
        <x:v>850</x:v>
      </x:c>
      <x:c r="V482" s="42" t="n">
        <x:v>118</x:v>
      </x:c>
      <x:c r="W482" s="42" t="n">
        <x:v>12</x:v>
      </x:c>
      <x:c r="X482" s="42" t="n">
        <x:v>35</x:v>
      </x:c>
      <x:c r="Y482" s="42" t="str"/>
    </x:row>
    <x:row r="483">
      <x:c r="A483" s="1">
        <x:v>49</x:v>
      </x:c>
      <x:c r="B483" s="1" t="s">
        <x:v>681</x:v>
      </x:c>
      <x:c r="C483" s="1" t="s">
        <x:v>446</x:v>
      </x:c>
      <x:c r="D483" s="1">
        <x:v>4</x:v>
      </x:c>
      <x:c r="E483" s="1">
        <x:v>4</x:v>
      </x:c>
      <x:c r="F483" s="1">
        <x:v>2</x:v>
      </x:c>
      <x:c r="G483" s="1" t="s">
        <x:v>1042</x:v>
      </x:c>
      <x:c r="H483" s="1">
        <x:v>52</x:v>
      </x:c>
      <x:c r="I483" s="1">
        <x:v>32</x:v>
      </x:c>
      <x:c r="J483" s="1">
        <x:v>0.62</x:v>
      </x:c>
      <x:c r="K483" s="1" t="s">
        <x:v>1188</x:v>
      </x:c>
      <x:c r="L483" s="1">
        <x:v>3.73</x:v>
      </x:c>
      <x:c r="M483" s="1">
        <x:v>2.82</x:v>
      </x:c>
      <x:c r="N483" s="1">
        <x:v>19114</x:v>
      </x:c>
      <x:c r="O483" s="1" t="s">
        <x:v>1044</x:v>
      </x:c>
      <x:c r="P483" s="42" t="str">
        <x:v>Lv85~100</x:v>
      </x:c>
      <x:c r="Q483" s="42" t="str">
        <x:v>IV</x:v>
      </x:c>
      <x:c r="R483" s="42" t="str">
        <x:v>5</x:v>
      </x:c>
      <x:c r="S483" s="42" t="str">
        <x:v>Final 장기 성장: Stage46 10~14일+ / 중간 스테이지 진행</x:v>
      </x:c>
      <x:c r="T483" s="42" t="n">
        <x:v>17</x:v>
      </x:c>
      <x:c r="U483" s="42" t="n">
        <x:v>884</x:v>
      </x:c>
      <x:c r="V483" s="42" t="n">
        <x:v>142</x:v>
      </x:c>
      <x:c r="W483" s="42" t="n">
        <x:v>14</x:v>
      </x:c>
      <x:c r="X483" s="42" t="n">
        <x:v>43</x:v>
      </x:c>
      <x:c r="Y483" s="42" t="str"/>
    </x:row>
    <x:row r="484">
      <x:c r="A484" s="1">
        <x:v>49</x:v>
      </x:c>
      <x:c r="B484" s="1" t="s">
        <x:v>681</x:v>
      </x:c>
      <x:c r="C484" s="1" t="s">
        <x:v>446</x:v>
      </x:c>
      <x:c r="D484" s="1">
        <x:v>4</x:v>
      </x:c>
      <x:c r="E484" s="1">
        <x:v>4</x:v>
      </x:c>
      <x:c r="F484" s="1">
        <x:v>3</x:v>
      </x:c>
      <x:c r="G484" s="1" t="s">
        <x:v>1042</x:v>
      </x:c>
      <x:c r="H484" s="1">
        <x:v>55</x:v>
      </x:c>
      <x:c r="I484" s="1">
        <x:v>34</x:v>
      </x:c>
      <x:c r="J484" s="1">
        <x:v>0.6</x:v>
      </x:c>
      <x:c r="K484" s="1" t="s">
        <x:v>1188</x:v>
      </x:c>
      <x:c r="L484" s="1">
        <x:v>3.79</x:v>
      </x:c>
      <x:c r="M484" s="1">
        <x:v>2.86</x:v>
      </x:c>
      <x:c r="N484" s="1">
        <x:v>19114</x:v>
      </x:c>
      <x:c r="O484" s="1" t="s">
        <x:v>1044</x:v>
      </x:c>
      <x:c r="P484" s="42" t="str">
        <x:v>Lv85~100</x:v>
      </x:c>
      <x:c r="Q484" s="42" t="str">
        <x:v>IV</x:v>
      </x:c>
      <x:c r="R484" s="42" t="str">
        <x:v>5</x:v>
      </x:c>
      <x:c r="S484" s="42" t="str">
        <x:v>Final 장기 성장: Stage46 10~14일+ / 중간 스테이지 진행</x:v>
      </x:c>
      <x:c r="T484" s="42" t="n">
        <x:v>17</x:v>
      </x:c>
      <x:c r="U484" s="42" t="n">
        <x:v>935</x:v>
      </x:c>
      <x:c r="V484" s="42" t="n">
        <x:v>177</x:v>
      </x:c>
      <x:c r="W484" s="42" t="n">
        <x:v>18</x:v>
      </x:c>
      <x:c r="X484" s="42" t="n">
        <x:v>53</x:v>
      </x:c>
      <x:c r="Y484" s="42" t="str"/>
    </x:row>
    <x:row r="485">
      <x:c r="A485" s="1">
        <x:v>49</x:v>
      </x:c>
      <x:c r="B485" s="1" t="s">
        <x:v>681</x:v>
      </x:c>
      <x:c r="C485" s="1" t="s">
        <x:v>446</x:v>
      </x:c>
      <x:c r="D485" s="1">
        <x:v>4</x:v>
      </x:c>
      <x:c r="E485" s="1">
        <x:v>4</x:v>
      </x:c>
      <x:c r="F485" s="1">
        <x:v>4</x:v>
      </x:c>
      <x:c r="G485" s="1" t="s">
        <x:v>1042</x:v>
      </x:c>
      <x:c r="H485" s="1">
        <x:v>57</x:v>
      </x:c>
      <x:c r="I485" s="1">
        <x:v>35</x:v>
      </x:c>
      <x:c r="J485" s="1">
        <x:v>0.57999999999999996</x:v>
      </x:c>
      <x:c r="K485" s="1" t="s">
        <x:v>1195</x:v>
      </x:c>
      <x:c r="L485" s="1">
        <x:v>3.84</x:v>
      </x:c>
      <x:c r="M485" s="1">
        <x:v>2.9</x:v>
      </x:c>
      <x:c r="N485" s="1">
        <x:v>19114</x:v>
      </x:c>
      <x:c r="O485" s="1" t="s">
        <x:v>1047</x:v>
      </x:c>
      <x:c r="P485" s="42" t="str">
        <x:v>Lv85~100</x:v>
      </x:c>
      <x:c r="Q485" s="42" t="str">
        <x:v>IV</x:v>
      </x:c>
      <x:c r="R485" s="42" t="str">
        <x:v>5</x:v>
      </x:c>
      <x:c r="S485" s="42" t="str">
        <x:v>Final 장기 성장: Stage46 10~14일+ / 중간 스테이지 진행</x:v>
      </x:c>
      <x:c r="T485" s="42" t="n">
        <x:v>17</x:v>
      </x:c>
      <x:c r="U485" s="42" t="n">
        <x:v>969</x:v>
      </x:c>
      <x:c r="V485" s="42" t="n">
        <x:v>212</x:v>
      </x:c>
      <x:c r="W485" s="42" t="n">
        <x:v>21</x:v>
      </x:c>
      <x:c r="X485" s="42" t="n">
        <x:v>64</x:v>
      </x:c>
      <x:c r="Y485" s="42" t="str"/>
    </x:row>
    <x:row r="486">
      <x:c r="A486" s="1">
        <x:v>49</x:v>
      </x:c>
      <x:c r="B486" s="1" t="s">
        <x:v>681</x:v>
      </x:c>
      <x:c r="C486" s="1" t="s">
        <x:v>446</x:v>
      </x:c>
      <x:c r="D486" s="1">
        <x:v>4</x:v>
      </x:c>
      <x:c r="E486" s="1">
        <x:v>4</x:v>
      </x:c>
      <x:c r="F486" s="1">
        <x:v>5</x:v>
      </x:c>
      <x:c r="G486" s="1" t="s">
        <x:v>1048</x:v>
      </x:c>
      <x:c r="H486" s="1">
        <x:v>52</x:v>
      </x:c>
      <x:c r="I486" s="1">
        <x:v>37</x:v>
      </x:c>
      <x:c r="J486" s="1">
        <x:v>0.56000000000000005</x:v>
      </x:c>
      <x:c r="K486" s="1" t="s">
        <x:v>1239</x:v>
      </x:c>
      <x:c r="L486" s="1">
        <x:v>3.9</x:v>
      </x:c>
      <x:c r="M486" s="1">
        <x:v>2.94</x:v>
      </x:c>
      <x:c r="N486" s="1">
        <x:v>19114</x:v>
      </x:c>
      <x:c r="O486" s="1" t="s">
        <x:v>1050</x:v>
      </x:c>
      <x:c r="P486" s="42" t="str">
        <x:v>Lv85~100</x:v>
      </x:c>
      <x:c r="Q486" s="42" t="str">
        <x:v>IV</x:v>
      </x:c>
      <x:c r="R486" s="42" t="str">
        <x:v>5</x:v>
      </x:c>
      <x:c r="S486" s="42" t="str">
        <x:v>Final 장기 성장: Stage46 10~14일+ / 중간 스테이지 진행</x:v>
      </x:c>
      <x:c r="T486" s="42" t="n">
        <x:v>17</x:v>
      </x:c>
      <x:c r="U486" s="42" t="n">
        <x:v>1177</x:v>
      </x:c>
      <x:c r="V486" s="42" t="n">
        <x:v>354</x:v>
      </x:c>
      <x:c r="W486" s="42" t="n">
        <x:v>35</x:v>
      </x:c>
      <x:c r="X486" s="42" t="n">
        <x:v>106</x:v>
      </x:c>
      <x:c r="Y486" s="42" t="str">
        <x:v>중간보스 현상금 포함</x:v>
      </x:c>
    </x:row>
    <x:row r="487">
      <x:c r="A487" s="1">
        <x:v>49</x:v>
      </x:c>
      <x:c r="B487" s="1" t="s">
        <x:v>681</x:v>
      </x:c>
      <x:c r="C487" s="1" t="s">
        <x:v>446</x:v>
      </x:c>
      <x:c r="D487" s="1">
        <x:v>4</x:v>
      </x:c>
      <x:c r="E487" s="1">
        <x:v>4</x:v>
      </x:c>
      <x:c r="F487" s="1">
        <x:v>6</x:v>
      </x:c>
      <x:c r="G487" s="1" t="s">
        <x:v>1042</x:v>
      </x:c>
      <x:c r="H487" s="1">
        <x:v>63</x:v>
      </x:c>
      <x:c r="I487" s="1">
        <x:v>39</x:v>
      </x:c>
      <x:c r="J487" s="1">
        <x:v>0.54</x:v>
      </x:c>
      <x:c r="K487" s="1" t="s">
        <x:v>1240</x:v>
      </x:c>
      <x:c r="L487" s="1">
        <x:v>3.95</x:v>
      </x:c>
      <x:c r="M487" s="1">
        <x:v>2.98</x:v>
      </x:c>
      <x:c r="N487" s="1">
        <x:v>19114</x:v>
      </x:c>
      <x:c r="O487" s="1" t="s">
        <x:v>1052</x:v>
      </x:c>
      <x:c r="P487" s="42" t="str">
        <x:v>Lv85~100</x:v>
      </x:c>
      <x:c r="Q487" s="42" t="str">
        <x:v>IV</x:v>
      </x:c>
      <x:c r="R487" s="42" t="str">
        <x:v>5</x:v>
      </x:c>
      <x:c r="S487" s="42" t="str">
        <x:v>Final 장기 성장: Stage46 10~14일+ / 중간 스테이지 진행</x:v>
      </x:c>
      <x:c r="T487" s="42" t="n">
        <x:v>17</x:v>
      </x:c>
      <x:c r="U487" s="42" t="n">
        <x:v>1071</x:v>
      </x:c>
      <x:c r="V487" s="42" t="n">
        <x:v>260</x:v>
      </x:c>
      <x:c r="W487" s="42" t="n">
        <x:v>26</x:v>
      </x:c>
      <x:c r="X487" s="42" t="n">
        <x:v>78</x:v>
      </x:c>
      <x:c r="Y487" s="42" t="str"/>
    </x:row>
    <x:row r="488">
      <x:c r="A488" s="1">
        <x:v>49</x:v>
      </x:c>
      <x:c r="B488" s="1" t="s">
        <x:v>681</x:v>
      </x:c>
      <x:c r="C488" s="1" t="s">
        <x:v>446</x:v>
      </x:c>
      <x:c r="D488" s="1">
        <x:v>4</x:v>
      </x:c>
      <x:c r="E488" s="1">
        <x:v>4</x:v>
      </x:c>
      <x:c r="F488" s="1">
        <x:v>7</x:v>
      </x:c>
      <x:c r="G488" s="1" t="s">
        <x:v>1042</x:v>
      </x:c>
      <x:c r="H488" s="1">
        <x:v>65</x:v>
      </x:c>
      <x:c r="I488" s="1">
        <x:v>40</x:v>
      </x:c>
      <x:c r="J488" s="1">
        <x:v>0.52</x:v>
      </x:c>
      <x:c r="K488" s="1" t="s">
        <x:v>1177</x:v>
      </x:c>
      <x:c r="L488" s="1">
        <x:v>4.01</x:v>
      </x:c>
      <x:c r="M488" s="1">
        <x:v>3.02</x:v>
      </x:c>
      <x:c r="N488" s="1">
        <x:v>19114</x:v>
      </x:c>
      <x:c r="O488" s="1" t="s">
        <x:v>1052</x:v>
      </x:c>
      <x:c r="P488" s="42" t="str">
        <x:v>Lv85~100</x:v>
      </x:c>
      <x:c r="Q488" s="42" t="str">
        <x:v>IV</x:v>
      </x:c>
      <x:c r="R488" s="42" t="str">
        <x:v>5</x:v>
      </x:c>
      <x:c r="S488" s="42" t="str">
        <x:v>Final 장기 성장: Stage46 10~14일+ / 중간 스테이지 진행</x:v>
      </x:c>
      <x:c r="T488" s="42" t="n">
        <x:v>17</x:v>
      </x:c>
      <x:c r="U488" s="42" t="n">
        <x:v>1105</x:v>
      </x:c>
      <x:c r="V488" s="42" t="n">
        <x:v>354</x:v>
      </x:c>
      <x:c r="W488" s="42" t="n">
        <x:v>35</x:v>
      </x:c>
      <x:c r="X488" s="42" t="n">
        <x:v>106</x:v>
      </x:c>
      <x:c r="Y488" s="42" t="str"/>
    </x:row>
    <x:row r="489">
      <x:c r="A489" s="1">
        <x:v>49</x:v>
      </x:c>
      <x:c r="B489" s="1" t="s">
        <x:v>681</x:v>
      </x:c>
      <x:c r="C489" s="1" t="s">
        <x:v>446</x:v>
      </x:c>
      <x:c r="D489" s="1">
        <x:v>4</x:v>
      </x:c>
      <x:c r="E489" s="1">
        <x:v>4</x:v>
      </x:c>
      <x:c r="F489" s="1">
        <x:v>8</x:v>
      </x:c>
      <x:c r="G489" s="1" t="s">
        <x:v>1042</x:v>
      </x:c>
      <x:c r="H489" s="1">
        <x:v>68</x:v>
      </x:c>
      <x:c r="I489" s="1">
        <x:v>42</x:v>
      </x:c>
      <x:c r="J489" s="1">
        <x:v>0.5</x:v>
      </x:c>
      <x:c r="K489" s="1" t="s">
        <x:v>1179</x:v>
      </x:c>
      <x:c r="L489" s="1">
        <x:v>4.0599999999999996</x:v>
      </x:c>
      <x:c r="M489" s="1">
        <x:v>3.06</x:v>
      </x:c>
      <x:c r="N489" s="1">
        <x:v>19114</x:v>
      </x:c>
      <x:c r="O489" s="1" t="s">
        <x:v>1052</x:v>
      </x:c>
      <x:c r="P489" s="42" t="str">
        <x:v>Lv85~100</x:v>
      </x:c>
      <x:c r="Q489" s="42" t="str">
        <x:v>IV</x:v>
      </x:c>
      <x:c r="R489" s="42" t="str">
        <x:v>5</x:v>
      </x:c>
      <x:c r="S489" s="42" t="str">
        <x:v>Final 장기 성장: Stage46 10~14일+ / 중간 스테이지 진행</x:v>
      </x:c>
      <x:c r="T489" s="42" t="n">
        <x:v>17</x:v>
      </x:c>
      <x:c r="U489" s="42" t="n">
        <x:v>1156</x:v>
      </x:c>
      <x:c r="V489" s="42" t="n">
        <x:v>472</x:v>
      </x:c>
      <x:c r="W489" s="42" t="n">
        <x:v>47</x:v>
      </x:c>
      <x:c r="X489" s="42" t="n">
        <x:v>142</x:v>
      </x:c>
      <x:c r="Y489" s="42" t="str"/>
    </x:row>
    <x:row r="490">
      <x:c r="A490" s="1">
        <x:v>49</x:v>
      </x:c>
      <x:c r="B490" s="1" t="s">
        <x:v>681</x:v>
      </x:c>
      <x:c r="C490" s="1" t="s">
        <x:v>446</x:v>
      </x:c>
      <x:c r="D490" s="1">
        <x:v>4</x:v>
      </x:c>
      <x:c r="E490" s="1">
        <x:v>4</x:v>
      </x:c>
      <x:c r="F490" s="1">
        <x:v>9</x:v>
      </x:c>
      <x:c r="G490" s="1" t="s">
        <x:v>1042</x:v>
      </x:c>
      <x:c r="H490" s="1">
        <x:v>70</x:v>
      </x:c>
      <x:c r="I490" s="1">
        <x:v>43</x:v>
      </x:c>
      <x:c r="J490" s="1">
        <x:v>0.48</x:v>
      </x:c>
      <x:c r="K490" s="1" t="s">
        <x:v>1195</x:v>
      </x:c>
      <x:c r="L490" s="1">
        <x:v>4.12</x:v>
      </x:c>
      <x:c r="M490" s="1">
        <x:v>3.1</x:v>
      </x:c>
      <x:c r="N490" s="1">
        <x:v>19114</x:v>
      </x:c>
      <x:c r="O490" s="1" t="s">
        <x:v>1056</x:v>
      </x:c>
      <x:c r="P490" s="42" t="str">
        <x:v>Lv85~100</x:v>
      </x:c>
      <x:c r="Q490" s="42" t="str">
        <x:v>IV</x:v>
      </x:c>
      <x:c r="R490" s="42" t="str">
        <x:v>5</x:v>
      </x:c>
      <x:c r="S490" s="42" t="str">
        <x:v>Final 장기 성장: Stage46 10~14일+ / 중간 스테이지 진행</x:v>
      </x:c>
      <x:c r="T490" s="42" t="n">
        <x:v>17</x:v>
      </x:c>
      <x:c r="U490" s="42" t="n">
        <x:v>1190</x:v>
      </x:c>
      <x:c r="V490" s="42" t="n">
        <x:v>590</x:v>
      </x:c>
      <x:c r="W490" s="42" t="n">
        <x:v>59</x:v>
      </x:c>
      <x:c r="X490" s="42" t="n">
        <x:v>177</x:v>
      </x:c>
      <x:c r="Y490" s="42" t="str"/>
    </x:row>
    <x:row r="491">
      <x:c r="A491" s="1">
        <x:v>49</x:v>
      </x:c>
      <x:c r="B491" s="1" t="s">
        <x:v>681</x:v>
      </x:c>
      <x:c r="C491" s="1" t="s">
        <x:v>446</x:v>
      </x:c>
      <x:c r="D491" s="1">
        <x:v>4</x:v>
      </x:c>
      <x:c r="E491" s="1">
        <x:v>4</x:v>
      </x:c>
      <x:c r="F491" s="1">
        <x:v>10</x:v>
      </x:c>
      <x:c r="G491" s="1" t="s">
        <x:v>1057</x:v>
      </x:c>
      <x:c r="H491" s="1">
        <x:v>63</x:v>
      </x:c>
      <x:c r="I491" s="1">
        <x:v>45</x:v>
      </x:c>
      <x:c r="J491" s="1">
        <x:v>0.46</x:v>
      </x:c>
      <x:c r="K491" s="1" t="s">
        <x:v>1241</x:v>
      </x:c>
      <x:c r="L491" s="1">
        <x:v>4.17</x:v>
      </x:c>
      <x:c r="M491" s="1">
        <x:v>3.14</x:v>
      </x:c>
      <x:c r="N491" s="1">
        <x:v>19114</x:v>
      </x:c>
      <x:c r="O491" s="1" t="s">
        <x:v>1059</x:v>
      </x:c>
      <x:c r="P491" s="42" t="str">
        <x:v>Lv85~100</x:v>
      </x:c>
      <x:c r="Q491" s="42" t="str">
        <x:v>IV</x:v>
      </x:c>
      <x:c r="R491" s="42" t="str">
        <x:v>5</x:v>
      </x:c>
      <x:c r="S491" s="42" t="str">
        <x:v>Final 장기 성장: Stage46 10~14일+ / 중간 스테이지 진행</x:v>
      </x:c>
      <x:c r="T491" s="42" t="n">
        <x:v>17</x:v>
      </x:c>
      <x:c r="U491" s="42" t="n">
        <x:v>1054</x:v>
      </x:c>
      <x:c r="V491" s="42" t="n">
        <x:v>0</x:v>
      </x:c>
      <x:c r="W491" s="42" t="n">
        <x:v>0</x:v>
      </x:c>
      <x:c r="X491" s="42" t="n">
        <x:v>0</x:v>
      </x:c>
      <x:c r="Y491" s="42" t="str">
        <x:v>보스 처치 보상은 로비 보상으로 분리</x:v>
      </x:c>
      <x:c r="Z491" s="564" t="n">
        <x:v>180000</x:v>
      </x:c>
      <x:c r="AA491" t="str">
        <x:v>5신화 ★5</x:v>
      </x:c>
      <x:c r="AB491" t="str">
        <x:v>4신화+전설 매우 어려움</x:v>
      </x:c>
      <x:c r="AC491" t="str">
        <x:v>이 실전EHP를 V3.6 최종 TD 기준으로 사용. 기존 L열 HP배율은 과거안 보존.</x:v>
      </x:c>
    </x:row>
    <x:row r="492">
      <x:c r="A492" s="1">
        <x:v>50</x:v>
      </x:c>
      <x:c r="B492" s="1" t="s">
        <x:v>681</x:v>
      </x:c>
      <x:c r="C492" s="1" t="s">
        <x:v>446</x:v>
      </x:c>
      <x:c r="D492" s="1">
        <x:v>5</x:v>
      </x:c>
      <x:c r="E492" s="1">
        <x:v>4</x:v>
      </x:c>
      <x:c r="F492" s="1">
        <x:v>1</x:v>
      </x:c>
      <x:c r="G492" s="1" t="s">
        <x:v>1042</x:v>
      </x:c>
      <x:c r="H492" s="1">
        <x:v>51</x:v>
      </x:c>
      <x:c r="I492" s="1">
        <x:v>32</x:v>
      </x:c>
      <x:c r="J492" s="1">
        <x:v>0.63</x:v>
      </x:c>
      <x:c r="K492" s="1" t="s">
        <x:v>1182</x:v>
      </x:c>
      <x:c r="L492" s="1">
        <x:v>3.77</x:v>
      </x:c>
      <x:c r="M492" s="1">
        <x:v>2.84</x:v>
      </x:c>
      <x:c r="N492" s="1">
        <x:v>20548</x:v>
      </x:c>
      <x:c r="O492" s="1" t="s">
        <x:v>1044</x:v>
      </x:c>
      <x:c r="P492" s="42" t="str">
        <x:v>Lv85~100</x:v>
      </x:c>
      <x:c r="Q492" s="42" t="str">
        <x:v>IV</x:v>
      </x:c>
      <x:c r="R492" s="42" t="str">
        <x:v>5</x:v>
      </x:c>
      <x:c r="S492" s="42" t="str">
        <x:v>Final 최종 성장벽: 5인 Lv100 / 약 10일+</x:v>
      </x:c>
      <x:c r="T492" s="42" t="n">
        <x:v>17</x:v>
      </x:c>
      <x:c r="U492" s="42" t="n">
        <x:v>867</x:v>
      </x:c>
      <x:c r="V492" s="42" t="n">
        <x:v>118</x:v>
      </x:c>
      <x:c r="W492" s="42" t="n">
        <x:v>12</x:v>
      </x:c>
      <x:c r="X492" s="42" t="n">
        <x:v>35</x:v>
      </x:c>
      <x:c r="Y492" s="42" t="str"/>
    </x:row>
    <x:row r="493">
      <x:c r="A493" s="1">
        <x:v>50</x:v>
      </x:c>
      <x:c r="B493" s="1" t="s">
        <x:v>681</x:v>
      </x:c>
      <x:c r="C493" s="1" t="s">
        <x:v>446</x:v>
      </x:c>
      <x:c r="D493" s="1">
        <x:v>5</x:v>
      </x:c>
      <x:c r="E493" s="1">
        <x:v>4</x:v>
      </x:c>
      <x:c r="F493" s="1">
        <x:v>2</x:v>
      </x:c>
      <x:c r="G493" s="1" t="s">
        <x:v>1042</x:v>
      </x:c>
      <x:c r="H493" s="1">
        <x:v>53</x:v>
      </x:c>
      <x:c r="I493" s="1">
        <x:v>33</x:v>
      </x:c>
      <x:c r="J493" s="1">
        <x:v>0.61</x:v>
      </x:c>
      <x:c r="K493" s="1" t="s">
        <x:v>1188</x:v>
      </x:c>
      <x:c r="L493" s="1">
        <x:v>3.82</x:v>
      </x:c>
      <x:c r="M493" s="1">
        <x:v>2.88</x:v>
      </x:c>
      <x:c r="N493" s="1">
        <x:v>20548</x:v>
      </x:c>
      <x:c r="O493" s="1" t="s">
        <x:v>1044</x:v>
      </x:c>
      <x:c r="P493" s="42" t="str">
        <x:v>Lv85~100</x:v>
      </x:c>
      <x:c r="Q493" s="42" t="str">
        <x:v>IV</x:v>
      </x:c>
      <x:c r="R493" s="42" t="str">
        <x:v>5</x:v>
      </x:c>
      <x:c r="S493" s="42" t="str">
        <x:v>Final 최종 성장벽: 5인 Lv100 / 약 10일+</x:v>
      </x:c>
      <x:c r="T493" s="42" t="n">
        <x:v>17</x:v>
      </x:c>
      <x:c r="U493" s="42" t="n">
        <x:v>901</x:v>
      </x:c>
      <x:c r="V493" s="42" t="n">
        <x:v>142</x:v>
      </x:c>
      <x:c r="W493" s="42" t="n">
        <x:v>14</x:v>
      </x:c>
      <x:c r="X493" s="42" t="n">
        <x:v>43</x:v>
      </x:c>
      <x:c r="Y493" s="42" t="str"/>
    </x:row>
    <x:row r="494">
      <x:c r="A494" s="1">
        <x:v>50</x:v>
      </x:c>
      <x:c r="B494" s="1" t="s">
        <x:v>681</x:v>
      </x:c>
      <x:c r="C494" s="1" t="s">
        <x:v>446</x:v>
      </x:c>
      <x:c r="D494" s="1">
        <x:v>5</x:v>
      </x:c>
      <x:c r="E494" s="1">
        <x:v>4</x:v>
      </x:c>
      <x:c r="F494" s="1">
        <x:v>3</x:v>
      </x:c>
      <x:c r="G494" s="1" t="s">
        <x:v>1042</x:v>
      </x:c>
      <x:c r="H494" s="1">
        <x:v>56</x:v>
      </x:c>
      <x:c r="I494" s="1">
        <x:v>35</x:v>
      </x:c>
      <x:c r="J494" s="1">
        <x:v>0.59</x:v>
      </x:c>
      <x:c r="K494" s="1" t="s">
        <x:v>1193</x:v>
      </x:c>
      <x:c r="L494" s="1">
        <x:v>3.88</x:v>
      </x:c>
      <x:c r="M494" s="1">
        <x:v>2.92</x:v>
      </x:c>
      <x:c r="N494" s="1">
        <x:v>20548</x:v>
      </x:c>
      <x:c r="O494" s="1" t="s">
        <x:v>1044</x:v>
      </x:c>
      <x:c r="P494" s="42" t="str">
        <x:v>Lv85~100</x:v>
      </x:c>
      <x:c r="Q494" s="42" t="str">
        <x:v>IV</x:v>
      </x:c>
      <x:c r="R494" s="42" t="str">
        <x:v>5</x:v>
      </x:c>
      <x:c r="S494" s="42" t="str">
        <x:v>Final 최종 성장벽: 5인 Lv100 / 약 10일+</x:v>
      </x:c>
      <x:c r="T494" s="42" t="n">
        <x:v>17</x:v>
      </x:c>
      <x:c r="U494" s="42" t="n">
        <x:v>952</x:v>
      </x:c>
      <x:c r="V494" s="42" t="n">
        <x:v>177</x:v>
      </x:c>
      <x:c r="W494" s="42" t="n">
        <x:v>18</x:v>
      </x:c>
      <x:c r="X494" s="42" t="n">
        <x:v>53</x:v>
      </x:c>
      <x:c r="Y494" s="42" t="str"/>
    </x:row>
    <x:row r="495">
      <x:c r="A495" s="1">
        <x:v>50</x:v>
      </x:c>
      <x:c r="B495" s="1" t="s">
        <x:v>681</x:v>
      </x:c>
      <x:c r="C495" s="1" t="s">
        <x:v>446</x:v>
      </x:c>
      <x:c r="D495" s="1">
        <x:v>5</x:v>
      </x:c>
      <x:c r="E495" s="1">
        <x:v>4</x:v>
      </x:c>
      <x:c r="F495" s="1">
        <x:v>4</x:v>
      </x:c>
      <x:c r="G495" s="1" t="s">
        <x:v>1042</x:v>
      </x:c>
      <x:c r="H495" s="1">
        <x:v>58</x:v>
      </x:c>
      <x:c r="I495" s="1">
        <x:v>36</x:v>
      </x:c>
      <x:c r="J495" s="1">
        <x:v>0.56999999999999995</x:v>
      </x:c>
      <x:c r="K495" s="1" t="s">
        <x:v>1242</x:v>
      </x:c>
      <x:c r="L495" s="1">
        <x:v>3.93</x:v>
      </x:c>
      <x:c r="M495" s="1">
        <x:v>2.96</x:v>
      </x:c>
      <x:c r="N495" s="1">
        <x:v>20548</x:v>
      </x:c>
      <x:c r="O495" s="1" t="s">
        <x:v>1047</x:v>
      </x:c>
      <x:c r="P495" s="42" t="str">
        <x:v>Lv85~100</x:v>
      </x:c>
      <x:c r="Q495" s="42" t="str">
        <x:v>IV</x:v>
      </x:c>
      <x:c r="R495" s="42" t="str">
        <x:v>5</x:v>
      </x:c>
      <x:c r="S495" s="42" t="str">
        <x:v>Final 최종 성장벽: 5인 Lv100 / 약 10일+</x:v>
      </x:c>
      <x:c r="T495" s="42" t="n">
        <x:v>17</x:v>
      </x:c>
      <x:c r="U495" s="42" t="n">
        <x:v>986</x:v>
      </x:c>
      <x:c r="V495" s="42" t="n">
        <x:v>212</x:v>
      </x:c>
      <x:c r="W495" s="42" t="n">
        <x:v>21</x:v>
      </x:c>
      <x:c r="X495" s="42" t="n">
        <x:v>64</x:v>
      </x:c>
      <x:c r="Y495" s="42" t="str"/>
    </x:row>
    <x:row r="496">
      <x:c r="A496" s="1">
        <x:v>50</x:v>
      </x:c>
      <x:c r="B496" s="1" t="s">
        <x:v>681</x:v>
      </x:c>
      <x:c r="C496" s="1" t="s">
        <x:v>446</x:v>
      </x:c>
      <x:c r="D496" s="1">
        <x:v>5</x:v>
      </x:c>
      <x:c r="E496" s="1">
        <x:v>4</x:v>
      </x:c>
      <x:c r="F496" s="1">
        <x:v>5</x:v>
      </x:c>
      <x:c r="G496" s="1" t="s">
        <x:v>1048</x:v>
      </x:c>
      <x:c r="H496" s="1">
        <x:v>53</x:v>
      </x:c>
      <x:c r="I496" s="1">
        <x:v>38</x:v>
      </x:c>
      <x:c r="J496" s="1">
        <x:v>0.55000000000000004</x:v>
      </x:c>
      <x:c r="K496" s="1" t="s">
        <x:v>1243</x:v>
      </x:c>
      <x:c r="L496" s="1">
        <x:v>3.99</x:v>
      </x:c>
      <x:c r="M496" s="1">
        <x:v>3</x:v>
      </x:c>
      <x:c r="N496" s="1">
        <x:v>20548</x:v>
      </x:c>
      <x:c r="O496" s="1" t="s">
        <x:v>1050</x:v>
      </x:c>
      <x:c r="P496" s="42" t="str">
        <x:v>Lv85~100</x:v>
      </x:c>
      <x:c r="Q496" s="42" t="str">
        <x:v>IV</x:v>
      </x:c>
      <x:c r="R496" s="42" t="str">
        <x:v>5</x:v>
      </x:c>
      <x:c r="S496" s="42" t="str">
        <x:v>Final 최종 성장벽: 5인 Lv100 / 약 10일+</x:v>
      </x:c>
      <x:c r="T496" s="42" t="n">
        <x:v>17</x:v>
      </x:c>
      <x:c r="U496" s="42" t="n">
        <x:v>1196</x:v>
      </x:c>
      <x:c r="V496" s="42" t="n">
        <x:v>354</x:v>
      </x:c>
      <x:c r="W496" s="42" t="n">
        <x:v>35</x:v>
      </x:c>
      <x:c r="X496" s="42" t="n">
        <x:v>106</x:v>
      </x:c>
      <x:c r="Y496" s="42" t="str">
        <x:v>중간보스 현상금 포함</x:v>
      </x:c>
    </x:row>
    <x:row r="497">
      <x:c r="A497" s="1">
        <x:v>50</x:v>
      </x:c>
      <x:c r="B497" s="1" t="s">
        <x:v>681</x:v>
      </x:c>
      <x:c r="C497" s="1" t="s">
        <x:v>446</x:v>
      </x:c>
      <x:c r="D497" s="1">
        <x:v>5</x:v>
      </x:c>
      <x:c r="E497" s="1">
        <x:v>4</x:v>
      </x:c>
      <x:c r="F497" s="1">
        <x:v>6</x:v>
      </x:c>
      <x:c r="G497" s="1" t="s">
        <x:v>1042</x:v>
      </x:c>
      <x:c r="H497" s="1">
        <x:v>64</x:v>
      </x:c>
      <x:c r="I497" s="1">
        <x:v>40</x:v>
      </x:c>
      <x:c r="J497" s="1">
        <x:v>0.53</x:v>
      </x:c>
      <x:c r="K497" s="1" t="s">
        <x:v>1182</x:v>
      </x:c>
      <x:c r="L497" s="1">
        <x:v>4.04</x:v>
      </x:c>
      <x:c r="M497" s="1">
        <x:v>3.04</x:v>
      </x:c>
      <x:c r="N497" s="1">
        <x:v>20548</x:v>
      </x:c>
      <x:c r="O497" s="1" t="s">
        <x:v>1052</x:v>
      </x:c>
      <x:c r="P497" s="42" t="str">
        <x:v>Lv85~100</x:v>
      </x:c>
      <x:c r="Q497" s="42" t="str">
        <x:v>IV</x:v>
      </x:c>
      <x:c r="R497" s="42" t="str">
        <x:v>5</x:v>
      </x:c>
      <x:c r="S497" s="42" t="str">
        <x:v>Final 최종 성장벽: 5인 Lv100 / 약 10일+</x:v>
      </x:c>
      <x:c r="T497" s="42" t="n">
        <x:v>17</x:v>
      </x:c>
      <x:c r="U497" s="42" t="n">
        <x:v>1088</x:v>
      </x:c>
      <x:c r="V497" s="42" t="n">
        <x:v>260</x:v>
      </x:c>
      <x:c r="W497" s="42" t="n">
        <x:v>26</x:v>
      </x:c>
      <x:c r="X497" s="42" t="n">
        <x:v>78</x:v>
      </x:c>
      <x:c r="Y497" s="42" t="str"/>
    </x:row>
    <x:row r="498">
      <x:c r="A498" s="1">
        <x:v>50</x:v>
      </x:c>
      <x:c r="B498" s="1" t="s">
        <x:v>681</x:v>
      </x:c>
      <x:c r="C498" s="1" t="s">
        <x:v>446</x:v>
      </x:c>
      <x:c r="D498" s="1">
        <x:v>5</x:v>
      </x:c>
      <x:c r="E498" s="1">
        <x:v>4</x:v>
      </x:c>
      <x:c r="F498" s="1">
        <x:v>7</x:v>
      </x:c>
      <x:c r="G498" s="1" t="s">
        <x:v>1042</x:v>
      </x:c>
      <x:c r="H498" s="1">
        <x:v>66</x:v>
      </x:c>
      <x:c r="I498" s="1">
        <x:v>41</x:v>
      </x:c>
      <x:c r="J498" s="1">
        <x:v>0.51</x:v>
      </x:c>
      <x:c r="K498" s="1" t="s">
        <x:v>1188</x:v>
      </x:c>
      <x:c r="L498" s="1">
        <x:v>4.09</x:v>
      </x:c>
      <x:c r="M498" s="1">
        <x:v>3.08</x:v>
      </x:c>
      <x:c r="N498" s="1">
        <x:v>20548</x:v>
      </x:c>
      <x:c r="O498" s="1" t="s">
        <x:v>1052</x:v>
      </x:c>
      <x:c r="P498" s="42" t="str">
        <x:v>Lv85~100</x:v>
      </x:c>
      <x:c r="Q498" s="42" t="str">
        <x:v>IV</x:v>
      </x:c>
      <x:c r="R498" s="42" t="str">
        <x:v>5</x:v>
      </x:c>
      <x:c r="S498" s="42" t="str">
        <x:v>Final 최종 성장벽: 5인 Lv100 / 약 10일+</x:v>
      </x:c>
      <x:c r="T498" s="42" t="n">
        <x:v>17</x:v>
      </x:c>
      <x:c r="U498" s="42" t="n">
        <x:v>1122</x:v>
      </x:c>
      <x:c r="V498" s="42" t="n">
        <x:v>354</x:v>
      </x:c>
      <x:c r="W498" s="42" t="n">
        <x:v>35</x:v>
      </x:c>
      <x:c r="X498" s="42" t="n">
        <x:v>106</x:v>
      </x:c>
      <x:c r="Y498" s="42" t="str"/>
    </x:row>
    <x:row r="499">
      <x:c r="A499" s="1">
        <x:v>50</x:v>
      </x:c>
      <x:c r="B499" s="1" t="s">
        <x:v>681</x:v>
      </x:c>
      <x:c r="C499" s="1" t="s">
        <x:v>446</x:v>
      </x:c>
      <x:c r="D499" s="1">
        <x:v>5</x:v>
      </x:c>
      <x:c r="E499" s="1">
        <x:v>4</x:v>
      </x:c>
      <x:c r="F499" s="1">
        <x:v>8</x:v>
      </x:c>
      <x:c r="G499" s="1" t="s">
        <x:v>1042</x:v>
      </x:c>
      <x:c r="H499" s="1">
        <x:v>69</x:v>
      </x:c>
      <x:c r="I499" s="1">
        <x:v>43</x:v>
      </x:c>
      <x:c r="J499" s="1">
        <x:v>0.49</x:v>
      </x:c>
      <x:c r="K499" s="1" t="s">
        <x:v>1195</x:v>
      </x:c>
      <x:c r="L499" s="1">
        <x:v>4.1500000000000004</x:v>
      </x:c>
      <x:c r="M499" s="1">
        <x:v>3.12</x:v>
      </x:c>
      <x:c r="N499" s="1">
        <x:v>20548</x:v>
      </x:c>
      <x:c r="O499" s="1" t="s">
        <x:v>1052</x:v>
      </x:c>
      <x:c r="P499" s="42" t="str">
        <x:v>Lv85~100</x:v>
      </x:c>
      <x:c r="Q499" s="42" t="str">
        <x:v>IV</x:v>
      </x:c>
      <x:c r="R499" s="42" t="str">
        <x:v>5</x:v>
      </x:c>
      <x:c r="S499" s="42" t="str">
        <x:v>Final 최종 성장벽: 5인 Lv100 / 약 10일+</x:v>
      </x:c>
      <x:c r="T499" s="42" t="n">
        <x:v>17</x:v>
      </x:c>
      <x:c r="U499" s="42" t="n">
        <x:v>1173</x:v>
      </x:c>
      <x:c r="V499" s="42" t="n">
        <x:v>472</x:v>
      </x:c>
      <x:c r="W499" s="42" t="n">
        <x:v>47</x:v>
      </x:c>
      <x:c r="X499" s="42" t="n">
        <x:v>142</x:v>
      </x:c>
      <x:c r="Y499" s="42" t="str"/>
    </x:row>
    <x:row r="500">
      <x:c r="A500" s="1">
        <x:v>50</x:v>
      </x:c>
      <x:c r="B500" s="1" t="s">
        <x:v>681</x:v>
      </x:c>
      <x:c r="C500" s="1" t="s">
        <x:v>446</x:v>
      </x:c>
      <x:c r="D500" s="1">
        <x:v>5</x:v>
      </x:c>
      <x:c r="E500" s="1">
        <x:v>4</x:v>
      </x:c>
      <x:c r="F500" s="1">
        <x:v>9</x:v>
      </x:c>
      <x:c r="G500" s="1" t="s">
        <x:v>1042</x:v>
      </x:c>
      <x:c r="H500" s="1">
        <x:v>71</x:v>
      </x:c>
      <x:c r="I500" s="1">
        <x:v>44</x:v>
      </x:c>
      <x:c r="J500" s="1">
        <x:v>0.47</x:v>
      </x:c>
      <x:c r="K500" s="1" t="s">
        <x:v>1199</x:v>
      </x:c>
      <x:c r="L500" s="1">
        <x:v>4.21</x:v>
      </x:c>
      <x:c r="M500" s="1">
        <x:v>3.16</x:v>
      </x:c>
      <x:c r="N500" s="1">
        <x:v>20548</x:v>
      </x:c>
      <x:c r="O500" s="1" t="s">
        <x:v>1056</x:v>
      </x:c>
      <x:c r="P500" s="42" t="str">
        <x:v>Lv85~100</x:v>
      </x:c>
      <x:c r="Q500" s="42" t="str">
        <x:v>IV</x:v>
      </x:c>
      <x:c r="R500" s="42" t="str">
        <x:v>5</x:v>
      </x:c>
      <x:c r="S500" s="42" t="str">
        <x:v>Final 최종 성장벽: 5인 Lv100 / 약 10일+</x:v>
      </x:c>
      <x:c r="T500" s="42" t="n">
        <x:v>17</x:v>
      </x:c>
      <x:c r="U500" s="42" t="n">
        <x:v>1207</x:v>
      </x:c>
      <x:c r="V500" s="42" t="n">
        <x:v>590</x:v>
      </x:c>
      <x:c r="W500" s="42" t="n">
        <x:v>59</x:v>
      </x:c>
      <x:c r="X500" s="42" t="n">
        <x:v>177</x:v>
      </x:c>
      <x:c r="Y500" s="42" t="str"/>
    </x:row>
    <x:row r="501">
      <x:c r="A501" s="1">
        <x:v>50</x:v>
      </x:c>
      <x:c r="B501" s="1" t="s">
        <x:v>681</x:v>
      </x:c>
      <x:c r="C501" s="1" t="s">
        <x:v>446</x:v>
      </x:c>
      <x:c r="D501" s="1">
        <x:v>5</x:v>
      </x:c>
      <x:c r="E501" s="1">
        <x:v>4</x:v>
      </x:c>
      <x:c r="F501" s="1">
        <x:v>10</x:v>
      </x:c>
      <x:c r="G501" s="1" t="s">
        <x:v>1057</x:v>
      </x:c>
      <x:c r="H501" s="1">
        <x:v>64</x:v>
      </x:c>
      <x:c r="I501" s="1">
        <x:v>45</x:v>
      </x:c>
      <x:c r="J501" s="1">
        <x:v>0.45</x:v>
      </x:c>
      <x:c r="K501" s="1" t="str">
        <x:v>침식의 근원, 사룡 발테리옹 1 + 호위 일반몹 63</x:v>
      </x:c>
      <x:c r="L501" s="1">
        <x:v>4.26</x:v>
      </x:c>
      <x:c r="M501" s="1">
        <x:v>3.2</x:v>
      </x:c>
      <x:c r="N501" s="1">
        <x:v>20548</x:v>
      </x:c>
      <x:c r="O501" s="1" t="s">
        <x:v>1059</x:v>
      </x:c>
      <x:c r="P501" s="42" t="str">
        <x:v>Lv85~100</x:v>
      </x:c>
      <x:c r="Q501" s="42" t="str">
        <x:v>IV</x:v>
      </x:c>
      <x:c r="R501" s="42" t="str">
        <x:v>5</x:v>
      </x:c>
      <x:c r="S501" s="42" t="str">
        <x:v>Final 최종 성장벽: 5인 Lv100 / 약 10일+</x:v>
      </x:c>
      <x:c r="T501" s="42" t="n">
        <x:v>17</x:v>
      </x:c>
      <x:c r="U501" s="42" t="n">
        <x:v>1071</x:v>
      </x:c>
      <x:c r="V501" s="42" t="n">
        <x:v>0</x:v>
      </x:c>
      <x:c r="W501" s="42" t="n">
        <x:v>0</x:v>
      </x:c>
      <x:c r="X501" s="42" t="n">
        <x:v>0</x:v>
      </x:c>
      <x:c r="Y501" s="42" t="str">
        <x:v>보스 처치 보상은 로비 보상으로 분리</x:v>
      </x:c>
      <x:c r="Z501" s="564" t="n">
        <x:v>180000</x:v>
      </x:c>
      <x:c r="AA501" t="str">
        <x:v>잘 육성된 5신화 ★5 / Lv100권</x:v>
      </x:c>
      <x:c r="AB501" t="str">
        <x:v>5신화도 극타이트</x:v>
      </x:c>
      <x:c r="AC501" t="str">
        <x:v>이 실전EHP를 V3.6 최종 TD 기준으로 사용. 기존 L열 HP배율은 과거안 보존.</x:v>
      </x:c>
    </x:row>
  </x:sheetData>
  <x:conditionalFormatting sqref="B2:B501">
    <x:cfRule type="expression" dxfId="1" priority="1">
      <x:formula>B2="HARD"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1" max="1" width="10" customWidth="1"/>
    <x:col min="2" max="2" width="14" customWidth="1"/>
    <x:col min="3" max="4" width="36" customWidth="1"/>
    <x:col min="5" max="5" width="12" customWidth="1"/>
    <x:col min="6" max="6" width="52" customWidth="1"/>
  </x:cols>
  <x:sheetData>
    <x:row r="1">
      <x:c r="A1" s="3" t="s">
        <x:v>1244</x:v>
      </x:c>
      <x:c r="B1" s="3" t="s">
        <x:v>1245</x:v>
      </x:c>
      <x:c r="C1" s="3" t="s">
        <x:v>1246</x:v>
      </x:c>
      <x:c r="D1" s="3" t="s">
        <x:v>1247</x:v>
      </x:c>
      <x:c r="E1" s="3" t="s">
        <x:v>1248</x:v>
      </x:c>
      <x:c r="F1" s="3" t="s">
        <x:v>1249</x:v>
      </x:c>
    </x:row>
    <x:row r="2" ht="33">
      <x:c r="A2" s="1" t="s">
        <x:v>817</x:v>
      </x:c>
      <x:c r="B2" s="1" t="s">
        <x:v>818</x:v>
      </x:c>
      <x:c r="C2" s="1" t="s">
        <x:v>1250</x:v>
      </x:c>
      <x:c r="D2" s="1" t="str">
        <x:v>기사단장 + 기사단장</x:v>
      </x:c>
      <x:c r="E2" s="1" t="str">
        <x:v>유지(마스터 확정)</x:v>
      </x:c>
      <x:c r="F2" s="1" t="str">
        <x:v>강철 방어벽은 5스테이지 이후 해금이므로 초기 전설 영웅 조합에 부적합. 기사단장 2개 조합 유지.</x:v>
      </x:c>
    </x:row>
    <x:row r="3">
      <x:c r="A3" s="1" t="s">
        <x:v>817</x:v>
      </x:c>
      <x:c r="B3" s="1" t="s">
        <x:v>827</x:v>
      </x:c>
      <x:c r="C3" s="1" t="s">
        <x:v>837</x:v>
      </x:c>
      <x:c r="D3" s="1" t="s">
        <x:v>837</x:v>
      </x:c>
      <x:c r="E3" s="1" t="s">
        <x:v>1251</x:v>
      </x:c>
      <x:c r="F3" s="1" t="s">
        <x:v>1252</x:v>
      </x:c>
    </x:row>
    <x:row r="4">
      <x:c r="A4" s="1" t="s">
        <x:v>817</x:v>
      </x:c>
      <x:c r="B4" s="1" t="s">
        <x:v>840</x:v>
      </x:c>
      <x:c r="C4" s="1" t="s">
        <x:v>848</x:v>
      </x:c>
      <x:c r="D4" s="1" t="s">
        <x:v>848</x:v>
      </x:c>
      <x:c r="E4" s="1" t="s">
        <x:v>1251</x:v>
      </x:c>
      <x:c r="F4" s="1" t="s">
        <x:v>1252</x:v>
      </x:c>
    </x:row>
    <x:row r="5">
      <x:c r="A5" s="1" t="s">
        <x:v>817</x:v>
      </x:c>
      <x:c r="B5" s="1" t="s">
        <x:v>850</x:v>
      </x:c>
      <x:c r="C5" s="1" t="s">
        <x:v>1253</x:v>
      </x:c>
      <x:c r="D5" s="1" t="s">
        <x:v>859</x:v>
      </x:c>
      <x:c r="E5" s="1" t="s">
        <x:v>1251</x:v>
      </x:c>
      <x:c r="F5" s="1" t="s">
        <x:v>1252</x:v>
      </x:c>
    </x:row>
    <x:row r="6">
      <x:c r="A6" s="1" t="s">
        <x:v>817</x:v>
      </x:c>
      <x:c r="B6" s="1" t="s">
        <x:v>861</x:v>
      </x:c>
      <x:c r="C6" s="1" t="s">
        <x:v>868</x:v>
      </x:c>
      <x:c r="D6" s="1" t="s">
        <x:v>868</x:v>
      </x:c>
      <x:c r="E6" s="1" t="s">
        <x:v>1251</x:v>
      </x:c>
      <x:c r="F6" s="1" t="s">
        <x:v>1252</x:v>
      </x:c>
    </x:row>
    <x:row r="7" ht="33">
      <x:c r="A7" s="1" t="s">
        <x:v>817</x:v>
      </x:c>
      <x:c r="B7" s="1" t="s">
        <x:v>870</x:v>
      </x:c>
      <x:c r="C7" s="1" t="s">
        <x:v>1254</x:v>
      </x:c>
      <x:c r="D7" s="1" t="str">
        <x:v>아이돌 + 주술사</x:v>
      </x:c>
      <x:c r="E7" s="1" t="str">
        <x:v>변경 반영</x:v>
      </x:c>
      <x:c r="F7" s="1" t="str">
        <x:v>버퍼 정체성과 일치하도록 흑마법사 대신 주술사 적용.</x:v>
      </x:c>
    </x:row>
    <x:row r="8">
      <x:c r="A8" s="1" t="s">
        <x:v>817</x:v>
      </x:c>
      <x:c r="B8" s="1" t="s">
        <x:v>877</x:v>
      </x:c>
      <x:c r="C8" s="1" t="s">
        <x:v>1255</x:v>
      </x:c>
      <x:c r="D8" s="1" t="s">
        <x:v>884</x:v>
      </x:c>
      <x:c r="E8" s="1" t="s">
        <x:v>1251</x:v>
      </x:c>
      <x:c r="F8" s="1" t="s">
        <x:v>1252</x:v>
      </x:c>
    </x:row>
    <x:row r="9" ht="33">
      <x:c r="A9" s="1" t="s">
        <x:v>817</x:v>
      </x:c>
      <x:c r="B9" s="1" t="s">
        <x:v>886</x:v>
      </x:c>
      <x:c r="C9" s="1" t="s">
        <x:v>1256</x:v>
      </x:c>
      <x:c r="D9" s="1" t="str">
        <x:v>광전사 + 연사궁병</x:v>
      </x:c>
      <x:c r="E9" s="1" t="str">
        <x:v>변경 반영</x:v>
      </x:c>
      <x:c r="F9" s="1" t="str">
        <x:v>기사단장보다 폭발력·속도 테마에 맞는 광전사로 변경.</x:v>
      </x:c>
    </x:row>
    <x:row r="10">
      <x:c r="A10" s="1" t="s">
        <x:v>894</x:v>
      </x:c>
      <x:c r="B10" s="1" t="s">
        <x:v>895</x:v>
      </x:c>
      <x:c r="C10" s="1" t="s">
        <x:v>902</x:v>
      </x:c>
      <x:c r="D10" s="1" t="s">
        <x:v>902</x:v>
      </x:c>
      <x:c r="E10" s="1" t="s">
        <x:v>1251</x:v>
      </x:c>
      <x:c r="F10" s="1" t="s">
        <x:v>1252</x:v>
      </x:c>
    </x:row>
    <x:row r="11" ht="33">
      <x:c r="A11" s="1" t="s">
        <x:v>894</x:v>
      </x:c>
      <x:c r="B11" s="1" t="s">
        <x:v>905</x:v>
      </x:c>
      <x:c r="C11" s="1" t="s">
        <x:v>1257</x:v>
      </x:c>
      <x:c r="D11" s="1" t="str">
        <x:v>대형 발리스타 + 연사 감시탑 + 루비</x:v>
      </x:c>
      <x:c r="E11" s="1" t="str">
        <x:v>변경 반영</x:v>
      </x:c>
      <x:c r="F11" s="1" t="str">
        <x:v>신화 재료를 전설 1 + 상급 일반/구조물 2로 정리.</x:v>
      </x:c>
    </x:row>
    <x:row r="12">
      <x:c r="A12" s="1" t="s">
        <x:v>894</x:v>
      </x:c>
      <x:c r="B12" s="1" t="s">
        <x:v>913</x:v>
      </x:c>
      <x:c r="C12" s="1" t="s">
        <x:v>921</x:v>
      </x:c>
      <x:c r="D12" s="1" t="s">
        <x:v>921</x:v>
      </x:c>
      <x:c r="E12" s="1" t="s">
        <x:v>1251</x:v>
      </x:c>
      <x:c r="F12" s="1" t="s">
        <x:v>1252</x:v>
      </x:c>
    </x:row>
    <x:row r="13">
      <x:c r="A13" s="1" t="s">
        <x:v>894</x:v>
      </x:c>
      <x:c r="B13" s="1" t="s">
        <x:v>923</x:v>
      </x:c>
      <x:c r="C13" s="1" t="s">
        <x:v>930</x:v>
      </x:c>
      <x:c r="D13" s="1" t="s">
        <x:v>930</x:v>
      </x:c>
      <x:c r="E13" s="1" t="s">
        <x:v>1251</x:v>
      </x:c>
      <x:c r="F13" s="1" t="s">
        <x:v>1252</x:v>
      </x:c>
    </x:row>
    <x:row r="14">
      <x:c r="A14" s="1" t="s">
        <x:v>894</x:v>
      </x:c>
      <x:c r="B14" s="1" t="s">
        <x:v>933</x:v>
      </x:c>
      <x:c r="C14" s="1" t="s">
        <x:v>940</x:v>
      </x:c>
      <x:c r="D14" s="1" t="s">
        <x:v>940</x:v>
      </x:c>
      <x:c r="E14" s="1" t="s">
        <x:v>1251</x:v>
      </x:c>
      <x:c r="F14" s="1" t="s">
        <x:v>1252</x:v>
      </x:c>
    </x:row>
    <x:row r="15" ht="33">
      <x:c r="A15" s="1" t="s">
        <x:v>894</x:v>
      </x:c>
      <x:c r="B15" s="1" t="s">
        <x:v>942</x:v>
      </x:c>
      <x:c r="C15" s="1" t="s">
        <x:v>1258</x:v>
      </x:c>
      <x:c r="D15" s="1" t="str">
        <x:v>대현자 + 충만한 마력수정 + 레이나</x:v>
      </x:c>
      <x:c r="E15" s="1" t="str">
        <x:v>변경 반영</x:v>
      </x:c>
      <x:c r="F15" s="1" t="str">
        <x:v>전설 2명 요구를 전설 1명 + 상급 재료 2개로 완화.</x:v>
      </x:c>
    </x:row>
    <x:row r="16">
      <x:c r="A16" s="1" t="s">
        <x:v>894</x:v>
      </x:c>
      <x:c r="B16" s="1" t="s">
        <x:v>950</x:v>
      </x:c>
      <x:c r="C16" s="1" t="s">
        <x:v>1259</x:v>
      </x:c>
      <x:c r="D16" s="1" t="str">
        <x:v>흑마법사 + 죽음의 화신 + 유나</x:v>
      </x:c>
      <x:c r="E16" s="1" t="str">
        <x:v>변경 반영</x:v>
      </x:c>
      <x:c r="F16" s="1" t="str">
        <x:v>독/저주 테마와 비용곡선을 맞추도록 변경.</x:v>
      </x:c>
    </x:row>
    <x:row r="17">
      <x:c r="A17" s="1" t="s">
        <x:v>894</x:v>
      </x:c>
      <x:c r="B17" s="1" t="s">
        <x:v>958</x:v>
      </x:c>
      <x:c r="C17" s="1" t="s">
        <x:v>965</x:v>
      </x:c>
      <x:c r="D17" s="1" t="s">
        <x:v>965</x:v>
      </x:c>
      <x:c r="E17" s="1" t="s">
        <x:v>1251</x:v>
      </x:c>
      <x:c r="F17" s="1" t="s">
        <x:v>1252</x:v>
      </x:c>
    </x:row>
    <x:row r="18">
      <x:c r="A18" s="1" t="s">
        <x:v>894</x:v>
      </x:c>
      <x:c r="B18" s="1" t="s">
        <x:v>967</x:v>
      </x:c>
      <x:c r="C18" s="1" t="s">
        <x:v>974</x:v>
      </x:c>
      <x:c r="D18" s="1" t="s">
        <x:v>974</x:v>
      </x:c>
      <x:c r="E18" s="1" t="s">
        <x:v>1251</x:v>
      </x:c>
      <x:c r="F18" s="1" t="s">
        <x:v>1252</x:v>
      </x:c>
    </x:row>
    <x:row r="19">
      <x:c r="A19" s="1" t="s">
        <x:v>894</x:v>
      </x:c>
      <x:c r="B19" s="1" t="s">
        <x:v>977</x:v>
      </x:c>
      <x:c r="C19" s="1" t="s">
        <x:v>984</x:v>
      </x:c>
      <x:c r="D19" s="1" t="s">
        <x:v>984</x:v>
      </x:c>
      <x:c r="E19" s="1" t="s">
        <x:v>1251</x:v>
      </x:c>
      <x:c r="F19" s="1" t="s">
        <x:v>1252</x:v>
      </x:c>
    </x:row>
    <x:row r="20" ht="33">
      <x:c r="A20" s="1" t="s">
        <x:v>894</x:v>
      </x:c>
      <x:c r="B20" s="1" t="s">
        <x:v>986</x:v>
      </x:c>
      <x:c r="C20" s="1" t="s">
        <x:v>1260</x:v>
      </x:c>
      <x:c r="D20" s="1" t="str">
        <x:v>주술사 + 충만한 마력수정 + 세라</x:v>
      </x:c>
      <x:c r="E20" s="1" t="str">
        <x:v>변경 반영</x:v>
      </x:c>
      <x:c r="F20" s="1" t="str">
        <x:v>전설 2명 요구를 제거하고 천체/버프 시너지를 유지.</x:v>
      </x:c>
    </x:row>
    <x:row r="21" ht="33">
      <x:c r="A21" s="1" t="s">
        <x:v>894</x:v>
      </x:c>
      <x:c r="B21" s="1" t="s">
        <x:v>994</x:v>
      </x:c>
      <x:c r="C21" s="1" t="s">
        <x:v>1261</x:v>
      </x:c>
      <x:c r="D21" s="1" t="str">
        <x:v>아이돌 + 1급 얼음수정 + 카린</x:v>
      </x:c>
      <x:c r="E21" s="1" t="str">
        <x:v>변경 반영</x:v>
      </x:c>
      <x:c r="F21" s="1" t="str">
        <x:v>전설 2명 요구를 제거하고 시간제어 테마와 전투 템포를 맞춤.</x:v>
      </x:c>
    </x:row>
  </x:sheetData>
  <x:conditionalFormatting sqref="E2:E21">
    <x:cfRule type="expression" dxfId="0" priority="1">
      <x:formula>E2="변경 제안"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8" hidden="0" customWidth="1"/>
    <x:col min="5" max="5" width="28" hidden="0" customWidth="1"/>
    <x:col min="6" max="6" width="24" hidden="0" customWidth="1"/>
    <x:col min="7" max="7" width="28" hidden="0" customWidth="1"/>
    <x:col min="8" max="8" width="34" hidden="0" customWidth="1"/>
  </x:cols>
  <x:sheetData>
    <x:row r="1">
      <x:c r="A1" s="63" t="str">
        <x:v>LUCKY GIRLS — 로비 육성 / TD 성급 / 보스 RPG 전환 규칙 V1.2</x:v>
      </x:c>
      <x:c r="B1" s="63"/>
      <x:c r="C1" s="63"/>
      <x:c r="D1" s="63"/>
      <x:c r="E1" s="63"/>
      <x:c r="F1" s="63"/>
      <x:c r="G1" s="63"/>
      <x:c r="H1" s="63"/>
    </x:row>
    <x:row r="3">
      <x:c r="A3" s="46" t="str">
        <x:v>구분</x:v>
      </x:c>
      <x:c r="B3" s="46" t="str">
        <x:v>단계/조건</x:v>
      </x:c>
      <x:c r="C3" s="46" t="str">
        <x:v>적용 대상</x:v>
      </x:c>
      <x:c r="D3" s="46" t="str">
        <x:v>스탯/효과</x:v>
      </x:c>
      <x:c r="E3" s="46" t="str">
        <x:v>스킬/이벤트</x:v>
      </x:c>
      <x:c r="F3" s="46" t="str">
        <x:v>TD 적용</x:v>
      </x:c>
      <x:c r="G3" s="46" t="str">
        <x:v>RPG 적용</x:v>
      </x:c>
      <x:c r="H3" s="46" t="str">
        <x:v>설계 의도</x:v>
      </x:c>
      <x:c r="J3" s="277" t="str">
        <x:v>로비 성장재화 V1.9</x:v>
      </x:c>
      <x:c r="K3" s="277" t="str">
        <x:v>권장값</x:v>
      </x:c>
      <x:c r="L3" s="277" t="str">
        <x:v>적용</x:v>
      </x:c>
      <x:c r="M3" s="277" t="str">
        <x:v>메모</x:v>
      </x:c>
    </x:row>
    <x:row r="4">
      <x:c r="A4" s="42" t="str">
        <x:v>로비 육성</x:v>
      </x:c>
      <x:c r="B4" s="42" t="str">
        <x:v>Lv1~20</x:v>
      </x:c>
      <x:c r="C4" s="42" t="str">
        <x:v>일반 캐릭터/영웅</x:v>
      </x:c>
      <x:c r="D4" s="42" t="str">
        <x:v>Lv1 기본값에서 레벨당 +0.45% 누적</x:v>
      </x:c>
      <x:c r="E4" s="42" t="str">
        <x:v>영웅 Skill1 기본 해금</x:v>
      </x:c>
      <x:c r="F4" s="42" t="str">
        <x:v>1★ 기본 스탯의 바탕값</x:v>
      </x:c>
      <x:c r="G4" s="42" t="str">
        <x:v>영웅 기본 스탯</x:v>
      </x:c>
      <x:c r="H4" s="42" t="str">
        <x:v>노멀 초반 진입</x:v>
      </x:c>
      <x:c r="J4" s="42" t="str">
        <x:v>Lv1~10 비용</x:v>
      </x:c>
      <x:c r="K4" s="42" t="str">
        <x:v>20 + 4×(현재Lv-1)</x:v>
      </x:c>
      <x:c r="L4" s="42" t="str">
        <x:v>일반/영웅</x:v>
      </x:c>
      <x:c r="M4" s="42" t="str">
        <x:v>초반 빠른 성장</x:v>
      </x:c>
    </x:row>
    <x:row r="5">
      <x:c r="A5" s="42" t="str">
        <x:v>한계돌파 I</x:v>
      </x:c>
      <x:c r="B5" s="42" t="str">
        <x:v>Lv20 달성 후</x:v>
      </x:c>
      <x:c r="C5" s="42" t="str">
        <x:v>일반 캐릭터/영웅</x:v>
      </x:c>
      <x:c r="D5" s="42" t="str">
        <x:v>레벨 상한 40 + 기본스탯 +6%</x:v>
      </x:c>
      <x:c r="E5" s="42" t="str">
        <x:v>영웅 Skill2 해금</x:v>
      </x:c>
      <x:c r="F5" s="42" t="str">
        <x:v>적용</x:v>
      </x:c>
      <x:c r="G5" s="42" t="str">
        <x:v>적용</x:v>
      </x:c>
      <x:c r="H5" s="42" t="str">
        <x:v>초중반 성장 체감</x:v>
      </x:c>
      <x:c r="J5" s="42" t="str">
        <x:v>Lv10~20 비용</x:v>
      </x:c>
      <x:c r="K5" s="42" t="str">
        <x:v>60 + 8×(현재Lv-10)</x:v>
      </x:c>
      <x:c r="L5" s="42" t="str">
        <x:v>일반/영웅</x:v>
      </x:c>
      <x:c r="M5" s="42" t="str">
        <x:v>Stage6 이후 비용 증가</x:v>
      </x:c>
    </x:row>
    <x:row r="6">
      <x:c r="A6" s="42" t="str">
        <x:v>한계돌파 II</x:v>
      </x:c>
      <x:c r="B6" s="42" t="str">
        <x:v>Lv40 달성 후</x:v>
      </x:c>
      <x:c r="C6" s="42" t="str">
        <x:v>일반 캐릭터/영웅</x:v>
      </x:c>
      <x:c r="D6" s="42" t="str">
        <x:v>레벨 상한 60 + 기본스탯 +6%</x:v>
      </x:c>
      <x:c r="E6" s="42" t="str">
        <x:v>영웅 이벤트 신 1 해금</x:v>
      </x:c>
      <x:c r="F6" s="42" t="str">
        <x:v>적용</x:v>
      </x:c>
      <x:c r="G6" s="42" t="str">
        <x:v>적용</x:v>
      </x:c>
      <x:c r="H6" s="42" t="str">
        <x:v>노멀 후반 진입 준비</x:v>
      </x:c>
      <x:c r="J6" s="42" t="str">
        <x:v>Stage1~5 누적재화</x:v>
      </x:c>
      <x:c r="K6" s="42" t="str">
        <x:v>1,450</x:v>
      </x:c>
      <x:c r="L6" s="42" t="str">
        <x:v>무과금 최초클리어 기준</x:v>
      </x:c>
      <x:c r="M6" s="42" t="str">
        <x:v>핵심3 Lv12 전후</x:v>
      </x:c>
    </x:row>
    <x:row r="7">
      <x:c r="A7" s="42" t="str">
        <x:v>한계돌파 III</x:v>
      </x:c>
      <x:c r="B7" s="42" t="str">
        <x:v>Lv60 달성 후</x:v>
      </x:c>
      <x:c r="C7" s="42" t="str">
        <x:v>일반 캐릭터/영웅</x:v>
      </x:c>
      <x:c r="D7" s="42" t="str">
        <x:v>레벨 상한 80 + 기본스탯 +6%</x:v>
      </x:c>
      <x:c r="E7" s="42" t="str">
        <x:v>영웅 Skill3(필살기) 해금</x:v>
      </x:c>
      <x:c r="F7" s="42" t="str">
        <x:v>적용</x:v>
      </x:c>
      <x:c r="G7" s="42" t="str">
        <x:v>적용</x:v>
      </x:c>
      <x:c r="H7" s="42" t="str">
        <x:v>Hard 진입 핵심 성장</x:v>
      </x:c>
      <x:c r="J7" s="42" t="str">
        <x:v>Stage1~10 누적재화</x:v>
      </x:c>
      <x:c r="K7" s="42" t="str">
        <x:v>3,300</x:v>
      </x:c>
      <x:c r="L7" s="42" t="str">
        <x:v>무과금 최초클리어 기준</x:v>
      </x:c>
      <x:c r="M7" s="42" t="str">
        <x:v>핵심3 Lv18 전후</x:v>
      </x:c>
    </x:row>
    <x:row r="8">
      <x:c r="A8" s="42" t="str">
        <x:v>한계돌파 IV</x:v>
      </x:c>
      <x:c r="B8" s="42" t="str">
        <x:v>Lv80 달성 후</x:v>
      </x:c>
      <x:c r="C8" s="42" t="str">
        <x:v>일반 캐릭터/영웅</x:v>
      </x:c>
      <x:c r="D8" s="42" t="str">
        <x:v>레벨 상한 100 + 기본스탯 +6%</x:v>
      </x:c>
      <x:c r="E8" s="42" t="str">
        <x:v>영웅 이벤트 신 2 해금</x:v>
      </x:c>
      <x:c r="F8" s="42" t="str">
        <x:v>적용</x:v>
      </x:c>
      <x:c r="G8" s="42" t="str">
        <x:v>적용</x:v>
      </x:c>
      <x:c r="H8" s="42" t="str">
        <x:v>Hard 후반 장기 성장</x:v>
      </x:c>
      <x:c r="J8" s="42" t="str">
        <x:v>판정</x:v>
      </x:c>
      <x:c r="K8" s="42" t="str">
        <x:v>확정 후보</x:v>
      </x:c>
      <x:c r="L8" s="42" t="str">
        <x:v>-</x:v>
      </x:c>
      <x:c r="M8" s="42" t="str">
        <x:v>실제 엔진 테스트 후 미세조정</x:v>
      </x:c>
    </x:row>
    <x:row r="9">
      <x:c r="A9" s="42" t="str">
        <x:v>TD 성급</x:v>
      </x:c>
      <x:c r="B9" s="42" t="str">
        <x:v>★1</x:v>
      </x:c>
      <x:c r="C9" s="42" t="str">
        <x:v>배치된 일반 캐릭터/구조물/영웅</x:v>
      </x:c>
      <x:c r="D9" s="42" t="str">
        <x:v>로비 반영 기본스탯 ×100%</x:v>
      </x:c>
      <x:c r="E9" s="42" t="str">
        <x:v>스킬 해금과 무관</x:v>
      </x:c>
      <x:c r="F9" s="42" t="str">
        <x:v>전투 중 골드 사용</x:v>
      </x:c>
      <x:c r="G9" s="42" t="str">
        <x:v>현재 영웅 성급 유지</x:v>
      </x:c>
      <x:c r="H9" s="42" t="str">
        <x:v>성장 시스템 분리</x:v>
      </x:c>
    </x:row>
    <x:row r="10">
      <x:c r="A10" s="42" t="str">
        <x:v>TD 성급</x:v>
      </x:c>
      <x:c r="B10" s="42" t="str">
        <x:v>★2</x:v>
      </x:c>
      <x:c r="C10" s="42" t="str">
        <x:v>배치된 일반 캐릭터/구조물/영웅</x:v>
      </x:c>
      <x:c r="D10" s="42" t="str">
        <x:v>기본스탯 ×115%</x:v>
      </x:c>
      <x:c r="E10" s="42" t="str">
        <x:v>스킬 해금과 무관</x:v>
      </x:c>
      <x:c r="F10" s="42" t="str">
        <x:v>전투 중 골드 사용</x:v>
      </x:c>
      <x:c r="G10" s="42" t="str">
        <x:v>현재 영웅 성급 유지</x:v>
      </x:c>
      <x:c r="H10" s="42" t="str">
        <x:v>단기 전투 성장</x:v>
      </x:c>
      <x:c r="J10" s="307" t="str">
        <x:v>Normal11~20 성장 V2.0</x:v>
      </x:c>
      <x:c r="K10" s="307" t="str">
        <x:v>권장 후보</x:v>
      </x:c>
      <x:c r="L10" s="307" t="str">
        <x:v>적용</x:v>
      </x:c>
      <x:c r="M10" s="307" t="str">
        <x:v>설명</x:v>
      </x:c>
    </x:row>
    <x:row r="11">
      <x:c r="A11" s="42" t="str">
        <x:v>TD 성급</x:v>
      </x:c>
      <x:c r="B11" s="42" t="str">
        <x:v>★3</x:v>
      </x:c>
      <x:c r="C11" s="42" t="str">
        <x:v>배치된 일반 캐릭터/구조물/영웅</x:v>
      </x:c>
      <x:c r="D11" s="42" t="str">
        <x:v>기본스탯 ×132%</x:v>
      </x:c>
      <x:c r="E11" s="42" t="str">
        <x:v>스킬 해금과 무관</x:v>
      </x:c>
      <x:c r="F11" s="42" t="str">
        <x:v>전투 중 골드 사용</x:v>
      </x:c>
      <x:c r="G11" s="42" t="str">
        <x:v>현재 영웅 성급 유지</x:v>
      </x:c>
      <x:c r="H11" s="42" t="str">
        <x:v>중반 전투 성장</x:v>
      </x:c>
      <x:c r="J11" s="42" t="str">
        <x:v>한계돌파 I 비용</x:v>
      </x:c>
      <x:c r="K11" s="42" t="str">
        <x:v>성장재화 300 + 코어 I 1</x:v>
      </x:c>
      <x:c r="L11" s="42" t="str">
        <x:v>Lv20</x:v>
      </x:c>
      <x:c r="M11" s="42" t="str">
        <x:v>기본스탯 +6% / Skill2 해금</x:v>
      </x:c>
    </x:row>
    <x:row r="12">
      <x:c r="A12" s="42" t="str">
        <x:v>TD 성급</x:v>
      </x:c>
      <x:c r="B12" s="42" t="str">
        <x:v>★4</x:v>
      </x:c>
      <x:c r="C12" s="42" t="str">
        <x:v>배치된 일반 캐릭터/구조물/영웅</x:v>
      </x:c>
      <x:c r="D12" s="42" t="str">
        <x:v>기본스탯 ×152%</x:v>
      </x:c>
      <x:c r="E12" s="42" t="str">
        <x:v>스킬 해금과 무관</x:v>
      </x:c>
      <x:c r="F12" s="42" t="str">
        <x:v>전투 중 골드 사용</x:v>
      </x:c>
      <x:c r="G12" s="42" t="str">
        <x:v>현재 영웅 성급 유지</x:v>
      </x:c>
      <x:c r="H12" s="42" t="str">
        <x:v>후반 전투 성장</x:v>
      </x:c>
      <x:c r="J12" s="42" t="str">
        <x:v>코어 I 공급</x:v>
      </x:c>
      <x:c r="K12" s="42" t="str">
        <x:v>Stage10 3 / Stage15 +1 / Stage20 +1</x:v>
      </x:c>
      <x:c r="L12" s="42" t="str">
        <x:v>무과금 최초클리어</x:v>
      </x:c>
      <x:c r="M12" s="42" t="str">
        <x:v>핵심 3→4→5인 순차 확장</x:v>
      </x:c>
    </x:row>
    <x:row r="13">
      <x:c r="A13" s="42" t="str">
        <x:v>TD 성급</x:v>
      </x:c>
      <x:c r="B13" s="42" t="str">
        <x:v>★5</x:v>
      </x:c>
      <x:c r="C13" s="42" t="str">
        <x:v>배치된 일반 캐릭터/구조물/영웅</x:v>
      </x:c>
      <x:c r="D13" s="42" t="str">
        <x:v>기본스탯 ×175%</x:v>
      </x:c>
      <x:c r="E13" s="42" t="str">
        <x:v>스킬 해금과 무관</x:v>
      </x:c>
      <x:c r="F13" s="42" t="str">
        <x:v>전투 중 골드 사용</x:v>
      </x:c>
      <x:c r="G13" s="42" t="str">
        <x:v>현재 영웅 성급 유지</x:v>
      </x:c>
      <x:c r="H13" s="42" t="str">
        <x:v>최종 웨이브 준비</x:v>
      </x:c>
      <x:c r="J13" s="42" t="str">
        <x:v>Lv20~40 비용</x:v>
      </x:c>
      <x:c r="K13" s="42" t="str">
        <x:v>150 + 12×(현재Lv-20)</x:v>
      </x:c>
      <x:c r="L13" s="42" t="str">
        <x:v>일반/영웅</x:v>
      </x:c>
      <x:c r="M13" s="42" t="str">
        <x:v>중반 성장속도 제어</x:v>
      </x:c>
    </x:row>
    <x:row r="14">
      <x:c r="A14" s="42" t="str">
        <x:v>RPG 전환</x:v>
      </x:c>
      <x:c r="B14" s="42" t="str">
        <x:v>보스 TD HP 0</x:v>
      </x:c>
      <x:c r="C14" s="42" t="str">
        <x:v>스테이지 보스</x:v>
      </x:c>
      <x:c r="D14" s="42" t="str">
        <x:v>주저앉음→붉은 눈→포효→모든 구조물 파괴→성벽 돌진</x:v>
      </x:c>
      <x:c r="E14" s="42" t="str">
        <x:v>이벤트 멘트는 별도 작성</x:v>
      </x:c>
      <x:c r="F14" s="42" t="str">
        <x:v>TD 종료</x:v>
      </x:c>
      <x:c r="G14" s="42" t="str">
        <x:v>RPG 시작</x:v>
      </x:c>
      <x:c r="H14" s="42" t="str">
        <x:v>장르 전환을 명확히 연출</x:v>
      </x:c>
      <x:c r="J14" s="42" t="str">
        <x:v>Stage11~20 성장재화</x:v>
      </x:c>
      <x:c r="K14" s="42" t="str">
        <x:v>9,010</x:v>
      </x:c>
      <x:c r="L14" s="42" t="str">
        <x:v>최초클리어 누적</x:v>
      </x:c>
      <x:c r="M14" s="42" t="str">
        <x:v>일일보상 제외</x:v>
      </x:c>
    </x:row>
    <x:row r="15">
      <x:c r="A15" s="42" t="str">
        <x:v>RPG 자동전투</x:v>
      </x:c>
      <x:c r="B15" s="42" t="str">
        <x:v>기본</x:v>
      </x:c>
      <x:c r="C15" s="42" t="str">
        <x:v>TD에서 소환된 최대 5영웅</x:v>
      </x:c>
      <x:c r="D15" s="42" t="str">
        <x:v>기본공격 자동</x:v>
      </x:c>
      <x:c r="E15" s="42" t="str">
        <x:v>Skill1/2 수동 탭 가능</x:v>
      </x:c>
      <x:c r="F15" s="42" t="str">
        <x:v>-</x:v>
      </x:c>
      <x:c r="G15" s="42" t="str">
        <x:v>실시간 자동전투</x:v>
      </x:c>
      <x:c r="H15" s="42" t="str">
        <x:v>턴제 배제, 플레이시간 단축</x:v>
      </x:c>
      <x:c r="J15" s="42" t="str">
        <x:v>Stage15 예상</x:v>
      </x:c>
      <x:c r="K15" s="42" t="str">
        <x:v>핵심3~4 한계돌파 I 진행</x:v>
      </x:c>
      <x:c r="L15" s="42" t="str">
        <x:v>Normal 해륜 후반</x:v>
      </x:c>
      <x:c r="M15" s="42" t="str">
        <x:v>무과금 안정화 구간</x:v>
      </x:c>
    </x:row>
    <x:row r="16">
      <x:c r="A16" s="42" t="str">
        <x:v>RPG AUTO</x:v>
      </x:c>
      <x:c r="B16" s="42" t="str">
        <x:v>AUTO ON</x:v>
      </x:c>
      <x:c r="C16" s="42" t="str">
        <x:v>영웅 최대 5명</x:v>
      </x:c>
      <x:c r="D16" s="42" t="str">
        <x:v>AI가 기본공격/스킬 자동 사용</x:v>
      </x:c>
      <x:c r="E16" s="42" t="str">
        <x:v>Skill1/2 자동, Skill3 자동</x:v>
      </x:c>
      <x:c r="F16" s="42" t="str">
        <x:v>-</x:v>
      </x:c>
      <x:c r="G16" s="42" t="str">
        <x:v>자동 스킬 사용</x:v>
      </x:c>
      <x:c r="H16" s="42" t="str">
        <x:v>양산형 RPG식 접근성</x:v>
      </x:c>
      <x:c r="J16" s="42" t="str">
        <x:v>Stage20 예상</x:v>
      </x:c>
      <x:c r="K16" s="42" t="str">
        <x:v>핵심3 Lv31 / 핵심4 Lv27 / 핵심5 Lv25 전후</x:v>
      </x:c>
      <x:c r="L16" s="42" t="str">
        <x:v>Normal 20</x:v>
      </x:c>
      <x:c r="M16" s="42" t="str">
        <x:v>다음 구간 성장 여지 유지</x:v>
      </x:c>
    </x:row>
    <x:row r="17">
      <x:c r="A17" s="42" t="str">
        <x:v>필살기</x:v>
      </x:c>
      <x:c r="B17" s="42" t="str">
        <x:v>Skill3</x:v>
      </x:c>
      <x:c r="C17" s="42" t="str">
        <x:v>모든 영웅</x:v>
      </x:c>
      <x:c r="D17" s="42" t="str">
        <x:v>캐릭터별 핵심 고위력/전역효과</x:v>
      </x:c>
      <x:c r="E17" s="42" t="str">
        <x:v>필살기만 컷신 사용</x:v>
      </x:c>
      <x:c r="F17" s="42" t="str">
        <x:v>TD에서도 발동 가능</x:v>
      </x:c>
      <x:c r="G17" s="42" t="str">
        <x:v>RPG에서도 발동 가능</x:v>
      </x:c>
      <x:c r="H17" s="42" t="str">
        <x:v>연출 집중</x:v>
      </x:c>
      <x:c r="J17" s="42" t="str">
        <x:v>판정</x:v>
      </x:c>
      <x:c r="K17" s="42" t="str">
        <x:v>확정 후보</x:v>
      </x:c>
      <x:c r="L17" s="42" t="str">
        <x:v>-</x:v>
      </x:c>
      <x:c r="M17" s="42" t="str">
        <x:v>엔진 전투 테스트 후 미세조정</x:v>
      </x:c>
    </x:row>
    <x:row r="18">
      <x:c r="A18" s="42" t="str">
        <x:v>일반 스킬</x:v>
      </x:c>
      <x:c r="B18" s="42" t="str">
        <x:v>Skill1/2</x:v>
      </x:c>
      <x:c r="C18" s="42" t="str">
        <x:v>모든 영웅</x:v>
      </x:c>
      <x:c r="D18" s="42" t="str">
        <x:v>즉시 전투효과</x:v>
      </x:c>
      <x:c r="E18" s="42" t="str">
        <x:v>컷신 없음, 캐릭터 강조 표시</x:v>
      </x:c>
      <x:c r="F18" s="42" t="str">
        <x:v>사용</x:v>
      </x:c>
      <x:c r="G18" s="42" t="str">
        <x:v>사용</x:v>
      </x:c>
      <x:c r="H18" s="42" t="str">
        <x:v>전투 흐름 유지</x:v>
      </x:c>
    </x:row>
    <x:row r="19">
      <x:c r="A19" s="42" t="str">
        <x:v>전투 속도</x:v>
      </x:c>
      <x:c r="B19" s="42" t="str">
        <x:v>1x / 2x / 3x</x:v>
      </x:c>
      <x:c r="C19" s="42" t="str">
        <x:v>TD / RPG</x:v>
      </x:c>
      <x:c r="D19" s="42" t="str">
        <x:v>게임 속도 배율</x:v>
      </x:c>
      <x:c r="E19" s="42" t="str">
        <x:v>UI에서 변경</x:v>
      </x:c>
      <x:c r="F19" s="42" t="str">
        <x:v>지원</x:v>
      </x:c>
      <x:c r="G19" s="42" t="str">
        <x:v>지원</x:v>
      </x:c>
      <x:c r="H19" s="42" t="str">
        <x:v>반복플레이 시간 절약</x:v>
      </x:c>
      <x:c r="J19" s="337" t="str">
        <x:v>Normal21~30 성장 V2.1</x:v>
      </x:c>
      <x:c r="K19" s="337" t="str">
        <x:v>권장 후보</x:v>
      </x:c>
      <x:c r="L19" s="337" t="str">
        <x:v>적용</x:v>
      </x:c>
      <x:c r="M19" s="337" t="str">
        <x:v>설명</x:v>
      </x:c>
    </x:row>
    <x:row r="20">
      <x:c r="A20" s="42" t="str">
        <x:v>RPG 스펙</x:v>
      </x:c>
      <x:c r="B20" s="42" t="str">
        <x:v>전환 시점</x:v>
      </x:c>
      <x:c r="C20" s="42" t="str">
        <x:v>소환된 영웅</x:v>
      </x:c>
      <x:c r="D20" s="42" t="str">
        <x:v>로비 성장 스탯 × 현재 TD 성급 배율</x:v>
      </x:c>
      <x:c r="E20" s="42" t="str">
        <x:v>구조물/일반 캐릭터 효과 미적용</x:v>
      </x:c>
      <x:c r="F20" s="42" t="str">
        <x:v>영웅 상태만 이월</x:v>
      </x:c>
      <x:c r="G20" s="42" t="str">
        <x:v>오로지 영웅 스펙으로 전투</x:v>
      </x:c>
      <x:c r="H20" s="42" t="str">
        <x:v>RPG 전투 정체성 명확화</x:v>
      </x:c>
      <x:c r="J20" s="42" t="str">
        <x:v>무료 일일 성장재화</x:v>
      </x:c>
      <x:c r="K20" s="42" t="str">
        <x:v>2,000/일</x:v>
      </x:c>
      <x:c r="L20" s="42" t="str">
        <x:v>막힘 시</x:v>
      </x:c>
      <x:c r="M20" s="42" t="str">
        <x:v>Stage20 이후 무료 루틴 합산</x:v>
      </x:c>
    </x:row>
    <x:row r="21">
      <x:c r="J21" s="42" t="str">
        <x:v>한계돌파 II</x:v>
      </x:c>
      <x:c r="K21" s="42" t="str">
        <x:v>700 + 코어 II 1</x:v>
      </x:c>
      <x:c r="L21" s="42" t="str">
        <x:v>Lv40</x:v>
      </x:c>
      <x:c r="M21" s="42" t="str">
        <x:v>기본스탯 +6% / 이벤트신1 해금</x:v>
      </x:c>
    </x:row>
    <x:row r="22">
      <x:c r="A22" s="69" t="str">
        <x:v>레벨 디자인 목표</x:v>
      </x:c>
      <x:c r="B22" s="69"/>
      <x:c r="C22" s="69"/>
      <x:c r="D22" s="69"/>
      <x:c r="E22" s="69"/>
      <x:c r="F22" s="69"/>
      <x:c r="G22" s="69"/>
      <x:c r="H22" s="69"/>
      <x:c r="J22" s="42" t="str">
        <x:v>코어 II</x:v>
      </x:c>
      <x:c r="K22" s="42" t="str">
        <x:v>Stage20 3 / Stage25 +1 / Stage30 +1</x:v>
      </x:c>
      <x:c r="L22" s="42" t="str">
        <x:v>무과금</x:v>
      </x:c>
      <x:c r="M22" s="42" t="str">
        <x:v>주력 3→4→5명 확장</x:v>
      </x:c>
    </x:row>
    <x:row r="23">
      <x:c r="A23" s="42" t="str">
        <x:v>NORMAL</x:v>
      </x:c>
      <x:c r="B23" s="42" t="str">
        <x:v>1~10</x:v>
      </x:c>
      <x:c r="C23" s="42" t="str">
        <x:v>평균 Lv1~20</x:v>
      </x:c>
      <x:c r="D23" s="42" t="str">
        <x:v>한계돌파 0~I</x:v>
      </x:c>
      <x:c r="E23" s="42" t="str">
        <x:v>무과금 자연 진행</x:v>
      </x:c>
      <x:c r="F23" s="42" t="str">
        <x:v>결제 시 성장 시간 단축</x:v>
      </x:c>
      <x:c r="G23" s="42" t="str">
        <x:v>실패 0~1회 수준</x:v>
      </x:c>
      <x:c r="H23" s="42" t="str">
        <x:v>성급한 유저만 결제 욕구</x:v>
      </x:c>
      <x:c r="J23" s="42" t="str">
        <x:v>Lv40~60 비용</x:v>
      </x:c>
      <x:c r="K23" s="42" t="str">
        <x:v>420 + 20×(현재Lv-40)</x:v>
      </x:c>
      <x:c r="L23" s="42" t="str">
        <x:v>일반/영웅</x:v>
      </x:c>
      <x:c r="M23" s="42" t="str">
        <x:v>Normal 후반 성장속도 제어</x:v>
      </x:c>
    </x:row>
    <x:row r="24">
      <x:c r="A24" s="42" t="str">
        <x:v>NORMAL</x:v>
      </x:c>
      <x:c r="B24" s="42" t="str">
        <x:v>11~20</x:v>
      </x:c>
      <x:c r="C24" s="42" t="str">
        <x:v>평균 Lv20~40</x:v>
      </x:c>
      <x:c r="D24" s="42" t="str">
        <x:v>한계돌파 I</x:v>
      </x:c>
      <x:c r="E24" s="42" t="str">
        <x:v>일일 보상 병행</x:v>
      </x:c>
      <x:c r="F24" s="42" t="str">
        <x:v>재료/골드 가속</x:v>
      </x:c>
      <x:c r="G24" s="42" t="str">
        <x:v>전략 이해가 중요</x:v>
      </x:c>
      <x:c r="H24" s="42" t="str">
        <x:v>꾸준히 하면 막힘 최소</x:v>
      </x:c>
      <x:c r="J24" s="42" t="str">
        <x:v>Stage20→21</x:v>
      </x:c>
      <x:c r="K24" s="42" t="str">
        <x:v>약 5일</x:v>
      </x:c>
      <x:c r="L24" s="42" t="str">
        <x:v>Normal21 진입</x:v>
      </x:c>
      <x:c r="M24" s="42" t="str">
        <x:v>핵심3 Lv40권</x:v>
      </x:c>
    </x:row>
    <x:row r="25">
      <x:c r="A25" s="42" t="str">
        <x:v>NORMAL</x:v>
      </x:c>
      <x:c r="B25" s="42" t="str">
        <x:v>21~30</x:v>
      </x:c>
      <x:c r="C25" s="42" t="str">
        <x:v>평균 Lv40~60</x:v>
      </x:c>
      <x:c r="D25" s="42" t="str">
        <x:v>한계돌파 II</x:v>
      </x:c>
      <x:c r="E25" s="42" t="str">
        <x:v>반복 파밍 1~3회 허용</x:v>
      </x:c>
      <x:c r="F25" s="42" t="str">
        <x:v>영웅 선택폭 확대</x:v>
      </x:c>
      <x:c r="G25" s="42" t="str">
        <x:v>정예/4방향 대응</x:v>
      </x:c>
      <x:c r="H25" s="42" t="str">
        <x:v>무과금 완주 가능</x:v>
      </x:c>
      <x:c r="J25" s="42" t="str">
        <x:v>Stage25→26</x:v>
      </x:c>
      <x:c r="K25" s="42" t="str">
        <x:v>추가 약 5일</x:v>
      </x:c>
      <x:c r="L25" s="42" t="str">
        <x:v>상드라크 진입</x:v>
      </x:c>
      <x:c r="M25" s="42" t="str">
        <x:v>이전 대기재화 누적 포함</x:v>
      </x:c>
    </x:row>
    <x:row r="26">
      <x:c r="A26" s="42" t="str">
        <x:v>HARD</x:v>
      </x:c>
      <x:c r="B26" s="42" t="str">
        <x:v>31~36</x:v>
      </x:c>
      <x:c r="C26" s="42" t="str">
        <x:v>평균 Lv60~70</x:v>
      </x:c>
      <x:c r="D26" s="42" t="str">
        <x:v>한계돌파 III</x:v>
      </x:c>
      <x:c r="E26" s="42" t="str">
        <x:v>주요 성장벽당 약 1주 무료 성장 후 전진</x:v>
      </x:c>
      <x:c r="F26" s="42" t="str">
        <x:v>즉시 전투력 상승 체감</x:v>
      </x:c>
      <x:c r="G26" s="42" t="str">
        <x:v>첫 명확한 성장벽</x:v>
      </x:c>
      <x:c r="H26" s="42" t="str">
        <x:v>현질이 매우 편해 보이는 구간</x:v>
      </x:c>
      <x:c r="J26" s="42" t="str">
        <x:v>Stage29→30</x:v>
      </x:c>
      <x:c r="K26" s="42" t="str">
        <x:v>추가 약 5일</x:v>
      </x:c>
      <x:c r="L26" s="42" t="str">
        <x:v>Normal 최종</x:v>
      </x:c>
      <x:c r="M26" s="42" t="str">
        <x:v>안정 목표 Lv58</x:v>
      </x:c>
    </x:row>
    <x:row r="27">
      <x:c r="A27" s="719" t="str">
        <x:v>영웅 슬롯</x:v>
      </x:c>
      <x:c r="B27" s="719" t="str">
        <x:v>스테이지당 최대5</x:v>
      </x:c>
      <x:c r="C27" s="719" t="str">
        <x:v>전설/신화</x:v>
      </x:c>
      <x:c r="D27" s="719" t="str">
        <x:v>영웅 파티슬롯 최대5</x:v>
      </x:c>
      <x:c r="E27" s="719" t="str">
        <x:v>6번째 신규영웅 금지</x:v>
      </x:c>
      <x:c r="F27" s="719" t="str">
        <x:v>TD 최대5</x:v>
      </x:c>
      <x:c r="G27" s="719" t="str">
        <x:v>RPG 동일5</x:v>
      </x:c>
      <x:c r="H27" s="719" t="str">
        <x:v>TD 선택=RPG 파티</x:v>
      </x:c>
      <x:c r="J27" s="42" t="str">
        <x:v>판정</x:v>
      </x:c>
      <x:c r="K27" s="42" t="str">
        <x:v>확정 후보</x:v>
      </x:c>
      <x:c r="L27" s="42" t="str">
        <x:v>-</x:v>
      </x:c>
      <x:c r="M27" s="42" t="str">
        <x:v>주요 벽 3곳 사이에는 연속 진행 구간 배치</x:v>
      </x:c>
    </x:row>
    <x:row r="28">
      <x:c r="A28" s="42" t="str">
        <x:v>전설 소환</x:v>
      </x:c>
      <x:c r="B28" s="42" t="str">
        <x:v>빈 슬롯 필요</x:v>
      </x:c>
      <x:c r="C28" s="42" t="str">
        <x:v>전설</x:v>
      </x:c>
      <x:c r="D28" s="42" t="str">
        <x:v>빈 슬롯 1개 점유</x:v>
      </x:c>
      <x:c r="E28" s="42" t="str">
        <x:v>직접 해제 불가</x:v>
      </x:c>
      <x:c r="F28" s="42" t="str">
        <x:v>허용</x:v>
      </x:c>
      <x:c r="G28" s="42" t="str">
        <x:v>동일 슬롯 참가</x:v>
      </x:c>
      <x:c r="H28" s="42" t="str">
        <x:v>파티 확정</x:v>
      </x:c>
    </x:row>
    <x:row r="29">
      <x:c r="A29" s="42" t="str">
        <x:v>신화 전환</x:v>
      </x:c>
      <x:c r="B29" s="42" t="str">
        <x:v>재료전설 보유</x:v>
      </x:c>
      <x:c r="C29" s="42" t="str">
        <x:v>신화</x:v>
      </x:c>
      <x:c r="D29" s="42" t="str">
        <x:v>재료전설 슬롯 계승 / ★1 재시작</x:v>
      </x:c>
      <x:c r="E29" s="42" t="str">
        <x:v>상급재료 소모</x:v>
      </x:c>
      <x:c r="F29" s="42" t="str">
        <x:v>슬롯5/5도 가능</x:v>
      </x:c>
      <x:c r="G29" s="42" t="str">
        <x:v>신화로 교체</x:v>
      </x:c>
      <x:c r="H29" s="42" t="str">
        <x:v>추가소환 아님</x:v>
      </x:c>
      <x:c r="J29" s="249" t="str">
        <x:v>HARD31~36 성장 V3.3</x:v>
      </x:c>
      <x:c r="K29" s="249" t="str">
        <x:v>권장 후보</x:v>
      </x:c>
      <x:c r="L29" s="249" t="str">
        <x:v>적용</x:v>
      </x:c>
      <x:c r="M29" s="249" t="str">
        <x:v>설명</x:v>
      </x:c>
    </x:row>
    <x:row r="30">
      <x:c r="A30" s="42" t="str">
        <x:v>신화 위치</x:v>
      </x:c>
      <x:c r="B30" s="42" t="str">
        <x:v>조합 시</x:v>
      </x:c>
      <x:c r="C30" s="42" t="str">
        <x:v>신화</x:v>
      </x:c>
      <x:c r="D30" s="42" t="str">
        <x:v>소모 재료 타일 중 배치 선택</x:v>
      </x:c>
      <x:c r="E30" s="42" t="str">
        <x:v>슬롯ID는 전설 계승</x:v>
      </x:c>
      <x:c r="F30" s="42" t="str">
        <x:v>위치변경 가능</x:v>
      </x:c>
      <x:c r="G30" s="42" t="str">
        <x:v>파티슬롯 고정</x:v>
      </x:c>
      <x:c r="H30" s="42" t="str">
        <x:v>공간/파티 분리</x:v>
      </x:c>
      <x:c r="J30" s="42" t="str">
        <x:v>Hard 무료 일일재화</x:v>
      </x:c>
      <x:c r="K30" s="42" t="str">
        <x:v>3,000/일</x:v>
      </x:c>
      <x:c r="L30" s="42" t="str">
        <x:v>Hard 막힘 시</x:v>
      </x:c>
      <x:c r="M30" s="42" t="str">
        <x:v>상위 무료 콘텐츠 포함</x:v>
      </x:c>
    </x:row>
    <x:row r="31">
      <x:c r="A31" s="42" t="str">
        <x:v>영웅 판매</x:v>
      </x:c>
      <x:c r="B31" s="42" t="str">
        <x:v>W1~W9</x:v>
      </x:c>
      <x:c r="C31" s="42" t="str">
        <x:v>전설</x:v>
      </x:c>
      <x:c r="D31" s="42" t="str">
        <x:v>V3.9 판매가의 70%</x:v>
      </x:c>
      <x:c r="E31" s="42" t="str">
        <x:v>재료 미복구</x:v>
      </x:c>
      <x:c r="F31" s="42" t="str">
        <x:v>허용</x:v>
      </x:c>
      <x:c r="G31" s="42" t="str">
        <x:v>판매 즉시 슬롯 비움</x:v>
      </x:c>
      <x:c r="H31" s="42" t="str">
        <x:v>전설 교체 비용 증가</x:v>
      </x:c>
      <x:c r="J31" s="42" t="str">
        <x:v>한계돌파 III</x:v>
      </x:c>
      <x:c r="K31" s="42" t="str">
        <x:v>1,500 + 코어 III 1</x:v>
      </x:c>
      <x:c r="L31" s="42" t="str">
        <x:v>Lv60</x:v>
      </x:c>
      <x:c r="M31" s="42" t="str">
        <x:v>기본스탯 +6% / Skill3 필살기 해금</x:v>
      </x:c>
    </x:row>
    <x:row r="32">
      <x:c r="A32" s="42" t="str">
        <x:v>신화 판매</x:v>
      </x:c>
      <x:c r="B32" s="42" t="str">
        <x:v>항상</x:v>
      </x:c>
      <x:c r="C32" s="42" t="str">
        <x:v>신화</x:v>
      </x:c>
      <x:c r="D32" s="42" t="str">
        <x:v>판매 불가 / 0G</x:v>
      </x:c>
      <x:c r="E32" s="42" t="str">
        <x:v>비가역</x:v>
      </x:c>
      <x:c r="F32" s="42" t="str">
        <x:v>차단</x:v>
      </x:c>
      <x:c r="G32" s="42" t="str">
        <x:v>슬롯 유지</x:v>
      </x:c>
      <x:c r="H32" s="42" t="str">
        <x:v>최종 선택</x:v>
      </x:c>
      <x:c r="J32" s="42" t="str">
        <x:v>코어 III</x:v>
      </x:c>
      <x:c r="K32" s="42" t="str">
        <x:v>Stage30 3 / Stage33 +1 / Stage36 +1</x:v>
      </x:c>
      <x:c r="L32" s="42" t="str">
        <x:v>무과금</x:v>
      </x:c>
      <x:c r="M32" s="42" t="str">
        <x:v>주력3→4→5 확장</x:v>
      </x:c>
    </x:row>
    <x:row r="33">
      <x:c r="A33" s="42" t="str">
        <x:v>일반 판매</x:v>
      </x:c>
      <x:c r="B33" s="42" t="str">
        <x:v>W1~W9</x:v>
      </x:c>
      <x:c r="C33" s="42" t="str">
        <x:v>일반 캐릭터</x:v>
      </x:c>
      <x:c r="D33" s="42" t="str">
        <x:v>V3.9 판매가의 70%</x:v>
      </x:c>
      <x:c r="E33" s="42" t="str">
        <x:v>전문화 미복구</x:v>
      </x:c>
      <x:c r="F33" s="42" t="str">
        <x:v>허용</x:v>
      </x:c>
      <x:c r="G33" s="42" t="str">
        <x:v>타일 비움</x:v>
      </x:c>
      <x:c r="H33" s="42" t="str">
        <x:v>배치 수정</x:v>
      </x:c>
      <x:c r="J33" s="42" t="str">
        <x:v>Lv60~80 비용</x:v>
      </x:c>
      <x:c r="K33" s="42" t="str">
        <x:v>900 + 35×(현재Lv-60)</x:v>
      </x:c>
      <x:c r="L33" s="42" t="str">
        <x:v>일반/영웅</x:v>
      </x:c>
      <x:c r="M33" s="42" t="str">
        <x:v>Hard 성장속도 제어</x:v>
      </x:c>
    </x:row>
    <x:row r="34">
      <x:c r="A34" s="42" t="str">
        <x:v>구조물 판매</x:v>
      </x:c>
      <x:c r="B34" s="42" t="str">
        <x:v>W1~W9</x:v>
      </x:c>
      <x:c r="C34" s="42" t="str">
        <x:v>구조물</x:v>
      </x:c>
      <x:c r="D34" s="42" t="str">
        <x:v>V3.9 판매가의 70%</x:v>
      </x:c>
      <x:c r="E34" s="42" t="str">
        <x:v>전문화 미복구</x:v>
      </x:c>
      <x:c r="F34" s="42" t="str">
        <x:v>허용</x:v>
      </x:c>
      <x:c r="G34" s="42" t="str">
        <x:v>타일 비움</x:v>
      </x:c>
      <x:c r="H34" s="42" t="str">
        <x:v>일반 캐릭터와 동일</x:v>
      </x:c>
      <x:c r="J34" s="42" t="str">
        <x:v>Stage30→31</x:v>
      </x:c>
      <x:c r="K34" s="42" t="str">
        <x:v>장기 대기 없음</x:v>
      </x:c>
      <x:c r="L34" s="42" t="str">
        <x:v>Hard 진입</x:v>
      </x:c>
      <x:c r="M34" s="42" t="str">
        <x:v>Normal30을 넉넉하게 깬 유저는 Stage31~33 타이트 진행</x:v>
      </x:c>
    </x:row>
    <x:row r="35">
      <x:c r="A35" s="42" t="str">
        <x:v>판매 잠금</x:v>
      </x:c>
      <x:c r="B35" s="42" t="str">
        <x:v>W10 보스 시작</x:v>
      </x:c>
      <x:c r="C35" s="42" t="str">
        <x:v>일반/구조물/전설</x:v>
      </x:c>
      <x:c r="D35" s="42" t="str">
        <x:v>판매 버튼 비활성</x:v>
      </x:c>
      <x:c r="E35" s="42" t="str">
        <x:v>RPG 직전 스왑 방지</x:v>
      </x:c>
      <x:c r="F35" s="42" t="str">
        <x:v>차단</x:v>
      </x:c>
      <x:c r="G35" s="42" t="str">
        <x:v>현재 슬롯/배치 잠금</x:v>
      </x:c>
      <x:c r="H35" s="42" t="str">
        <x:v>통합전투 보호</x:v>
      </x:c>
      <x:c r="J35" s="42" t="str">
        <x:v>Stage33→34</x:v>
      </x:c>
      <x:c r="K35" s="42" t="str">
        <x:v>약 7일</x:v>
      </x:c>
      <x:c r="L35" s="42" t="str">
        <x:v>북부 진입</x:v>
      </x:c>
      <x:c r="M35" s="42" t="str">
        <x:v>Hard 첫 본격 장기 성장벽</x:v>
      </x:c>
    </x:row>
    <x:row r="36">
      <x:c r="A36" s="42" t="str">
        <x:v>TD→RPG</x:v>
      </x:c>
      <x:c r="B36" s="42" t="str">
        <x:v>W10 HP0</x:v>
      </x:c>
      <x:c r="C36" s="42" t="str">
        <x:v>현재 슬롯0~5</x:v>
      </x:c>
      <x:c r="D36" s="42" t="str">
        <x:v>슬롯 잠금</x:v>
      </x:c>
      <x:c r="E36" s="42" t="str">
        <x:v>재편성 없음</x:v>
      </x:c>
      <x:c r="F36" s="42" t="str">
        <x:v>TD 종료</x:v>
      </x:c>
      <x:c r="G36" s="42" t="str">
        <x:v>동일0~5명 즉시출전</x:v>
      </x:c>
      <x:c r="H36" s="42" t="str">
        <x:v>통합 전투</x:v>
      </x:c>
      <x:c r="J36" s="42" t="str">
        <x:v>Stage35→36</x:v>
      </x:c>
      <x:c r="K36" s="42" t="str">
        <x:v>2~4일</x:v>
      </x:c>
      <x:c r="L36" s="42" t="str">
        <x:v>지역 보스</x:v>
      </x:c>
      <x:c r="M36" s="42" t="str">
        <x:v>핵심4 Lv68권</x:v>
      </x:c>
    </x:row>
    <x:row r="37">
      <x:c r="J37" s="42" t="str">
        <x:v>판정</x:v>
      </x:c>
      <x:c r="K37" s="42" t="str">
        <x:v>확정 후보</x:v>
      </x:c>
      <x:c r="L37" s="42" t="str">
        <x:v>-</x:v>
      </x:c>
      <x:c r="M37" s="42" t="str">
        <x:v>31~33 연속 진행 / 34에서 첫 1주 벽</x:v>
      </x:c>
    </x:row>
    <x:row r="38">
      <x:c r="A38" s="792" t="str">
        <x:v>RPG 실전규칙 V4.2</x:v>
      </x:c>
      <x:c r="B38" s="792" t="str">
        <x:v>파티</x:v>
      </x:c>
      <x:c r="C38" s="792" t="str">
        <x:v>TD 영웅슬롯 동일0~5</x:v>
      </x:c>
      <x:c r="D38" s="792" t="str">
        <x:v>편성변경 없음</x:v>
      </x:c>
      <x:c r="E38" s="792" t="str">
        <x:v>-</x:v>
      </x:c>
      <x:c r="F38" s="792" t="str">
        <x:v>RPG</x:v>
      </x:c>
      <x:c r="G38" s="792" t="str">
        <x:v>확정</x:v>
      </x:c>
      <x:c r="H38" s="792" t="str">
        <x:v>TD 선택 책임</x:v>
      </x:c>
    </x:row>
    <x:row r="39">
      <x:c r="A39" s="42" t="str">
        <x:v>RPG 대형</x:v>
      </x:c>
      <x:c r="B39" s="42" t="str">
        <x:v>전열2/후열3</x:v>
      </x:c>
      <x:c r="C39" s="42" t="str">
        <x:v>시각전용</x:v>
      </x:c>
      <x:c r="D39" s="42" t="str">
        <x:v>스탯보정 없음</x:v>
      </x:c>
      <x:c r="E39" s="42" t="str">
        <x:v>자동</x:v>
      </x:c>
      <x:c r="F39" s="42" t="str">
        <x:v>RPG</x:v>
      </x:c>
      <x:c r="G39" s="42" t="str">
        <x:v>확정</x:v>
      </x:c>
      <x:c r="H39" s="42" t="str">
        <x:v>구현 단순화</x:v>
      </x:c>
      <x:c r="J39" s="400" t="str">
        <x:v>HARD37~45 성장 V2.4</x:v>
      </x:c>
      <x:c r="K39" s="400" t="str">
        <x:v>권장 후보</x:v>
      </x:c>
      <x:c r="L39" s="400" t="str">
        <x:v>적용</x:v>
      </x:c>
      <x:c r="M39" s="400" t="str">
        <x:v>설명</x:v>
      </x:c>
    </x:row>
    <x:row r="40">
      <x:c r="A40" s="42" t="str">
        <x:v>기본공격</x:v>
      </x:c>
      <x:c r="B40" s="42" t="str">
        <x:v>AUTO</x:v>
      </x:c>
      <x:c r="C40" s="42" t="str">
        <x:v>APS 기반</x:v>
      </x:c>
      <x:c r="D40" s="42" t="str">
        <x:v>보스 단일</x:v>
      </x:c>
      <x:c r="E40" s="42" t="str">
        <x:v>자동</x:v>
      </x:c>
      <x:c r="F40" s="42" t="str">
        <x:v>RPG</x:v>
      </x:c>
      <x:c r="G40" s="42" t="str">
        <x:v>확정</x:v>
      </x:c>
      <x:c r="H40" s="42" t="str">
        <x:v>기본 루프</x:v>
      </x:c>
      <x:c r="J40" s="42" t="str">
        <x:v>중후반 무료 일일재화</x:v>
      </x:c>
      <x:c r="K40" s="42" t="str">
        <x:v>4,500/일</x:v>
      </x:c>
      <x:c r="L40" s="42" t="str">
        <x:v>Stage37 이후</x:v>
      </x:c>
      <x:c r="M40" s="42" t="str">
        <x:v>상위 무료 루틴 합산</x:v>
      </x:c>
    </x:row>
    <x:row r="41">
      <x:c r="A41" s="42" t="str">
        <x:v>Skill1/2</x:v>
      </x:c>
      <x:c r="B41" s="42" t="str">
        <x:v>쿨다운</x:v>
      </x:c>
      <x:c r="C41" s="42" t="str">
        <x:v>AUTO/수동</x:v>
      </x:c>
      <x:c r="D41" s="42" t="str">
        <x:v>기존 CD</x:v>
      </x:c>
      <x:c r="E41" s="42" t="str">
        <x:v>자동 우선</x:v>
      </x:c>
      <x:c r="F41" s="42" t="str">
        <x:v>RPG</x:v>
      </x:c>
      <x:c r="G41" s="42" t="str">
        <x:v>확정</x:v>
      </x:c>
      <x:c r="H41" s="42" t="str">
        <x:v>기존 스탯 사용</x:v>
      </x:c>
      <x:c r="J41" s="42" t="str">
        <x:v>한계돌파 IV</x:v>
      </x:c>
      <x:c r="K41" s="42" t="str">
        <x:v>3,000 + 코어 IV 1</x:v>
      </x:c>
      <x:c r="L41" s="42" t="str">
        <x:v>Lv80</x:v>
      </x:c>
      <x:c r="M41" s="42" t="str">
        <x:v>기본스탯 +6% / 이벤트신2 해금</x:v>
      </x:c>
    </x:row>
    <x:row r="42">
      <x:c r="A42" s="42" t="str">
        <x:v>Skill3</x:v>
      </x:c>
      <x:c r="B42" s="42" t="str">
        <x:v>100게이지</x:v>
      </x:c>
      <x:c r="C42" s="42" t="str">
        <x:v>공격+8/피격+5</x:v>
      </x:c>
      <x:c r="D42" s="42" t="str">
        <x:v>짧은 컷신</x:v>
      </x:c>
      <x:c r="E42" s="42" t="str">
        <x:v>AUTO/수동</x:v>
      </x:c>
      <x:c r="F42" s="42" t="str">
        <x:v>RPG</x:v>
      </x:c>
      <x:c r="G42" s="42" t="str">
        <x:v>확정</x:v>
      </x:c>
      <x:c r="H42" s="42" t="str">
        <x:v>필살기 개입</x:v>
      </x:c>
      <x:c r="J42" s="42" t="str">
        <x:v>코어 IV</x:v>
      </x:c>
      <x:c r="K42" s="42" t="str">
        <x:v>Stage36 3 / Stage39 +1 / Stage42 +1</x:v>
      </x:c>
      <x:c r="L42" s="42" t="str">
        <x:v>무과금</x:v>
      </x:c>
      <x:c r="M42" s="42" t="str">
        <x:v>주력 3→4→5명 확장</x:v>
      </x:c>
    </x:row>
    <x:row r="43">
      <x:c r="A43" s="42" t="str">
        <x:v>사망</x:v>
      </x:c>
      <x:c r="B43" s="42" t="str">
        <x:v>HP0</x:v>
      </x:c>
      <x:c r="C43" s="42" t="str">
        <x:v>부활 없음</x:v>
      </x:c>
      <x:c r="D43" s="42" t="str">
        <x:v>즉시 전투불능</x:v>
      </x:c>
      <x:c r="E43" s="42" t="str">
        <x:v>-</x:v>
      </x:c>
      <x:c r="F43" s="42" t="str">
        <x:v>RPG</x:v>
      </x:c>
      <x:c r="G43" s="42" t="str">
        <x:v>확정</x:v>
      </x:c>
      <x:c r="H43" s="42" t="str">
        <x:v>파티 구성 책임</x:v>
      </x:c>
      <x:c r="J43" s="42" t="str">
        <x:v>Lv80~100 비용</x:v>
      </x:c>
      <x:c r="K43" s="42" t="str">
        <x:v>1,700 + 60×(현재Lv-80)</x:v>
      </x:c>
      <x:c r="L43" s="42" t="str">
        <x:v>일반/영웅</x:v>
      </x:c>
      <x:c r="M43" s="42" t="str">
        <x:v>Hard 후반 장기성장</x:v>
      </x:c>
    </x:row>
    <x:row r="44">
      <x:c r="A44" s="42" t="str">
        <x:v>보스 CC저항</x:v>
      </x:c>
      <x:c r="B44" s="42" t="str">
        <x:v>일반35%/최종20%</x:v>
      </x:c>
      <x:c r="C44" s="42" t="str">
        <x:v>지속시간 감소</x:v>
      </x:c>
      <x:c r="D44" s="42" t="str">
        <x:v>완전면역 아님</x:v>
      </x:c>
      <x:c r="E44" s="42" t="str">
        <x:v>-</x:v>
      </x:c>
      <x:c r="F44" s="42" t="str">
        <x:v>RPG</x:v>
      </x:c>
      <x:c r="G44" s="42" t="str">
        <x:v>확정</x:v>
      </x:c>
      <x:c r="H44" s="42" t="str">
        <x:v>제어 가치 유지</x:v>
      </x:c>
      <x:c r="J44" s="42" t="str">
        <x:v>Stage36→37</x:v>
      </x:c>
      <x:c r="K44" s="42" t="str">
        <x:v>약 9일</x:v>
      </x:c>
      <x:c r="L44" s="42" t="str">
        <x:v>아자르 진입</x:v>
      </x:c>
      <x:c r="M44" s="42" t="str">
        <x:v>5인 Lv70권</x:v>
      </x:c>
    </x:row>
    <x:row r="45">
      <x:c r="A45" s="42" t="str">
        <x:v>디버프 상한</x:v>
      </x:c>
      <x:c r="B45" s="42" t="str">
        <x:v>둔화30/방깎30/받피25%</x:v>
      </x:c>
      <x:c r="C45" s="42" t="str">
        <x:v>중첩 cap</x:v>
      </x:c>
      <x:c r="D45" s="42" t="str">
        <x:v>-</x:v>
      </x:c>
      <x:c r="E45" s="42" t="str">
        <x:v>-</x:v>
      </x:c>
      <x:c r="F45" s="42" t="str">
        <x:v>RPG</x:v>
      </x:c>
      <x:c r="G45" s="42" t="str">
        <x:v>확정</x:v>
      </x:c>
      <x:c r="H45" s="42" t="str">
        <x:v>시너지 폭주 방지</x:v>
      </x:c>
      <x:c r="J45" s="42" t="str">
        <x:v>Stage39→40</x:v>
      </x:c>
      <x:c r="K45" s="42" t="str">
        <x:v>약 9일</x:v>
      </x:c>
      <x:c r="L45" s="42" t="str">
        <x:v>해륜 진입</x:v>
      </x:c>
      <x:c r="M45" s="42" t="str">
        <x:v>5인 Lv78권</x:v>
      </x:c>
    </x:row>
    <x:row r="46">
      <x:c r="A46" s="42" t="str">
        <x:v>광폭</x:v>
      </x:c>
      <x:c r="B46" s="42" t="str">
        <x:v>70초</x:v>
      </x:c>
      <x:c r="C46" s="42" t="str">
        <x:v>ATK+50%</x:v>
      </x:c>
      <x:c r="D46" s="42" t="str">
        <x:v>이후10초마다+15%</x:v>
      </x:c>
      <x:c r="E46" s="42" t="str">
        <x:v>-</x:v>
      </x:c>
      <x:c r="F46" s="42" t="str">
        <x:v>RPG</x:v>
      </x:c>
      <x:c r="G46" s="42" t="str">
        <x:v>확정</x:v>
      </x:c>
      <x:c r="H46" s="42" t="str">
        <x:v>무한 버티기 방지</x:v>
      </x:c>
      <x:c r="J46" s="42" t="str">
        <x:v>HARD45~50 파티기준 V3.6</x:v>
      </x:c>
      <x:c r="K46" s="42" t="str">
        <x:v>권장</x:v>
      </x:c>
      <x:c r="L46" s="42" t="str">
        <x:v>적용</x:v>
      </x:c>
      <x:c r="M46" s="42" t="str">
        <x:v>설명</x:v>
      </x:c>
    </x:row>
    <x:row r="47">
      <x:c r="A47" s="42" t="str">
        <x:v>Hard34~36</x:v>
      </x:c>
      <x:c r="B47" s="42" t="str">
        <x:v>4신화+1전설</x:v>
      </x:c>
      <x:c r="C47" s="42" t="str">
        <x:v>Lv66~70</x:v>
      </x:c>
      <x:c r="D47" s="42" t="str">
        <x:v>TD/RPG 동시통과</x:v>
      </x:c>
      <x:c r="E47" s="42" t="str">
        <x:v>첫 장기벽</x:v>
      </x:c>
      <x:c r="F47" s="42" t="str">
        <x:v>통합</x:v>
      </x:c>
      <x:c r="G47" s="42" t="str">
        <x:v>V4.2</x:v>
      </x:c>
      <x:c r="H47" s="42" t="str">
        <x:v>5인 완성</x:v>
      </x:c>
      <x:c r="J47" s="42" t="str">
        <x:v>Stage43~44</x:v>
      </x:c>
      <x:c r="K47" s="42" t="str">
        <x:v>5신화 조합 준비</x:v>
      </x:c>
      <x:c r="L47" s="42" t="str">
        <x:v>Hard 후반</x:v>
      </x:c>
      <x:c r="M47" s="42" t="str">
        <x:v>45 진입 전 파티 완성</x:v>
      </x:c>
    </x:row>
    <x:row r="48">
      <x:c r="A48" s="42" t="str">
        <x:v>Hard37~40</x:v>
      </x:c>
      <x:c r="B48" s="42" t="str">
        <x:v>4신화+1전설</x:v>
      </x:c>
      <x:c r="C48" s="42" t="str">
        <x:v>Lv72~78</x:v>
      </x:c>
      <x:c r="D48" s="42" t="str">
        <x:v>보스특화</x:v>
      </x:c>
      <x:c r="E48" s="42" t="str">
        <x:v>5신화 준비</x:v>
      </x:c>
      <x:c r="F48" s="42" t="str">
        <x:v>통합</x:v>
      </x:c>
      <x:c r="G48" s="42" t="str">
        <x:v>V4.2</x:v>
      </x:c>
      <x:c r="H48" s="42" t="str">
        <x:v>전환구간</x:v>
      </x:c>
      <x:c r="J48" s="42" t="str">
        <x:v>Stage45~49</x:v>
      </x:c>
      <x:c r="K48" s="42" t="str">
        <x:v>5신화 ★5</x:v>
      </x:c>
      <x:c r="L48" s="42" t="str">
        <x:v>실전 기준</x:v>
      </x:c>
      <x:c r="M48" s="42" t="str">
        <x:v>4신화+전설은 깨기 매우 어려움</x:v>
      </x:c>
    </x:row>
    <x:row r="49">
      <x:c r="A49" s="42" t="str">
        <x:v>Hard41~44</x:v>
      </x:c>
      <x:c r="B49" s="42" t="str">
        <x:v>5신화</x:v>
      </x:c>
      <x:c r="C49" s="42" t="str">
        <x:v>Lv80~85</x:v>
      </x:c>
      <x:c r="D49" s="42" t="str">
        <x:v>IV 진입/최종준비</x:v>
      </x:c>
      <x:c r="E49" s="42" t="str">
        <x:v>4+1 매우 어려움</x:v>
      </x:c>
      <x:c r="F49" s="42" t="str">
        <x:v>통합</x:v>
      </x:c>
      <x:c r="G49" s="42" t="str">
        <x:v>V4.2</x:v>
      </x:c>
      <x:c r="H49" s="42" t="str">
        <x:v>45 연결</x:v>
      </x:c>
      <x:c r="J49" s="42" t="str">
        <x:v>Stage45 Lv</x:v>
      </x:c>
      <x:c r="K49" s="42" t="str">
        <x:v>약85</x:v>
      </x:c>
      <x:c r="L49" s="42" t="str">
        <x:v>무과금</x:v>
      </x:c>
      <x:c r="M49" s="42" t="str">
        <x:v>장기 성장 후 진입</x:v>
      </x:c>
    </x:row>
    <x:row r="50">
      <x:c r="J50" s="42" t="str">
        <x:v>Stage49 Lv</x:v>
      </x:c>
      <x:c r="K50" s="42" t="str">
        <x:v>약97</x:v>
      </x:c>
      <x:c r="L50" s="42" t="str">
        <x:v>무과금</x:v>
      </x:c>
      <x:c r="M50" s="42" t="str">
        <x:v>최종 직전 육성</x:v>
      </x:c>
    </x:row>
    <x:row r="51">
      <x:c r="J51" s="249" t="str">
        <x:v>Stage50</x:v>
      </x:c>
      <x:c r="K51" s="249" t="str">
        <x:v>Lv100권 / 한계돌파 IV</x:v>
      </x:c>
      <x:c r="L51" s="249" t="str">
        <x:v>최종</x:v>
      </x:c>
      <x:c r="M51" s="249" t="str">
        <x:v>잘 육성된 5신화도 타이트</x:v>
      </x:c>
    </x:row>
    <x:row r="52">
      <x:c r="J52" s="42" t="str">
        <x:v>최종 원칙</x:v>
      </x:c>
      <x:c r="K52" s="42" t="str">
        <x:v>5신화 하드락 없음</x:v>
      </x:c>
      <x:c r="L52" s="42" t="str">
        <x:v>설계</x:v>
      </x:c>
      <x:c r="M52" s="42" t="str">
        <x:v>수치상 4+1은 고숙련 예외만 가능</x:v>
      </x:c>
    </x:row>
    <x:row r="53">
      <x:c r="J53" s="42" t="str">
        <x:v>RPG</x:v>
      </x:c>
      <x:c r="K53" s="42" t="str">
        <x:v>동일 5영웅 유지</x:v>
      </x:c>
      <x:c r="L53" s="42" t="str">
        <x:v>확정</x:v>
      </x:c>
      <x:c r="M53" s="42" t="str">
        <x:v>TD용 파티 교체 없이 바로 보스전</x:v>
      </x:c>
    </x:row>
    <x:row r="54">
      <x:c r="J54" s="42" t="str">
        <x:v>Stage47→48</x:v>
      </x:c>
      <x:c r="K54" s="42" t="str">
        <x:v>약 3일</x:v>
      </x:c>
      <x:c r="L54" s="42" t="str">
        <x:v>중간 체크</x:v>
      </x:c>
      <x:c r="M54" s="42" t="str">
        <x:v>5인 Lv96</x:v>
      </x:c>
    </x:row>
    <x:row r="55">
      <x:c r="J55" s="42" t="str">
        <x:v>Stage49→50</x:v>
      </x:c>
      <x:c r="K55" s="42" t="str">
        <x:v>약 10일</x:v>
      </x:c>
      <x:c r="L55" s="42" t="str">
        <x:v>최종보스</x:v>
      </x:c>
      <x:c r="M55" s="42" t="str">
        <x:v>5인 Lv100</x:v>
      </x:c>
    </x:row>
    <x:row r="56">
      <x:c r="J56" s="42" t="str">
        <x:v>Lv100</x:v>
      </x:c>
      <x:c r="K56" s="42" t="str">
        <x:v>최종 로비 상한</x:v>
      </x:c>
      <x:c r="L56" s="42" t="str">
        <x:v>5인 핵심 파티</x:v>
      </x:c>
      <x:c r="M56" s="42" t="str">
        <x:v>추가 레벨 성장 없음</x:v>
      </x:c>
    </x:row>
    <x:row r="57">
      <x:c r="J57" s="42" t="str">
        <x:v>Stage50 보스</x:v>
      </x:c>
      <x:c r="K57" s="42" t="str">
        <x:v>침식의 근원, 사룡 발테리옹</x:v>
      </x:c>
      <x:c r="L57" s="42" t="str">
        <x:v>동일 세계관</x:v>
      </x:c>
      <x:c r="M57" s="42" t="str">
        <x:v>기존 연결 메모 유지</x:v>
      </x:c>
    </x:row>
    <x:row r="58">
      <x:c r="J58" s="42" t="str">
        <x:v>무과금</x:v>
      </x:c>
      <x:c r="K58" s="42" t="str">
        <x:v>완주 가능</x:v>
      </x:c>
      <x:c r="L58" s="42" t="str">
        <x:v>전체</x:v>
      </x:c>
      <x:c r="M58" s="42" t="str">
        <x:v>시간 누적으로 최종 만렙 도달</x:v>
      </x:c>
    </x:row>
    <x:row r="59">
      <x:c r="J59" s="42" t="str">
        <x:v>결제</x:v>
      </x:c>
      <x:c r="K59" s="42" t="str">
        <x:v>10~14일+ → 1~3일 수준</x:v>
      </x:c>
      <x:c r="L59" s="42" t="str">
        <x:v>최종구간</x:v>
      </x:c>
      <x:c r="M59" s="42" t="str">
        <x:v>시간 단축 가치 최대</x:v>
      </x:c>
    </x:row>
    <x:row r="60">
      <x:c r="J60" s="42" t="str">
        <x:v>판정</x:v>
      </x:c>
      <x:c r="K60" s="42" t="str">
        <x:v>확정 후보</x:v>
      </x:c>
      <x:c r="L60" s="42" t="str">
        <x:v>-</x:v>
      </x:c>
      <x:c r="M60" s="42" t="str">
        <x:v>엔진 전투 테스트 후 미세조정</x:v>
      </x:c>
    </x:row>
  </x:sheetData>
  <x:mergeCells>
    <x:mergeCell ref="A1:H1"/>
    <x:mergeCell ref="A22:H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2" hidden="0" customWidth="1"/>
    <x:col min="4" max="4" width="40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48" t="str">
        <x:v>LUCKY GIRLS — TD 골드 역산 모델 V1.4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A3" s="138" t="str">
        <x:v>핵심 입력값</x:v>
      </x:c>
      <x:c r="B3" s="138" t="str">
        <x:v>기준값</x:v>
      </x:c>
      <x:c r="C3" s="138" t="str">
        <x:v>허용 범위</x:v>
      </x:c>
      <x:c r="D3" s="138" t="str">
        <x:v>설계 메모</x:v>
      </x:c>
      <x:c r="E3" s="42"/>
      <x:c r="F3" s="149" t="str">
        <x:v>체크포인트</x:v>
      </x:c>
      <x:c r="G3" s="149" t="str">
        <x:v>표준 누적 골드</x:v>
      </x:c>
      <x:c r="H3" s="149" t="str">
        <x:v>숙련 누적 골드</x:v>
      </x:c>
      <x:c r="I3" s="149" t="str">
        <x:v>표준 빌드</x:v>
      </x:c>
      <x:c r="J3" s="149" t="str">
        <x:v>숙련 빌드</x:v>
      </x:c>
      <x:c r="K3" s="149" t="str">
        <x:v>판정</x:v>
      </x:c>
    </x:row>
    <x:row r="4">
      <x:c r="A4" s="42" t="str">
        <x:v>시작 골드</x:v>
      </x:c>
      <x:c r="B4" s="42" t="n">
        <x:v>500</x:v>
      </x:c>
      <x:c r="C4" s="42" t="str">
        <x:v>450~550</x:v>
      </x:c>
      <x:c r="D4" s="42" t="str">
        <x:v>Wave1 방어선 구축과 첫 조합 준비</x:v>
      </x:c>
      <x:c r="E4" s="42"/>
      <x:c r="F4" s="42" t="str">
        <x:v>Wave 4</x:v>
      </x:c>
      <x:c r="G4" s="42" t="n">
        <x:v>1777</x:v>
      </x:c>
      <x:c r="H4" s="42" t="n">
        <x:v>1887</x:v>
      </x:c>
      <x:c r="I4" s="42" t="str">
        <x:v>전설2</x:v>
      </x:c>
      <x:c r="J4" s="42" t="str">
        <x:v>전설2 + 여유자금</x:v>
      </x:c>
      <x:c r="K4" s="121" t="str">
        <x:v>전설2 목표 충족권</x:v>
      </x:c>
    </x:row>
    <x:row r="5">
      <x:c r="A5" s="42" t="str">
        <x:v>전설 1명 실제 제작비</x:v>
      </x:c>
      <x:c r="B5" s="42" t="str">
        <x:v>평균 936G</x:v>
      </x:c>
      <x:c r="C5" s="42" t="str">
        <x:v>685~1,357G</x:v>
      </x:c>
      <x:c r="D5" s="42" t="str">
        <x:v>전문화 비용 포함. 초반 실전형 루비 685G / 아리아·카린 730G / 에리카 771G</x:v>
      </x:c>
      <x:c r="E5" s="42"/>
      <x:c r="F5" s="42" t="str">
        <x:v>Wave 5</x:v>
      </x:c>
      <x:c r="G5" s="42" t="n">
        <x:v>2407</x:v>
      </x:c>
      <x:c r="H5" s="42" t="n">
        <x:v>2577</x:v>
      </x:c>
      <x:c r="I5" s="42" t="str">
        <x:v>전설2 / 신화 준비</x:v>
      </x:c>
      <x:c r="J5" s="42" t="str">
        <x:v>신화 조기 준비</x:v>
      </x:c>
      <x:c r="K5" s="121" t="str">
        <x:v>목표권</x:v>
      </x:c>
    </x:row>
    <x:row r="6">
      <x:c r="A6" s="42" t="str">
        <x:v>신화 1명 추가 전환비</x:v>
      </x:c>
      <x:c r="B6" s="42" t="str">
        <x:v>평균 883G</x:v>
      </x:c>
      <x:c r="C6" s="42" t="str">
        <x:v>560~1,319G</x:v>
      </x:c>
      <x:c r="D6" s="42" t="str">
        <x:v>전설 재료는 이미 보유한 상태에서 추가로 드는 일반/구조물 원가</x:v>
      </x:c>
      <x:c r="E6" s="42"/>
      <x:c r="F6" s="42" t="str">
        <x:v>Wave 6</x:v>
      </x:c>
      <x:c r="G6" s="42" t="n">
        <x:v>2901</x:v>
      </x:c>
      <x:c r="H6" s="42" t="n">
        <x:v>3115</x:v>
      </x:c>
      <x:c r="I6" s="42" t="str">
        <x:v>신화1 + 전설2권</x:v>
      </x:c>
      <x:c r="J6" s="42" t="str">
        <x:v>신화1~2</x:v>
      </x:c>
      <x:c r="K6" s="121" t="str">
        <x:v>목표권</x:v>
      </x:c>
    </x:row>
    <x:row r="7">
      <x:c r="A7" s="42" t="str">
        <x:v>표준 TD 보조지출</x:v>
      </x:c>
      <x:c r="B7" s="42" t="str">
        <x:v>700~900G</x:v>
      </x:c>
      <x:c r="C7" s="42" t="str">
        <x:v>플레이 숙련도에 따라 변동</x:v>
      </x:c>
      <x:c r="D7" s="42" t="str">
        <x:v>재료 자체가 전투 유닛 역할을 하므로 별도 방어선 지출을 과대계상하지 않음</x:v>
      </x:c>
      <x:c r="E7" s="42"/>
      <x:c r="F7" s="42" t="str">
        <x:v>Wave 8</x:v>
      </x:c>
      <x:c r="G7" s="42" t="n">
        <x:v>4247</x:v>
      </x:c>
      <x:c r="H7" s="42" t="n">
        <x:v>4601</x:v>
      </x:c>
      <x:c r="I7" s="42" t="str">
        <x:v>영웅5인 근접</x:v>
      </x:c>
      <x:c r="J7" s="42" t="str">
        <x:v>신화3~4 가능</x:v>
      </x:c>
      <x:c r="K7" s="121" t="str">
        <x:v>목표권</x:v>
      </x:c>
    </x:row>
    <x:row r="8">
      <x:c r="A8" s="42" t="str">
        <x:v>계정 경제 패시브</x:v>
      </x:c>
      <x:c r="B8" s="42" t="str">
        <x:v>Lv100 기준 시작G +20% / 처치G +15% / 웨이브G +10%</x:v>
      </x:c>
      <x:c r="C8" s="42" t="str">
        <x:v>점진 해금</x:v>
      </x:c>
      <x:c r="D8" s="42" t="str">
        <x:v>초기엔 빡빡, 성장할수록 빌드 타이밍이 빨라지는 구조</x:v>
      </x:c>
      <x:c r="E8" s="42"/>
      <x:c r="F8" s="42" t="str">
        <x:v>Wave 9</x:v>
      </x:c>
      <x:c r="G8" s="42" t="n">
        <x:v>5121</x:v>
      </x:c>
      <x:c r="H8" s="42" t="n">
        <x:v>5575</x:v>
      </x:c>
      <x:c r="I8" s="42" t="str">
        <x:v>신화3 + 전설2</x:v>
      </x:c>
      <x:c r="J8" s="42" t="str">
        <x:v>신화5 도전</x:v>
      </x:c>
      <x:c r="K8" s="121" t="str">
        <x:v>목표권</x:v>
      </x:c>
    </x:row>
    <x:row r="9">
      <x:c r="A9" s="42" t="str">
        <x:v>표준 조기클리어 보너스</x:v>
      </x:c>
      <x:c r="B9" s="42" t="str">
        <x:v>+10%</x:v>
      </x:c>
      <x:c r="C9" s="42" t="str">
        <x:v>0~20%</x:v>
      </x:c>
      <x:c r="D9" s="42" t="str">
        <x:v>웨이브 기본 보상의 10% 평균</x:v>
      </x:c>
      <x:c r="E9" s="42"/>
      <x:c r="F9" s="42" t="str">
        <x:v>Wave 10</x:v>
      </x:c>
      <x:c r="G9" s="42" t="n">
        <x:v>5337</x:v>
      </x:c>
      <x:c r="H9" s="42" t="n">
        <x:v>5791</x:v>
      </x:c>
      <x:c r="I9" s="42" t="str">
        <x:v>5인 보스전</x:v>
      </x:c>
      <x:c r="J9" s="42" t="str">
        <x:v>신화5 보스전 가능</x:v>
      </x:c>
      <x:c r="K9" s="121" t="str">
        <x:v>목표권</x:v>
      </x:c>
    </x:row>
    <x:row r="10">
      <x:c r="A10" s="42" t="str">
        <x:v>숙련 조기클리어 보너스</x:v>
      </x:c>
      <x:c r="B10" s="42" t="str">
        <x:v>+30%</x:v>
      </x:c>
      <x:c r="C10" s="42" t="str">
        <x:v>20~30%</x:v>
      </x:c>
      <x:c r="D10" s="42" t="str">
        <x:v>웨이브 기본 보상의 최대권</x:v>
      </x:c>
      <x:c r="E10" s="42"/>
      <x:c r="F10" s="42"/>
      <x:c r="G10" s="42"/>
      <x:c r="H10" s="42"/>
      <x:c r="I10" s="42"/>
      <x:c r="J10" s="42"/>
      <x:c r="K10" s="121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121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121"/>
    </x:row>
    <x:row r="13">
      <x:c r="A13" s="153" t="str">
        <x:v>V1.4 핵심 변경</x:v>
      </x:c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</x:row>
    <x:row r="14">
      <x:c r="A14" s="147" t="str">
        <x:v>번호</x:v>
      </x:c>
      <x:c r="B14" s="147" t="str">
        <x:v>변경</x:v>
      </x:c>
      <x:c r="C14" s="147" t="str">
        <x:v>내용</x:v>
      </x:c>
      <x:c r="D14" s="42"/>
      <x:c r="E14" s="42"/>
      <x:c r="F14" s="42"/>
      <x:c r="G14" s="42"/>
      <x:c r="H14" s="42"/>
      <x:c r="I14" s="42"/>
      <x:c r="J14" s="42"/>
      <x:c r="K14" s="42"/>
    </x:row>
    <x:row r="15">
      <x:c r="A15" s="42" t="str">
        <x:v>1</x:v>
      </x:c>
      <x:c r="B15" s="42" t="str">
        <x:v>Wave4 990G 가정 폐기</x:v>
      </x:c>
      <x:c r="C15" s="42" t="str">
        <x:v>현재 조합/성급 구조상 비현실적이므로 1,700G대 목표로 상향</x:v>
      </x:c>
      <x:c r="D15" s="42"/>
      <x:c r="E15" s="42"/>
      <x:c r="F15" s="42"/>
      <x:c r="G15" s="42"/>
      <x:c r="H15" s="42"/>
      <x:c r="I15" s="42"/>
      <x:c r="J15" s="42"/>
      <x:c r="K15" s="42"/>
    </x:row>
    <x:row r="16">
      <x:c r="A16" s="122" t="str">
        <x:v>2</x:v>
      </x:c>
      <x:c r="B16" s="122" t="str">
        <x:v>처치 골드 분리</x:v>
      </x:c>
      <x:c r="C16" s="122" t="str">
        <x:v>각 몹 처치 시 즉시 지급. 기존 처치 골드에 권장 V1.4 값을 별도 추가</x:v>
      </x:c>
      <x:c r="D16" s="122"/>
      <x:c r="E16" s="122"/>
      <x:c r="F16" s="123"/>
      <x:c r="G16" s="123"/>
      <x:c r="H16" s="123"/>
      <x:c r="I16" s="123"/>
      <x:c r="J16" s="123"/>
      <x:c r="K16" s="123"/>
    </x:row>
    <x:row r="17">
      <x:c r="A17" s="111" t="str">
        <x:v>3</x:v>
      </x:c>
      <x:c r="B17" s="111" t="str">
        <x:v>웨이브 클리어 보상 분리</x:v>
      </x:c>
      <x:c r="C17" s="111" t="str">
        <x:v>처치골드와 별개로 W1~W9 고정 지급</x:v>
      </x:c>
      <x:c r="D17" s="111"/>
      <x:c r="E17" s="42"/>
      <x:c r="F17" s="116"/>
      <x:c r="G17" s="116"/>
      <x:c r="H17" s="116"/>
      <x:c r="I17" s="116"/>
      <x:c r="J17" s="116"/>
      <x:c r="K17" s="116"/>
    </x:row>
    <x:row r="18">
      <x:c r="A18" s="42" t="str">
        <x:v>4</x:v>
      </x:c>
      <x:c r="B18" s="42" t="str">
        <x:v>조기 클리어 보너스</x:v>
      </x:c>
      <x:c r="C18" s="42" t="str">
        <x:v>남은 시간에 따라 0/10/20/30%. 표준 +10%, 숙련 +30%로 시뮬레이션</x:v>
      </x:c>
      <x:c r="D18" s="42"/>
      <x:c r="E18" s="42"/>
      <x:c r="F18" s="42"/>
      <x:c r="G18" s="42"/>
      <x:c r="H18" s="42"/>
      <x:c r="I18" s="42"/>
      <x:c r="J18" s="42"/>
      <x:c r="K18" s="42"/>
    </x:row>
    <x:row r="19">
      <x:c r="A19" s="42" t="str">
        <x:v>5</x:v>
      </x:c>
      <x:c r="B19" s="42" t="str">
        <x:v>중간보스 현상금 강화</x:v>
      </x:c>
      <x:c r="C19" s="42" t="str">
        <x:v>Wave5 후 신화 빌드를 시작할 수 있도록 큰 현상금 지급</x:v>
      </x:c>
      <x:c r="D19" s="42"/>
      <x:c r="E19" s="42"/>
      <x:c r="F19" s="42"/>
      <x:c r="G19" s="42"/>
      <x:c r="H19" s="42"/>
      <x:c r="I19" s="42"/>
      <x:c r="J19" s="42"/>
      <x:c r="K19" s="42"/>
    </x:row>
    <x:row r="20">
      <x:c r="A20" s="42" t="str">
        <x:v>6</x:v>
      </x:c>
      <x:c r="B20" s="42" t="str">
        <x:v>신화5 상한</x:v>
      </x:c>
      <x:c r="C20" s="42" t="str">
        <x:v>숙련 수입 증가 + TD 지출 약 500G 절약을 합쳐 보스 전 신화5 가능권 생성</x:v>
      </x:c>
      <x:c r="D20" s="42"/>
      <x:c r="E20" s="42"/>
      <x:c r="F20" s="42"/>
      <x:c r="G20" s="42"/>
      <x:c r="H20" s="42"/>
      <x:c r="I20" s="42"/>
      <x:c r="J20" s="42"/>
      <x:c r="K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</x:row>
    <x:row r="22">
      <x:c r="A22" s="42"/>
      <x:c r="B22" s="42"/>
      <x:c r="C22" s="42"/>
      <x:c r="D22" s="42"/>
      <x:c r="E22" s="42"/>
      <x:c r="F22" s="180" t="str">
        <x:v>구간</x:v>
      </x:c>
      <x:c r="G22" s="180" t="str">
        <x:v>현재 Wave9 표준</x:v>
      </x:c>
      <x:c r="H22" s="180" t="str">
        <x:v>현재 Wave9 숙련</x:v>
      </x:c>
      <x:c r="I22" s="180" t="str">
        <x:v>검증 목표 원가</x:v>
      </x:c>
      <x:c r="J22" s="180" t="str">
        <x:v>결론</x:v>
      </x:c>
      <x:c r="K22" s="180" t="str">
        <x:v>비고</x:v>
      </x:c>
    </x:row>
    <x:row r="23">
      <x:c r="A23" s="42"/>
      <x:c r="B23" s="42"/>
      <x:c r="C23" s="42"/>
      <x:c r="D23" s="42"/>
      <x:c r="E23" s="42"/>
      <x:c r="F23" s="42" t="str">
        <x:v>Stage1~4</x:v>
      </x:c>
      <x:c r="G23" s="42" t="str">
        <x:v>5,121G</x:v>
      </x:c>
      <x:c r="H23" s="42" t="str">
        <x:v>5,575G</x:v>
      </x:c>
      <x:c r="I23" s="42" t="str">
        <x:v>고유 영웅 5인 자체가 불가</x:v>
      </x:c>
      <x:c r="J23" s="42" t="str">
        <x:v>초기 예외 필요</x:v>
      </x:c>
      <x:c r="K23" s="42" t="str">
        <x:v>전설 4종만 사용 가능</x:v>
      </x:c>
    </x:row>
    <x:row r="24">
      <x:c r="F24" s="42" t="str">
        <x:v>Stage10</x:v>
      </x:c>
      <x:c r="G24" s="42" t="str">
        <x:v>6,009G</x:v>
      </x:c>
      <x:c r="H24" s="42" t="str">
        <x:v>6,463G</x:v>
      </x:c>
      <x:c r="I24" s="42" t="str">
        <x:v>3신화+2전설 5,057G / 신화5 6,866G</x:v>
      </x:c>
      <x:c r="J24" s="42" t="str">
        <x:v>표준은 성립, 신화5는 빡빡</x:v>
      </x:c>
      <x:c r="K24" s="42" t="str">
        <x:v>보조지출 고려 필요</x:v>
      </x:c>
    </x:row>
    <x:row r="25">
      <x:c r="F25" s="42" t="str">
        <x:v>Stage15</x:v>
      </x:c>
      <x:c r="G25" s="42" t="str">
        <x:v>6,734G</x:v>
      </x:c>
      <x:c r="H25" s="42" t="str">
        <x:v>7,210G</x:v>
      </x:c>
      <x:c r="I25" s="42" t="str">
        <x:v>3신화+2전설 4,888G / 신화5 6,463G</x:v>
      </x:c>
      <x:c r="J25" s="42" t="str">
        <x:v>의도와 잘 맞음</x:v>
      </x:c>
      <x:c r="K25" s="42" t="str">
        <x:v>고숙련 신화5 가능</x:v>
      </x:c>
    </x:row>
    <x:row r="26">
      <x:c r="F26" s="42" t="str">
        <x:v>Stage20+</x:v>
      </x:c>
      <x:c r="G26" s="42" t="str">
        <x:v>6,981G+</x:v>
      </x:c>
      <x:c r="H26" s="42" t="str">
        <x:v>7,457G+</x:v>
      </x:c>
      <x:c r="I26" s="42" t="str">
        <x:v>동일 원가</x:v>
      </x:c>
      <x:c r="J26" s="42" t="str">
        <x:v>안정적</x:v>
      </x:c>
      <x:c r="K26" s="42" t="str">
        <x:v>노멀 20~30 성장벽과 양립</x:v>
      </x:c>
    </x:row>
  </x:sheetData>
  <x:mergeCells>
    <x:mergeCell ref="A1:K1"/>
    <x:mergeCell ref="A16:K16"/>
    <x:mergeCell ref="F16:K16"/>
    <x:mergeCell ref="A13:K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18" hidden="0" customWidth="1"/>
    <x:col min="5" max="5" width="14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20" hidden="0" customWidth="1"/>
    <x:col min="12" max="12" width="10" hidden="0" customWidth="1"/>
    <x:col min="13" max="13" width="10" hidden="0" customWidth="1"/>
    <x:col min="14" max="14" width="34" hidden="0" customWidth="1"/>
  </x:cols>
  <x:sheetData>
    <x:row r="1">
      <x:c r="A1" s="148" t="str">
        <x:v>Stage 1 — 처치골드 + 웨이브보상 + 조기클리어 포함 역산 V1.4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138" t="str">
        <x:v>Wave</x:v>
      </x:c>
      <x:c r="B3" s="138" t="str">
        <x:v>구분</x:v>
      </x:c>
      <x:c r="C3" s="138" t="str">
        <x:v>적 수</x:v>
      </x:c>
      <x:c r="D3" s="138" t="str">
        <x:v>평균 일반몹 처치G</x:v>
      </x:c>
      <x:c r="E3" s="138" t="str">
        <x:v>처치 골드</x:v>
      </x:c>
      <x:c r="F3" s="138" t="str">
        <x:v>기본 클리어 보상</x:v>
      </x:c>
      <x:c r="G3" s="138" t="str">
        <x:v>표준 조기보너스(10%)</x:v>
      </x:c>
      <x:c r="H3" s="138" t="str">
        <x:v>숙련 조기보너스(30%)</x:v>
      </x:c>
      <x:c r="I3" s="138" t="str">
        <x:v>표준 누적 골드</x:v>
      </x:c>
      <x:c r="J3" s="138" t="str">
        <x:v>숙련 누적 골드</x:v>
      </x:c>
      <x:c r="K3" s="138" t="str">
        <x:v>표준 목표</x:v>
      </x:c>
      <x:c r="L3" s="138" t="str">
        <x:v>전설 수</x:v>
      </x:c>
      <x:c r="M3" s="138" t="str">
        <x:v>신화 수</x:v>
      </x:c>
      <x:c r="N3" s="138" t="str">
        <x:v>설계 메모</x:v>
      </x:c>
    </x:row>
    <x:row r="4">
      <x:c r="A4" s="42" t="n">
        <x:v>1</x:v>
      </x:c>
      <x:c r="B4" s="42" t="str">
        <x:v>일반</x:v>
      </x:c>
      <x:c r="C4" s="42" t="n">
        <x:v>11</x:v>
      </x:c>
      <x:c r="D4" s="42" t="n">
        <x:v>12</x:v>
      </x:c>
      <x:c r="E4" s="42" t="n">
        <x:v>132</x:v>
      </x:c>
      <x:c r="F4" s="42" t="n">
        <x:v>100</x:v>
      </x:c>
      <x:c r="G4" s="42" t="n">
        <x:v>10</x:v>
      </x:c>
      <x:c r="H4" s="42" t="n">
        <x:v>30</x:v>
      </x:c>
      <x:c r="I4" s="42" t="n">
        <x:v>742</x:v>
      </x:c>
      <x:c r="J4" s="42" t="n">
        <x:v>762</x:v>
      </x:c>
      <x:c r="K4" s="42" t="str">
        <x:v>초기 방어선</x:v>
      </x:c>
      <x:c r="L4" s="42" t="n">
        <x:v>0</x:v>
      </x:c>
      <x:c r="M4" s="42" t="n">
        <x:v>0</x:v>
      </x:c>
      <x:c r="N4" s="42" t="str"/>
    </x:row>
    <x:row r="5">
      <x:c r="A5" s="42" t="n">
        <x:v>2</x:v>
      </x:c>
      <x:c r="B5" s="42" t="str">
        <x:v>일반</x:v>
      </x:c>
      <x:c r="C5" s="42" t="n">
        <x:v>13</x:v>
      </x:c>
      <x:c r="D5" s="42" t="n">
        <x:v>12</x:v>
      </x:c>
      <x:c r="E5" s="42" t="n">
        <x:v>156</x:v>
      </x:c>
      <x:c r="F5" s="42" t="n">
        <x:v>120</x:v>
      </x:c>
      <x:c r="G5" s="42" t="n">
        <x:v>12</x:v>
      </x:c>
      <x:c r="H5" s="42" t="n">
        <x:v>36</x:v>
      </x:c>
      <x:c r="I5" s="42" t="n">
        <x:v>1030</x:v>
      </x:c>
      <x:c r="J5" s="42" t="n">
        <x:v>1074</x:v>
      </x:c>
      <x:c r="K5" s="42" t="str">
        <x:v>재료 성장</x:v>
      </x:c>
      <x:c r="L5" s="42" t="n">
        <x:v>0</x:v>
      </x:c>
      <x:c r="M5" s="42" t="n">
        <x:v>0</x:v>
      </x:c>
      <x:c r="N5" s="42" t="str"/>
    </x:row>
    <x:row r="6">
      <x:c r="A6" s="42" t="n">
        <x:v>3</x:v>
      </x:c>
      <x:c r="B6" s="42" t="str">
        <x:v>일반</x:v>
      </x:c>
      <x:c r="C6" s="42" t="n">
        <x:v>15</x:v>
      </x:c>
      <x:c r="D6" s="42" t="n">
        <x:v>12</x:v>
      </x:c>
      <x:c r="E6" s="42" t="n">
        <x:v>180</x:v>
      </x:c>
      <x:c r="F6" s="42" t="n">
        <x:v>150</x:v>
      </x:c>
      <x:c r="G6" s="42" t="n">
        <x:v>15</x:v>
      </x:c>
      <x:c r="H6" s="42" t="n">
        <x:v>45</x:v>
      </x:c>
      <x:c r="I6" s="42" t="n">
        <x:v>1375</x:v>
      </x:c>
      <x:c r="J6" s="42" t="n">
        <x:v>1449</x:v>
      </x:c>
      <x:c r="K6" s="42" t="str">
        <x:v>전설1</x:v>
      </x:c>
      <x:c r="L6" s="42" t="n">
        <x:v>1</x:v>
      </x:c>
      <x:c r="M6" s="42" t="n">
        <x:v>0</x:v>
      </x:c>
      <x:c r="N6" s="42" t="str"/>
    </x:row>
    <x:row r="7">
      <x:c r="A7" s="42" t="n">
        <x:v>4</x:v>
      </x:c>
      <x:c r="B7" s="42" t="str">
        <x:v>일반</x:v>
      </x:c>
      <x:c r="C7" s="42" t="n">
        <x:v>17</x:v>
      </x:c>
      <x:c r="D7" s="42" t="n">
        <x:v>12</x:v>
      </x:c>
      <x:c r="E7" s="42" t="n">
        <x:v>204</x:v>
      </x:c>
      <x:c r="F7" s="42" t="n">
        <x:v>180</x:v>
      </x:c>
      <x:c r="G7" s="42" t="n">
        <x:v>18</x:v>
      </x:c>
      <x:c r="H7" s="42" t="n">
        <x:v>54</x:v>
      </x:c>
      <x:c r="I7" s="42" t="n">
        <x:v>1777</x:v>
      </x:c>
      <x:c r="J7" s="42" t="n">
        <x:v>1887</x:v>
      </x:c>
      <x:c r="K7" s="42" t="str">
        <x:v>전설2 확보</x:v>
      </x:c>
      <x:c r="L7" s="42" t="n">
        <x:v>2</x:v>
      </x:c>
      <x:c r="M7" s="42" t="n">
        <x:v>0</x:v>
      </x:c>
      <x:c r="N7" s="42" t="str"/>
    </x:row>
    <x:row r="8">
      <x:c r="A8" s="42" t="n">
        <x:v>5</x:v>
      </x:c>
      <x:c r="B8" s="42" t="str">
        <x:v>중간보스</x:v>
      </x:c>
      <x:c r="C8" s="42" t="n">
        <x:v>11</x:v>
      </x:c>
      <x:c r="D8" s="42" t="n">
        <x:v>12</x:v>
      </x:c>
      <x:c r="E8" s="42" t="n">
        <x:v>300</x:v>
      </x:c>
      <x:c r="F8" s="42" t="n">
        <x:v>300</x:v>
      </x:c>
      <x:c r="G8" s="42" t="n">
        <x:v>30</x:v>
      </x:c>
      <x:c r="H8" s="42" t="n">
        <x:v>90</x:v>
      </x:c>
      <x:c r="I8" s="42" t="n">
        <x:v>2407</x:v>
      </x:c>
      <x:c r="J8" s="42" t="n">
        <x:v>2577</x:v>
      </x:c>
      <x:c r="K8" s="42" t="str">
        <x:v>중간보스</x:v>
      </x:c>
      <x:c r="L8" s="42" t="n">
        <x:v>2</x:v>
      </x:c>
      <x:c r="M8" s="42" t="n">
        <x:v>0</x:v>
      </x:c>
      <x:c r="N8" s="42" t="str"/>
    </x:row>
    <x:row r="9">
      <x:c r="A9" s="42" t="n">
        <x:v>6</x:v>
      </x:c>
      <x:c r="B9" s="42" t="str">
        <x:v>일반</x:v>
      </x:c>
      <x:c r="C9" s="42" t="n">
        <x:v>21</x:v>
      </x:c>
      <x:c r="D9" s="42" t="n">
        <x:v>12</x:v>
      </x:c>
      <x:c r="E9" s="42" t="n">
        <x:v>252</x:v>
      </x:c>
      <x:c r="F9" s="42" t="n">
        <x:v>220</x:v>
      </x:c>
      <x:c r="G9" s="42" t="n">
        <x:v>22</x:v>
      </x:c>
      <x:c r="H9" s="42" t="n">
        <x:v>66</x:v>
      </x:c>
      <x:c r="I9" s="42" t="n">
        <x:v>2901</x:v>
      </x:c>
      <x:c r="J9" s="42" t="n">
        <x:v>3115</x:v>
      </x:c>
      <x:c r="K9" s="42" t="str">
        <x:v>첫 신화</x:v>
      </x:c>
      <x:c r="L9" s="42" t="n">
        <x:v>2</x:v>
      </x:c>
      <x:c r="M9" s="42" t="n">
        <x:v>1</x:v>
      </x:c>
      <x:c r="N9" s="42" t="str"/>
    </x:row>
    <x:row r="10">
      <x:c r="A10" s="42" t="n">
        <x:v>7</x:v>
      </x:c>
      <x:c r="B10" s="42" t="str">
        <x:v>일반</x:v>
      </x:c>
      <x:c r="C10" s="42" t="n">
        <x:v>23</x:v>
      </x:c>
      <x:c r="D10" s="42" t="n">
        <x:v>12</x:v>
      </x:c>
      <x:c r="E10" s="42" t="n">
        <x:v>276</x:v>
      </x:c>
      <x:c r="F10" s="42" t="n">
        <x:v>300</x:v>
      </x:c>
      <x:c r="G10" s="42" t="n">
        <x:v>30</x:v>
      </x:c>
      <x:c r="H10" s="42" t="n">
        <x:v>90</x:v>
      </x:c>
      <x:c r="I10" s="42" t="n">
        <x:v>3507</x:v>
      </x:c>
      <x:c r="J10" s="42" t="n">
        <x:v>3781</x:v>
      </x:c>
      <x:c r="K10" s="42" t="str">
        <x:v>신화 확대</x:v>
      </x:c>
      <x:c r="L10" s="42" t="n">
        <x:v>2</x:v>
      </x:c>
      <x:c r="M10" s="42" t="n">
        <x:v>2</x:v>
      </x:c>
      <x:c r="N10" s="42" t="str"/>
    </x:row>
    <x:row r="11">
      <x:c r="A11" s="42" t="n">
        <x:v>8</x:v>
      </x:c>
      <x:c r="B11" s="42" t="str">
        <x:v>일반</x:v>
      </x:c>
      <x:c r="C11" s="42" t="n">
        <x:v>25</x:v>
      </x:c>
      <x:c r="D11" s="42" t="n">
        <x:v>12</x:v>
      </x:c>
      <x:c r="E11" s="42" t="n">
        <x:v>300</x:v>
      </x:c>
      <x:c r="F11" s="42" t="n">
        <x:v>400</x:v>
      </x:c>
      <x:c r="G11" s="42" t="n">
        <x:v>40</x:v>
      </x:c>
      <x:c r="H11" s="42" t="n">
        <x:v>120</x:v>
      </x:c>
      <x:c r="I11" s="42" t="n">
        <x:v>4247</x:v>
      </x:c>
      <x:c r="J11" s="42" t="n">
        <x:v>4601</x:v>
      </x:c>
      <x:c r="K11" s="42" t="str">
        <x:v>영웅5인</x:v>
      </x:c>
      <x:c r="L11" s="42" t="n">
        <x:v>3</x:v>
      </x:c>
      <x:c r="M11" s="42" t="n">
        <x:v>2</x:v>
      </x:c>
      <x:c r="N11" s="42" t="str"/>
    </x:row>
    <x:row r="12">
      <x:c r="A12" s="42" t="n">
        <x:v>9</x:v>
      </x:c>
      <x:c r="B12" s="42" t="str">
        <x:v>일반</x:v>
      </x:c>
      <x:c r="C12" s="42" t="n">
        <x:v>27</x:v>
      </x:c>
      <x:c r="D12" s="42" t="n">
        <x:v>12</x:v>
      </x:c>
      <x:c r="E12" s="42" t="n">
        <x:v>324</x:v>
      </x:c>
      <x:c r="F12" s="42" t="n">
        <x:v>500</x:v>
      </x:c>
      <x:c r="G12" s="42" t="n">
        <x:v>50</x:v>
      </x:c>
      <x:c r="H12" s="42" t="n">
        <x:v>150</x:v>
      </x:c>
      <x:c r="I12" s="42" t="n">
        <x:v>5121</x:v>
      </x:c>
      <x:c r="J12" s="42" t="n">
        <x:v>5575</x:v>
      </x:c>
      <x:c r="K12" s="42" t="str">
        <x:v>신화3+전설2</x:v>
      </x:c>
      <x:c r="L12" s="42" t="n">
        <x:v>2</x:v>
      </x:c>
      <x:c r="M12" s="42" t="n">
        <x:v>3</x:v>
      </x:c>
      <x:c r="N12" s="42" t="str"/>
    </x:row>
    <x:row r="13">
      <x:c r="A13" s="42" t="n">
        <x:v>10</x:v>
      </x:c>
      <x:c r="B13" s="42" t="str">
        <x:v>스테이지 보스</x:v>
      </x:c>
      <x:c r="C13" s="42" t="n">
        <x:v>19</x:v>
      </x:c>
      <x:c r="D13" s="42" t="n">
        <x:v>12</x:v>
      </x:c>
      <x:c r="E13" s="42" t="n">
        <x:v>216</x:v>
      </x:c>
      <x:c r="F13" s="42" t="n">
        <x:v>0</x:v>
      </x:c>
      <x:c r="G13" s="42" t="n">
        <x:v>0</x:v>
      </x:c>
      <x:c r="H13" s="42" t="n">
        <x:v>0</x:v>
      </x:c>
      <x:c r="I13" s="42" t="n">
        <x:v>5337</x:v>
      </x:c>
      <x:c r="J13" s="42" t="n">
        <x:v>5791</x:v>
      </x:c>
      <x:c r="K13" s="42" t="str">
        <x:v>보스 TD→RPG</x:v>
      </x:c>
      <x:c r="L13" s="42" t="n">
        <x:v>2</x:v>
      </x:c>
      <x:c r="M13" s="42" t="n">
        <x:v>3</x:v>
      </x:c>
      <x:c r="N13" s="42" t="str">
        <x:v>보스 처치 보상은 해당 판 TD골드에 미포함</x:v>
      </x:c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</x:row>
    <x:row r="16">
      <x:c r="A16" s="149" t="str">
        <x:v>골드 사용 역산 — 표준 유저 vs 숙련/고육성 유저</x:v>
      </x:c>
      <x:c r="B16" s="149"/>
      <x:c r="C16" s="149"/>
      <x:c r="D16" s="149"/>
      <x:c r="E16" s="149"/>
      <x:c r="F16" s="149"/>
      <x:c r="G16" s="149"/>
      <x:c r="H16" s="149"/>
      <x:c r="I16" s="42"/>
      <x:c r="J16" s="42"/>
      <x:c r="K16" s="42"/>
      <x:c r="L16" s="42"/>
      <x:c r="M16" s="42"/>
      <x:c r="N16" s="42"/>
    </x:row>
    <x:row r="17">
      <x:c r="A17" s="150" t="str">
        <x:v>항목</x:v>
      </x:c>
      <x:c r="B17" s="150" t="str">
        <x:v>표준 유저 예상 지출</x:v>
      </x:c>
      <x:c r="C17" s="150" t="str">
        <x:v>숙련/고육성 예상 지출</x:v>
      </x:c>
      <x:c r="D17" s="150" t="str">
        <x:v>차이</x:v>
      </x:c>
      <x:c r="E17" s="150" t="str">
        <x:v>Wave4 영향</x:v>
      </x:c>
      <x:c r="F17" s="150" t="str">
        <x:v>Wave9 영향</x:v>
      </x:c>
      <x:c r="G17" s="150" t="str">
        <x:v>목표</x:v>
      </x:c>
      <x:c r="H17" s="150" t="str">
        <x:v>비고</x:v>
      </x:c>
      <x:c r="I17" s="42"/>
      <x:c r="J17" s="42"/>
      <x:c r="K17" s="42"/>
      <x:c r="L17" s="42"/>
      <x:c r="M17" s="42"/>
      <x:c r="N17" s="42"/>
    </x:row>
    <x:row r="18">
      <x:c r="A18" s="42" t="str">
        <x:v>초반 방어선/구조물</x:v>
      </x:c>
      <x:c r="B18" s="42" t="n">
        <x:v>420</x:v>
      </x:c>
      <x:c r="C18" s="42" t="n">
        <x:v>260</x:v>
      </x:c>
      <x:c r="D18" s="42" t="n">
        <x:v>160</x:v>
      </x:c>
      <x:c r="E18" s="42" t="str">
        <x:v>전설2 확보 여유 감소</x:v>
      </x:c>
      <x:c r="F18" s="42" t="str">
        <x:v>신화 전환 재화 절약</x:v>
      </x:c>
      <x:c r="G18" s="42" t="str">
        <x:v>필요 최소선만 유지</x:v>
      </x:c>
      <x:c r="H18" s="42" t="str">
        <x:v>로비 육성으로 저투자 가능</x:v>
      </x:c>
      <x:c r="I18" s="42"/>
      <x:c r="J18" s="42"/>
      <x:c r="K18" s="42"/>
      <x:c r="L18" s="42"/>
      <x:c r="M18" s="42"/>
      <x:c r="N18" s="42"/>
    </x:row>
    <x:row r="19">
      <x:c r="A19" s="42" t="str">
        <x:v>재배치/실수 비용</x:v>
      </x:c>
      <x:c r="B19" s="42" t="n">
        <x:v>120</x:v>
      </x:c>
      <x:c r="C19" s="42" t="n">
        <x:v>30</x:v>
      </x:c>
      <x:c r="D19" s="42" t="n">
        <x:v>90</x:v>
      </x:c>
      <x:c r="E19" s="42" t="str">
        <x:v>Wave4 골드 손실</x:v>
      </x:c>
      <x:c r="F19" s="42" t="str">
        <x:v>누적 차이 확대</x:v>
      </x:c>
      <x:c r="G19" s="42" t="str">
        <x:v>숙련도 보상</x:v>
      </x:c>
      <x:c r="H19" s="42" t="str">
        <x:v>과도한 패널티는 금지</x:v>
      </x:c>
      <x:c r="I19" s="42"/>
      <x:c r="J19" s="42"/>
      <x:c r="K19" s="42"/>
      <x:c r="L19" s="42"/>
      <x:c r="M19" s="42"/>
      <x:c r="N19" s="42"/>
    </x:row>
    <x:row r="20">
      <x:c r="A20" s="42" t="str">
        <x:v>일반 캐릭터 과성급</x:v>
      </x:c>
      <x:c r="B20" s="42" t="n">
        <x:v>260</x:v>
      </x:c>
      <x:c r="C20" s="42" t="n">
        <x:v>100</x:v>
      </x:c>
      <x:c r="D20" s="42" t="n">
        <x:v>160</x:v>
      </x:c>
      <x:c r="E20" s="42" t="str">
        <x:v>재료 완성 지연</x:v>
      </x:c>
      <x:c r="F20" s="42" t="str">
        <x:v>신화 전환 지연</x:v>
      </x:c>
      <x:c r="G20" s="42" t="str">
        <x:v>필수 재료 위주 투자</x:v>
      </x:c>
      <x:c r="H20" s="42" t="str">
        <x:v>전투 이해도 보상</x:v>
      </x:c>
      <x:c r="I20" s="42"/>
      <x:c r="J20" s="42"/>
      <x:c r="K20" s="42"/>
      <x:c r="L20" s="42"/>
      <x:c r="M20" s="42"/>
      <x:c r="N20" s="42"/>
    </x:row>
    <x:row r="21">
      <x:c r="A21" s="42" t="str">
        <x:v>방어벽/안정성 투자</x:v>
      </x:c>
      <x:c r="B21" s="42" t="n">
        <x:v>220</x:v>
      </x:c>
      <x:c r="C21" s="42" t="n">
        <x:v>100</x:v>
      </x:c>
      <x:c r="D21" s="42" t="n">
        <x:v>120</x:v>
      </x:c>
      <x:c r="E21" s="42" t="str">
        <x:v>생존성 확보</x:v>
      </x:c>
      <x:c r="F21" s="42" t="str">
        <x:v>최종 조합 골드 감소</x:v>
      </x:c>
      <x:c r="G21" s="42" t="str">
        <x:v>안정 vs 공격 선택</x:v>
      </x:c>
      <x:c r="H21" s="42" t="str">
        <x:v>맵에 따라 변동</x:v>
      </x:c>
      <x:c r="I21" s="42"/>
      <x:c r="J21" s="42"/>
      <x:c r="K21" s="42"/>
      <x:c r="L21" s="42"/>
      <x:c r="M21" s="42"/>
      <x:c r="N21" s="42"/>
    </x:row>
    <x:row r="22">
      <x:c r="A22" s="42" t="str">
        <x:v>합계</x:v>
      </x:c>
      <x:c r="B22" s="42" t="n">
        <x:v>1020</x:v>
      </x:c>
      <x:c r="C22" s="42" t="n">
        <x:v>490</x:v>
      </x:c>
      <x:c r="D22" s="42" t="n">
        <x:v>530</x:v>
      </x:c>
      <x:c r="E22" s="42" t="str">
        <x:v>표준은 안전한 빌드</x:v>
      </x:c>
      <x:c r="F22" s="42" t="str">
        <x:v>숙련은 약 530G 절약</x:v>
      </x:c>
      <x:c r="G22" s="42" t="str">
        <x:v>신화5 가능성 확보</x:v>
      </x:c>
      <x:c r="H22" s="42" t="str">
        <x:v>조기클리어 수입차와 합산</x:v>
      </x:c>
    </x:row>
  </x:sheetData>
  <x:mergeCells>
    <x:mergeCell ref="A1:N1"/>
    <x:mergeCell ref="A16:H1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32" hidden="0" customWidth="1"/>
    <x:col min="5" max="5" width="38" hidden="0" customWidth="1"/>
    <x:col min="6" max="6" width="12" hidden="0" customWidth="1"/>
    <x:col min="7" max="7" width="20" hidden="0" customWidth="1"/>
    <x:col min="8" max="8" width="28" hidden="0" customWidth="1"/>
  </x:cols>
  <x:sheetData>
    <x:row r="1">
      <x:c r="A1" s="134" t="str">
        <x:v>LUCKY GIRLS — TD 인게임 골드 획득 규칙 V1.4</x:v>
      </x:c>
      <x:c r="B1" s="134"/>
      <x:c r="C1" s="134"/>
      <x:c r="D1" s="134"/>
      <x:c r="E1" s="134"/>
      <x:c r="F1" s="134"/>
      <x:c r="G1" s="134"/>
      <x:c r="H1" s="134"/>
    </x:row>
    <x:row r="3">
      <x:c r="A3" s="138" t="str">
        <x:v>골드 공급원</x:v>
      </x:c>
      <x:c r="B3" s="138" t="str">
        <x:v>기준</x:v>
      </x:c>
      <x:c r="C3" s="138" t="str">
        <x:v>계산 방식</x:v>
      </x:c>
      <x:c r="D3" s="138" t="str">
        <x:v>Stage 1 예시</x:v>
      </x:c>
      <x:c r="E3" s="138" t="str">
        <x:v>표준 유저</x:v>
      </x:c>
      <x:c r="F3" s="138" t="str">
        <x:v>숙련 유저</x:v>
      </x:c>
      <x:c r="G3" s="138" t="str">
        <x:v>상한/주의</x:v>
      </x:c>
      <x:c r="H3" s="138" t="str">
        <x:v>설계 목적</x:v>
      </x:c>
    </x:row>
    <x:row r="4">
      <x:c r="A4" s="42" t="str">
        <x:v>시작 골드</x:v>
      </x:c>
      <x:c r="B4" s="42" t="str">
        <x:v>500G</x:v>
      </x:c>
      <x:c r="C4" s="42" t="str">
        <x:v>스테이지 시작 즉시 지급</x:v>
      </x:c>
      <x:c r="D4" s="42" t="str">
        <x:v>500G</x:v>
      </x:c>
      <x:c r="E4" s="42" t="str">
        <x:v>동일</x:v>
      </x:c>
      <x:c r="F4" s="42" t="str">
        <x:v>동일</x:v>
      </x:c>
      <x:c r="G4" s="42" t="str">
        <x:v>스테이지별 ±10% 이내</x:v>
      </x:c>
      <x:c r="H4" s="42" t="str">
        <x:v>초반 방어선 + 조합 재료 착수</x:v>
      </x:c>
    </x:row>
    <x:row r="5">
      <x:c r="A5" s="42" t="str">
        <x:v>일반몹 처치 골드</x:v>
      </x:c>
      <x:c r="B5" s="42" t="str">
        <x:v>10~18G</x:v>
      </x:c>
      <x:c r="C5" s="42" t="str">
        <x:v>몬스터별 현상금 즉시 지급</x:v>
      </x:c>
      <x:c r="D5" s="42" t="str">
        <x:v>서부 평균 약 12G</x:v>
      </x:c>
      <x:c r="E5" s="42" t="str">
        <x:v>100%</x:v>
      </x:c>
      <x:c r="F5" s="42" t="str">
        <x:v>100%</x:v>
      </x:c>
      <x:c r="G5" s="42" t="str">
        <x:v>골드 드롭 확률화 금지</x:v>
      </x:c>
      <x:c r="H5" s="42" t="str">
        <x:v>전투를 잘할수록 자연스럽게 성장</x:v>
      </x:c>
    </x:row>
    <x:row r="6">
      <x:c r="A6" s="42" t="str">
        <x:v>중간보스 처치 골드</x:v>
      </x:c>
      <x:c r="B6" s="42" t="str">
        <x:v>약 180G부터</x:v>
      </x:c>
      <x:c r="C6" s="42" t="str">
        <x:v>지역/스테이지에 따라 상승</x:v>
      </x:c>
      <x:c r="D6" s="42" t="str">
        <x:v>Wave5 +180G</x:v>
      </x:c>
      <x:c r="E6" s="42" t="str">
        <x:v>100%</x:v>
      </x:c>
      <x:c r="F6" s="42" t="str">
        <x:v>100%</x:v>
      </x:c>
      <x:c r="G6" s="42" t="str">
        <x:v>클리어 후 즉시 사용 가능</x:v>
      </x:c>
      <x:c r="H6" s="42" t="str">
        <x:v>Wave6 신화 빌드 시동 자금</x:v>
      </x:c>
    </x:row>
    <x:row r="7">
      <x:c r="A7" s="42" t="str">
        <x:v>웨이브 클리어 보상</x:v>
      </x:c>
      <x:c r="B7" s="42" t="str">
        <x:v>Wave별 고정</x:v>
      </x:c>
      <x:c r="C7" s="42" t="str">
        <x:v>W1~W9 지급, W10은 TD 종료 후 로비 보상으로 분리</x:v>
      </x:c>
      <x:c r="D7" s="42" t="str">
        <x:v>100→500G</x:v>
      </x:c>
      <x:c r="E7" s="42" t="str">
        <x:v>100%</x:v>
      </x:c>
      <x:c r="F7" s="42" t="str">
        <x:v>100%</x:v>
      </x:c>
      <x:c r="G7" s="42" t="str">
        <x:v>실패해도 처치골드는 유지하지 않음</x:v>
      </x:c>
      <x:c r="H7" s="42" t="str">
        <x:v>최소 진행 보장</x:v>
      </x:c>
    </x:row>
    <x:row r="8">
      <x:c r="A8" s="42" t="str">
        <x:v>조기 클리어 보너스</x:v>
      </x:c>
      <x:c r="B8" s="42" t="str">
        <x:v>0/10/20/30%</x:v>
      </x:c>
      <x:c r="C8" s="42" t="str">
        <x:v>해당 웨이브 기본 클리어 보상의 비율</x:v>
      </x:c>
      <x:c r="D8" s="42" t="str">
        <x:v>표준 +10%</x:v>
      </x:c>
      <x:c r="E8" s="42" t="str">
        <x:v>평균 +10%</x:v>
      </x:c>
      <x:c r="F8" s="42" t="str">
        <x:v>평균 +30%</x:v>
      </x:c>
      <x:c r="G8" s="42" t="str">
        <x:v>전체 판 골드 격차 과도화 방지</x:v>
      </x:c>
      <x:c r="H8" s="42" t="str">
        <x:v>숙련/고육성 보상</x:v>
      </x:c>
    </x:row>
    <x:row r="9">
      <x:c r="A9" s="42" t="str">
        <x:v>Wave10 보스 처치</x:v>
      </x:c>
      <x:c r="B9" s="42" t="str">
        <x:v>로비 보상</x:v>
      </x:c>
      <x:c r="C9" s="42" t="str">
        <x:v>보스 처치 후에는 해당 판 TD골드로 전환하지 않음</x:v>
      </x:c>
      <x:c r="D9" s="42" t="str">
        <x:v>별도 보상</x:v>
      </x:c>
      <x:c r="E9" s="42" t="str">
        <x:v>-</x:v>
      </x:c>
      <x:c r="F9" s="42" t="str">
        <x:v>-</x:v>
      </x:c>
      <x:c r="G9" s="42" t="str">
        <x:v>보스전 직전 경제에 포함 금지</x:v>
      </x:c>
      <x:c r="H9" s="42" t="str">
        <x:v>보스 보상과 전투 경제 분리</x:v>
      </x:c>
    </x:row>
    <x:row r="12">
      <x:c r="A12" s="141" t="str">
        <x:v>조기 클리어 등급</x:v>
      </x:c>
      <x:c r="B12" s="141" t="str">
        <x:v>남은 제한시간 비율</x:v>
      </x:c>
      <x:c r="C12" s="141" t="str">
        <x:v>추가 골드</x:v>
      </x:c>
      <x:c r="D12" s="141" t="str">
        <x:v>비고</x:v>
      </x:c>
      <x:c r="F12" s="142" t="str">
        <x:v>Wave</x:v>
      </x:c>
      <x:c r="G12" s="142" t="str">
        <x:v>기본 클리어 보상</x:v>
      </x:c>
      <x:c r="H12" s="142" t="str">
        <x:v>설계 이유</x:v>
      </x:c>
    </x:row>
    <x:row r="13">
      <x:c r="A13" t="str">
        <x:v>일반 클리어</x:v>
      </x:c>
      <x:c r="B13" t="str">
        <x:v>20% 미만</x:v>
      </x:c>
      <x:c r="C13" t="str">
        <x:v>0%</x:v>
      </x:c>
      <x:c r="D13" t="str">
        <x:v>기본 보상만</x:v>
      </x:c>
      <x:c r="F13" t="n">
        <x:v>1</x:v>
      </x:c>
      <x:c r="G13" t="n">
        <x:v>100</x:v>
      </x:c>
      <x:c r="H13" t="str">
        <x:v>빌드 성장 곡선</x:v>
      </x:c>
    </x:row>
    <x:row r="14">
      <x:c r="A14" t="str">
        <x:v>빠른 클리어</x:v>
      </x:c>
      <x:c r="B14" t="str">
        <x:v>20~29%</x:v>
      </x:c>
      <x:c r="C14" t="str">
        <x:v>+10%</x:v>
      </x:c>
      <x:c r="D14" t="str">
        <x:v>표준 시뮬레이션 기준</x:v>
      </x:c>
      <x:c r="F14" t="n">
        <x:v>2</x:v>
      </x:c>
      <x:c r="G14" t="n">
        <x:v>120</x:v>
      </x:c>
      <x:c r="H14" t="str">
        <x:v>빌드 성장 곡선</x:v>
      </x:c>
    </x:row>
    <x:row r="15">
      <x:c r="A15" t="str">
        <x:v>매우 빠른 클리어</x:v>
      </x:c>
      <x:c r="B15" t="str">
        <x:v>30~39%</x:v>
      </x:c>
      <x:c r="C15" t="str">
        <x:v>+20%</x:v>
      </x:c>
      <x:c r="D15" t="str">
        <x:v>숙련 플레이</x:v>
      </x:c>
      <x:c r="F15" t="n">
        <x:v>3</x:v>
      </x:c>
      <x:c r="G15" t="n">
        <x:v>150</x:v>
      </x:c>
      <x:c r="H15" t="str">
        <x:v>빌드 성장 곡선</x:v>
      </x:c>
    </x:row>
    <x:row r="16">
      <x:c r="A16" t="str">
        <x:v>완벽한 클리어</x:v>
      </x:c>
      <x:c r="B16" t="str">
        <x:v>40% 이상</x:v>
      </x:c>
      <x:c r="C16" t="str">
        <x:v>+30%</x:v>
      </x:c>
      <x:c r="D16" t="str">
        <x:v>고육성/고숙련 상한</x:v>
      </x:c>
      <x:c r="F16" t="n">
        <x:v>4</x:v>
      </x:c>
      <x:c r="G16" t="n">
        <x:v>180</x:v>
      </x:c>
      <x:c r="H16" t="str">
        <x:v>빌드 성장 곡선</x:v>
      </x:c>
    </x:row>
    <x:row r="17">
      <x:c r="F17" t="n">
        <x:v>5</x:v>
      </x:c>
      <x:c r="G17" t="n">
        <x:v>300</x:v>
      </x:c>
      <x:c r="H17" t="str">
        <x:v>중간보스 보너스</x:v>
      </x:c>
    </x:row>
    <x:row r="18">
      <x:c r="F18" t="n">
        <x:v>6</x:v>
      </x:c>
      <x:c r="G18" t="n">
        <x:v>220</x:v>
      </x:c>
      <x:c r="H18" t="str">
        <x:v>빌드 성장 곡선</x:v>
      </x:c>
    </x:row>
    <x:row r="19">
      <x:c r="A19" s="145" t="str">
        <x:v>핵심 경제 목표</x:v>
      </x:c>
      <x:c r="B19" s="145"/>
      <x:c r="C19" s="145"/>
      <x:c r="D19" s="145"/>
      <x:c r="E19" s="145"/>
      <x:c r="F19" s="145" t="n">
        <x:v>7</x:v>
      </x:c>
      <x:c r="G19" s="145" t="n">
        <x:v>300</x:v>
      </x:c>
      <x:c r="H19" s="145" t="str">
        <x:v>빌드 성장 곡선</x:v>
      </x:c>
    </x:row>
    <x:row r="20">
      <x:c r="A20" s="147" t="str">
        <x:v>시점</x:v>
      </x:c>
      <x:c r="B20" s="147" t="str">
        <x:v>유저층</x:v>
      </x:c>
      <x:c r="C20" s="147" t="str">
        <x:v>누적 가용골드</x:v>
      </x:c>
      <x:c r="D20" s="147" t="str">
        <x:v>목표 빌드</x:v>
      </x:c>
      <x:c r="E20" s="147" t="str">
        <x:v>판정 기준</x:v>
      </x:c>
      <x:c r="F20" t="n">
        <x:v>8</x:v>
      </x:c>
      <x:c r="G20" t="n">
        <x:v>400</x:v>
      </x:c>
      <x:c r="H20" t="str">
        <x:v>빌드 성장 곡선</x:v>
      </x:c>
    </x:row>
    <x:row r="21">
      <x:c r="A21" s="42" t="str">
        <x:v>Wave 4 종료</x:v>
      </x:c>
      <x:c r="B21" s="42" t="str">
        <x:v>표준</x:v>
      </x:c>
      <x:c r="C21" s="42" t="str">
        <x:v>누적 약 1,700~1,850G</x:v>
      </x:c>
      <x:c r="D21" s="42" t="str">
        <x:v>전설 2명 확보 + 최소 방어선 유지</x:v>
      </x:c>
      <x:c r="E21" s="42" t="str">
        <x:v>이 수치보다 낮으면 조합 트리 과도하게 빡빡함</x:v>
      </x:c>
      <x:c r="F21" t="n">
        <x:v>9</x:v>
      </x:c>
      <x:c r="G21" t="n">
        <x:v>500</x:v>
      </x:c>
      <x:c r="H21" t="str">
        <x:v>빌드 성장 곡선</x:v>
      </x:c>
    </x:row>
    <x:row r="22">
      <x:c r="A22" s="42" t="str">
        <x:v>Wave 5 종료</x:v>
      </x:c>
      <x:c r="B22" s="42" t="str">
        <x:v>표준</x:v>
      </x:c>
      <x:c r="C22" s="42" t="str">
        <x:v>누적 약 2,300~2,500G</x:v>
      </x:c>
      <x:c r="D22" s="42" t="str">
        <x:v>중간보스 후 신화 전환 준비</x:v>
      </x:c>
      <x:c r="E22" s="42" t="str">
        <x:v>중간보스 현상금이 핵심</x:v>
      </x:c>
      <x:c r="F22" t="n">
        <x:v>10</x:v>
      </x:c>
      <x:c r="G22" t="n">
        <x:v>0</x:v>
      </x:c>
      <x:c r="H22" t="str">
        <x:v>보스전 중 사용 불가</x:v>
      </x:c>
    </x:row>
    <x:row r="23">
      <x:c r="A23" s="42" t="str">
        <x:v>Wave 6 종료</x:v>
      </x:c>
      <x:c r="B23" s="42" t="str">
        <x:v>표준</x:v>
      </x:c>
      <x:c r="C23" s="42" t="str">
        <x:v>누적 약 2,800~3,000G</x:v>
      </x:c>
      <x:c r="D23" s="42" t="str">
        <x:v>첫 신화 완성권</x:v>
      </x:c>
      <x:c r="E23" s="42" t="str">
        <x:v>전설 2~3 생산 이력 필요</x:v>
      </x:c>
    </x:row>
    <x:row r="24">
      <x:c r="A24" s="42" t="str">
        <x:v>Wave 8 종료</x:v>
      </x:c>
      <x:c r="B24" s="42" t="str">
        <x:v>표준</x:v>
      </x:c>
      <x:c r="C24" s="42" t="str">
        <x:v>누적 약 4,300~4,600G</x:v>
      </x:c>
      <x:c r="D24" s="42" t="str">
        <x:v>영웅 5인 완성권</x:v>
      </x:c>
      <x:c r="E24" s="42" t="str">
        <x:v>신화2 + 전설3 전후</x:v>
      </x:c>
    </x:row>
    <x:row r="25">
      <x:c r="A25" s="42" t="str">
        <x:v>Wave 9 종료</x:v>
      </x:c>
      <x:c r="B25" s="42" t="str">
        <x:v>표준</x:v>
      </x:c>
      <x:c r="C25" s="42" t="str">
        <x:v>누적 약 5,100~5,400G</x:v>
      </x:c>
      <x:c r="D25" s="42" t="str">
        <x:v>신화3 + 전설2 목표</x:v>
      </x:c>
      <x:c r="E25" s="42" t="str">
        <x:v>보스 RPG 파티 완성</x:v>
      </x:c>
    </x:row>
    <x:row r="26">
      <x:c r="A26" s="42" t="str">
        <x:v>Wave 9 종료</x:v>
      </x:c>
      <x:c r="B26" s="42" t="str">
        <x:v>숙련/고육성</x:v>
      </x:c>
      <x:c r="C26" s="42" t="str">
        <x:v>표준보다 +400~500G 수입 + TD 지출 400~600G 절약</x:v>
      </x:c>
      <x:c r="D26" s="42" t="str">
        <x:v>신화5 도전 가능</x:v>
      </x:c>
      <x:c r="E26" s="42" t="str">
        <x:v>신화5는 필수가 아니라 최적화 보상</x:v>
      </x:c>
    </x:row>
  </x:sheetData>
  <x:mergeCells>
    <x:mergeCell ref="A1:H1"/>
    <x:mergeCell ref="A19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24" hidden="0" customWidth="1"/>
    <x:col min="14" max="14" width="40" hidden="0" customWidth="1"/>
  </x:cols>
  <x:sheetData>
    <x:row r="1">
      <x:c r="A1" s="188" t="str">
        <x:v>영웅 조합 실제 제작비용 검증 — 전문화 비용/계정성장 반영 V1.6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</x:row>
    <x:row r="3">
      <x:c r="A3" s="192" t="str">
        <x:v>등급</x:v>
      </x:c>
      <x:c r="B3" s="192" t="str">
        <x:v>영웅</x:v>
      </x:c>
      <x:c r="C3" s="192" t="str">
        <x:v>최초 조합 가능 스테이지</x:v>
      </x:c>
      <x:c r="D3" s="192" t="str">
        <x:v>재료1</x:v>
      </x:c>
      <x:c r="E3" s="192" t="str">
        <x:v>재료1 비용</x:v>
      </x:c>
      <x:c r="F3" s="192" t="str">
        <x:v>재료2</x:v>
      </x:c>
      <x:c r="G3" s="192" t="str">
        <x:v>재료2 비용</x:v>
      </x:c>
      <x:c r="H3" s="192" t="str">
        <x:v>재료3</x:v>
      </x:c>
      <x:c r="I3" s="192" t="str">
        <x:v>재료3 비용</x:v>
      </x:c>
      <x:c r="J3" s="192" t="str">
        <x:v>총 원가</x:v>
      </x:c>
      <x:c r="K3" s="192" t="str">
        <x:v>신화 추가 전환비</x:v>
      </x:c>
      <x:c r="L3" s="192" t="str">
        <x:v>비용 포지션</x:v>
      </x:c>
      <x:c r="M3" s="192" t="str">
        <x:v>Wave4/9 관점</x:v>
      </x:c>
      <x:c r="N3" s="192" t="str">
        <x:v>메모</x:v>
      </x:c>
    </x:row>
    <x:row r="4">
      <x:c r="A4" s="42" t="str">
        <x:v>전설</x:v>
      </x:c>
      <x:c r="B4" s="42" t="str">
        <x:v>아리아</x:v>
      </x:c>
      <x:c r="C4" s="42" t="n">
        <x:v>1</x:v>
      </x:c>
      <x:c r="D4" s="42" t="str">
        <x:v>기사단장</x:v>
      </x:c>
      <x:c r="E4" s="42" t="n">
        <x:v>365</x:v>
      </x:c>
      <x:c r="F4" s="42" t="str">
        <x:v>기사단장</x:v>
      </x:c>
      <x:c r="G4" s="42" t="n">
        <x:v>365</x:v>
      </x:c>
      <x:c r="H4" s="42" t="str">
        <x:v>-</x:v>
      </x:c>
      <x:c r="I4" s="42" t="n">
        <x:v>0</x:v>
      </x:c>
      <x:c r="J4" s="42" t="n">
        <x:v>730</x:v>
      </x:c>
      <x:c r="K4" s="42" t="str">
        <x:v>-</x:v>
      </x:c>
      <x:c r="L4" s="42" t="str">
        <x:v>초반형</x:v>
      </x:c>
      <x:c r="M4" s="42" t="str">
        <x:v>Wave4 후보</x:v>
      </x:c>
      <x:c r="N4" s="42" t="str">
        <x:v>기본 계정에서는 빡빡, 계정 경제 패시브 성장 시 조합 타이밍 단축</x:v>
      </x:c>
    </x:row>
    <x:row r="5">
      <x:c r="A5" s="42" t="str">
        <x:v>전설</x:v>
      </x:c>
      <x:c r="B5" s="42" t="str">
        <x:v>유나</x:v>
      </x:c>
      <x:c r="C5" s="42" t="n">
        <x:v>10</x:v>
      </x:c>
      <x:c r="D5" s="42" t="str">
        <x:v>주술사</x:v>
      </x:c>
      <x:c r="E5" s="42" t="n">
        <x:v>454</x:v>
      </x:c>
      <x:c r="F5" s="42" t="str">
        <x:v>대현자</x:v>
      </x:c>
      <x:c r="G5" s="42" t="n">
        <x:v>492</x:v>
      </x:c>
      <x:c r="H5" s="42" t="str">
        <x:v>-</x:v>
      </x:c>
      <x:c r="I5" s="42" t="n">
        <x:v>0</x:v>
      </x:c>
      <x:c r="J5" s="42" t="n">
        <x:v>946</x:v>
      </x:c>
      <x:c r="K5" s="42" t="str">
        <x:v>-</x:v>
      </x:c>
      <x:c r="L5" s="42" t="str">
        <x:v>중간형</x:v>
      </x:c>
      <x:c r="M5" s="42" t="str">
        <x:v>후반 선택형</x:v>
      </x:c>
      <x:c r="N5" s="42" t="str">
        <x:v>기본 계정에서는 빡빡, 계정 경제 패시브 성장 시 조합 타이밍 단축</x:v>
      </x:c>
    </x:row>
    <x:row r="6">
      <x:c r="A6" s="42" t="str">
        <x:v>전설</x:v>
      </x:c>
      <x:c r="B6" s="42" t="str">
        <x:v>리엘</x:v>
      </x:c>
      <x:c r="C6" s="42" t="n">
        <x:v>15</x:v>
      </x:c>
      <x:c r="D6" s="42" t="str">
        <x:v>1급 용암수정</x:v>
      </x:c>
      <x:c r="E6" s="42" t="n">
        <x:v>865</x:v>
      </x:c>
      <x:c r="F6" s="42" t="str">
        <x:v>대현자</x:v>
      </x:c>
      <x:c r="G6" s="42" t="n">
        <x:v>492</x:v>
      </x:c>
      <x:c r="H6" s="42" t="str">
        <x:v>-</x:v>
      </x:c>
      <x:c r="I6" s="42" t="n">
        <x:v>0</x:v>
      </x:c>
      <x:c r="J6" s="42" t="n">
        <x:v>1357</x:v>
      </x:c>
      <x:c r="K6" s="42" t="str">
        <x:v>-</x:v>
      </x:c>
      <x:c r="L6" s="42" t="str">
        <x:v>고비용형</x:v>
      </x:c>
      <x:c r="M6" s="42" t="str">
        <x:v>후반 선택형</x:v>
      </x:c>
      <x:c r="N6" s="42" t="str">
        <x:v>기본 계정에서는 빡빡, 계정 경제 패시브 성장 시 조합 타이밍 단축</x:v>
      </x:c>
    </x:row>
    <x:row r="7">
      <x:c r="A7" s="42" t="str">
        <x:v>전설</x:v>
      </x:c>
      <x:c r="B7" s="42" t="str">
        <x:v>루비</x:v>
      </x:c>
      <x:c r="C7" s="42" t="n">
        <x:v>1</x:v>
      </x:c>
      <x:c r="D7" s="42" t="str">
        <x:v>연사궁병</x:v>
      </x:c>
      <x:c r="E7" s="42" t="n">
        <x:v>365</x:v>
      </x:c>
      <x:c r="F7" s="42" t="str">
        <x:v>연사감시탑</x:v>
      </x:c>
      <x:c r="G7" s="42" t="n">
        <x:v>320</x:v>
      </x:c>
      <x:c r="H7" s="42" t="str">
        <x:v>-</x:v>
      </x:c>
      <x:c r="I7" s="42" t="n">
        <x:v>0</x:v>
      </x:c>
      <x:c r="J7" s="42" t="n">
        <x:v>685</x:v>
      </x:c>
      <x:c r="K7" s="42" t="str">
        <x:v>-</x:v>
      </x:c>
      <x:c r="L7" s="42" t="str">
        <x:v>초반형</x:v>
      </x:c>
      <x:c r="M7" s="42" t="str">
        <x:v>Wave4 후보</x:v>
      </x:c>
      <x:c r="N7" s="42" t="str">
        <x:v>기본 계정에서는 빡빡, 계정 경제 패시브 성장 시 조합 타이밍 단축</x:v>
      </x:c>
    </x:row>
    <x:row r="8">
      <x:c r="A8" s="42" t="str">
        <x:v>전설</x:v>
      </x:c>
      <x:c r="B8" s="42" t="str">
        <x:v>에리카</x:v>
      </x:c>
      <x:c r="C8" s="42" t="n">
        <x:v>1</x:v>
      </x:c>
      <x:c r="D8" s="42" t="str">
        <x:v>광전사</x:v>
      </x:c>
      <x:c r="E8" s="42" t="n">
        <x:v>365</x:v>
      </x:c>
      <x:c r="F8" s="42" t="str">
        <x:v>마창병</x:v>
      </x:c>
      <x:c r="G8" s="42" t="n">
        <x:v>406</x:v>
      </x:c>
      <x:c r="H8" s="42" t="str">
        <x:v>-</x:v>
      </x:c>
      <x:c r="I8" s="42" t="n">
        <x:v>0</x:v>
      </x:c>
      <x:c r="J8" s="42" t="n">
        <x:v>771</x:v>
      </x:c>
      <x:c r="K8" s="42" t="str">
        <x:v>-</x:v>
      </x:c>
      <x:c r="L8" s="42" t="str">
        <x:v>초반형</x:v>
      </x:c>
      <x:c r="M8" s="42" t="str">
        <x:v>Wave4 후보</x:v>
      </x:c>
      <x:c r="N8" s="42" t="str">
        <x:v>기본 계정에서는 빡빡, 계정 경제 패시브 성장 시 조합 타이밍 단축</x:v>
      </x:c>
    </x:row>
    <x:row r="9">
      <x:c r="A9" s="42" t="str">
        <x:v>전설</x:v>
      </x:c>
      <x:c r="B9" s="42" t="str">
        <x:v>세라</x:v>
      </x:c>
      <x:c r="C9" s="42" t="n">
        <x:v>10</x:v>
      </x:c>
      <x:c r="D9" s="42" t="str">
        <x:v>아이돌</x:v>
      </x:c>
      <x:c r="E9" s="42" t="n">
        <x:v>454</x:v>
      </x:c>
      <x:c r="F9" s="42" t="str">
        <x:v>주술사</x:v>
      </x:c>
      <x:c r="G9" s="42" t="n">
        <x:v>454</x:v>
      </x:c>
      <x:c r="H9" s="42" t="str">
        <x:v>-</x:v>
      </x:c>
      <x:c r="I9" s="42" t="n">
        <x:v>0</x:v>
      </x:c>
      <x:c r="J9" s="42" t="n">
        <x:v>908</x:v>
      </x:c>
      <x:c r="K9" s="42" t="str">
        <x:v>-</x:v>
      </x:c>
      <x:c r="L9" s="42" t="str">
        <x:v>중간형</x:v>
      </x:c>
      <x:c r="M9" s="42" t="str">
        <x:v>후반 선택형</x:v>
      </x:c>
      <x:c r="N9" s="42" t="str">
        <x:v>기본 계정에서는 빡빡, 계정 경제 패시브 성장 시 조합 타이밍 단축</x:v>
      </x:c>
    </x:row>
    <x:row r="10">
      <x:c r="A10" s="42" t="str">
        <x:v>전설</x:v>
      </x:c>
      <x:c r="B10" s="42" t="str">
        <x:v>레이나</x:v>
      </x:c>
      <x:c r="C10" s="42" t="n">
        <x:v>15</x:v>
      </x:c>
      <x:c r="D10" s="42" t="str">
        <x:v>1급 얼음 수정</x:v>
      </x:c>
      <x:c r="E10" s="42" t="n">
        <x:v>865</x:v>
      </x:c>
      <x:c r="F10" s="42" t="str">
        <x:v>대현자</x:v>
      </x:c>
      <x:c r="G10" s="42" t="n">
        <x:v>492</x:v>
      </x:c>
      <x:c r="H10" s="42" t="str">
        <x:v>-</x:v>
      </x:c>
      <x:c r="I10" s="42" t="n">
        <x:v>0</x:v>
      </x:c>
      <x:c r="J10" s="42" t="n">
        <x:v>1357</x:v>
      </x:c>
      <x:c r="K10" s="42" t="str">
        <x:v>-</x:v>
      </x:c>
      <x:c r="L10" s="42" t="str">
        <x:v>고비용형</x:v>
      </x:c>
      <x:c r="M10" s="42" t="str">
        <x:v>후반 선택형</x:v>
      </x:c>
      <x:c r="N10" s="42" t="str">
        <x:v>기본 계정에서는 빡빡, 계정 경제 패시브 성장 시 조합 타이밍 단축</x:v>
      </x:c>
    </x:row>
    <x:row r="11">
      <x:c r="A11" s="42" t="str">
        <x:v>전설</x:v>
      </x:c>
      <x:c r="B11" s="42" t="str">
        <x:v>카린</x:v>
      </x:c>
      <x:c r="C11" s="42" t="n">
        <x:v>1</x:v>
      </x:c>
      <x:c r="D11" s="42" t="str">
        <x:v>광전사</x:v>
      </x:c>
      <x:c r="E11" s="42" t="n">
        <x:v>365</x:v>
      </x:c>
      <x:c r="F11" s="42" t="str">
        <x:v>연사궁병</x:v>
      </x:c>
      <x:c r="G11" s="42" t="n">
        <x:v>365</x:v>
      </x:c>
      <x:c r="H11" s="42" t="str">
        <x:v>-</x:v>
      </x:c>
      <x:c r="I11" s="42" t="n">
        <x:v>0</x:v>
      </x:c>
      <x:c r="J11" s="42" t="n">
        <x:v>730</x:v>
      </x:c>
      <x:c r="K11" s="42" t="str">
        <x:v>-</x:v>
      </x:c>
      <x:c r="L11" s="42" t="str">
        <x:v>초반형</x:v>
      </x:c>
      <x:c r="M11" s="42" t="str">
        <x:v>Wave4 후보</x:v>
      </x:c>
      <x:c r="N11" s="42" t="str">
        <x:v>기본 계정에서는 빡빡, 계정 경제 패시브 성장 시 조합 타이밍 단축</x:v>
      </x:c>
    </x:row>
    <x:row r="12">
      <x:c r="A12" s="42" t="str">
        <x:v>신화</x:v>
      </x:c>
      <x:c r="B12" s="42" t="str">
        <x:v>벨</x:v>
      </x:c>
      <x:c r="C12" s="42" t="n">
        <x:v>15</x:v>
      </x:c>
      <x:c r="D12" s="42" t="str">
        <x:v>주술사</x:v>
      </x:c>
      <x:c r="E12" s="42" t="n">
        <x:v>454</x:v>
      </x:c>
      <x:c r="F12" s="42" t="str">
        <x:v>충만한 마력수정</x:v>
      </x:c>
      <x:c r="G12" s="42" t="n">
        <x:v>255</x:v>
      </x:c>
      <x:c r="H12" s="42" t="str">
        <x:v>유나</x:v>
      </x:c>
      <x:c r="I12" s="42" t="n">
        <x:v>946</x:v>
      </x:c>
      <x:c r="J12" s="42" t="n">
        <x:v>1655</x:v>
      </x:c>
      <x:c r="K12" s="42" t="n">
        <x:v>709</x:v>
      </x:c>
      <x:c r="L12" s="42" t="str">
        <x:v>중간비용 신화</x:v>
      </x:c>
      <x:c r="M12" s="42" t="str">
        <x:v>Wave6~9 경제전략</x:v>
      </x:c>
      <x:c r="N12" s="42" t="str">
        <x:v>기본 계정에서는 빡빡, 계정 경제 패시브 성장 시 조합 타이밍 단축</x:v>
      </x:c>
    </x:row>
    <x:row r="13">
      <x:c r="A13" s="42" t="str">
        <x:v>신화</x:v>
      </x:c>
      <x:c r="B13" s="42" t="str">
        <x:v>미아</x:v>
      </x:c>
      <x:c r="C13" s="42" t="n">
        <x:v>5</x:v>
      </x:c>
      <x:c r="D13" s="42" t="str">
        <x:v>대형 발리스타</x:v>
      </x:c>
      <x:c r="E13" s="42" t="n">
        <x:v>240</x:v>
      </x:c>
      <x:c r="F13" s="42" t="str">
        <x:v>연사 감시탑</x:v>
      </x:c>
      <x:c r="G13" s="42" t="n">
        <x:v>320</x:v>
      </x:c>
      <x:c r="H13" s="42" t="str">
        <x:v>루비</x:v>
      </x:c>
      <x:c r="I13" s="42" t="n">
        <x:v>685</x:v>
      </x:c>
      <x:c r="J13" s="42" t="n">
        <x:v>1245</x:v>
      </x:c>
      <x:c r="K13" s="42" t="n">
        <x:v>560</x:v>
      </x:c>
      <x:c r="L13" s="42" t="str">
        <x:v>저비용 신화</x:v>
      </x:c>
      <x:c r="M13" s="42" t="str">
        <x:v>Wave6~9 경제전략</x:v>
      </x:c>
      <x:c r="N13" s="42" t="str">
        <x:v>기본 계정에서는 빡빡, 계정 경제 패시브 성장 시 조합 타이밍 단축</x:v>
      </x:c>
    </x:row>
    <x:row r="14">
      <x:c r="A14" s="42" t="str">
        <x:v>신화</x:v>
      </x:c>
      <x:c r="B14" s="42" t="str">
        <x:v>아이린</x:v>
      </x:c>
      <x:c r="C14" s="42" t="n">
        <x:v>10</x:v>
      </x:c>
      <x:c r="D14" s="42" t="str">
        <x:v>기사단장</x:v>
      </x:c>
      <x:c r="E14" s="42" t="n">
        <x:v>365</x:v>
      </x:c>
      <x:c r="F14" s="42" t="str">
        <x:v>마력 캐논타워</x:v>
      </x:c>
      <x:c r="G14" s="42" t="n">
        <x:v>775</x:v>
      </x:c>
      <x:c r="H14" s="42" t="str">
        <x:v>아리아</x:v>
      </x:c>
      <x:c r="I14" s="42" t="n">
        <x:v>730</x:v>
      </x:c>
      <x:c r="J14" s="42" t="n">
        <x:v>1870</x:v>
      </x:c>
      <x:c r="K14" s="42" t="n">
        <x:v>1140</x:v>
      </x:c>
      <x:c r="L14" s="42" t="str">
        <x:v>고비용 신화</x:v>
      </x:c>
      <x:c r="M14" s="42" t="str">
        <x:v>Wave6~9 경제전략</x:v>
      </x:c>
      <x:c r="N14" s="42" t="str">
        <x:v>기본 계정에서는 빡빡, 계정 경제 패시브 성장 시 조합 타이밍 단축</x:v>
      </x:c>
    </x:row>
    <x:row r="15">
      <x:c r="A15" s="42" t="str">
        <x:v>신화</x:v>
      </x:c>
      <x:c r="B15" s="42" t="str">
        <x:v>네온</x:v>
      </x:c>
      <x:c r="C15" s="42" t="n">
        <x:v>10</x:v>
      </x:c>
      <x:c r="D15" s="42" t="str">
        <x:v>흑마법사</x:v>
      </x:c>
      <x:c r="E15" s="42" t="n">
        <x:v>492</x:v>
      </x:c>
      <x:c r="F15" s="42" t="str">
        <x:v>대현자</x:v>
      </x:c>
      <x:c r="G15" s="42" t="n">
        <x:v>492</x:v>
      </x:c>
      <x:c r="H15" s="42" t="str">
        <x:v>유나</x:v>
      </x:c>
      <x:c r="I15" s="42" t="n">
        <x:v>946</x:v>
      </x:c>
      <x:c r="J15" s="42" t="n">
        <x:v>1930</x:v>
      </x:c>
      <x:c r="K15" s="42" t="n">
        <x:v>984</x:v>
      </x:c>
      <x:c r="L15" s="42" t="str">
        <x:v>중간비용 신화</x:v>
      </x:c>
      <x:c r="M15" s="42" t="str">
        <x:v>Wave6~9 경제전략</x:v>
      </x:c>
      <x:c r="N15" s="42" t="str">
        <x:v>기본 계정에서는 빡빡, 계정 경제 패시브 성장 시 조합 타이밍 단축</x:v>
      </x:c>
    </x:row>
    <x:row r="16">
      <x:c r="A16" s="42" t="str">
        <x:v>신화</x:v>
      </x:c>
      <x:c r="B16" s="42" t="str">
        <x:v>샤샤</x:v>
      </x:c>
      <x:c r="C16" s="42" t="n">
        <x:v>10</x:v>
      </x:c>
      <x:c r="D16" s="42" t="str">
        <x:v>봄버 캐논타워</x:v>
      </x:c>
      <x:c r="E16" s="42" t="n">
        <x:v>775</x:v>
      </x:c>
      <x:c r="F16" s="42" t="str">
        <x:v>석궁수</x:v>
      </x:c>
      <x:c r="G16" s="42" t="n">
        <x:v>365</x:v>
      </x:c>
      <x:c r="H16" s="42" t="str">
        <x:v>루비</x:v>
      </x:c>
      <x:c r="I16" s="42" t="n">
        <x:v>685</x:v>
      </x:c>
      <x:c r="J16" s="42" t="n">
        <x:v>1825</x:v>
      </x:c>
      <x:c r="K16" s="42" t="n">
        <x:v>1140</x:v>
      </x:c>
      <x:c r="L16" s="42" t="str">
        <x:v>고비용 신화</x:v>
      </x:c>
      <x:c r="M16" s="42" t="str">
        <x:v>Wave6~9 경제전략</x:v>
      </x:c>
      <x:c r="N16" s="42" t="str">
        <x:v>기본 계정에서는 빡빡, 계정 경제 패시브 성장 시 조합 타이밍 단축</x:v>
      </x:c>
    </x:row>
    <x:row r="17">
      <x:c r="A17" s="42" t="str">
        <x:v>신화</x:v>
      </x:c>
      <x:c r="B17" s="42" t="str">
        <x:v>루나</x:v>
      </x:c>
      <x:c r="C17" s="42" t="n">
        <x:v>15</x:v>
      </x:c>
      <x:c r="D17" s="42" t="str">
        <x:v>대현자</x:v>
      </x:c>
      <x:c r="E17" s="42" t="n">
        <x:v>492</x:v>
      </x:c>
      <x:c r="F17" s="42" t="str">
        <x:v>충만한 마력수정</x:v>
      </x:c>
      <x:c r="G17" s="42" t="n">
        <x:v>255</x:v>
      </x:c>
      <x:c r="H17" s="42" t="str">
        <x:v>레이나</x:v>
      </x:c>
      <x:c r="I17" s="42" t="n">
        <x:v>1357</x:v>
      </x:c>
      <x:c r="J17" s="42" t="n">
        <x:v>2104</x:v>
      </x:c>
      <x:c r="K17" s="42" t="n">
        <x:v>747</x:v>
      </x:c>
      <x:c r="L17" s="42" t="str">
        <x:v>중간비용 신화</x:v>
      </x:c>
      <x:c r="M17" s="42" t="str">
        <x:v>Wave6~9 경제전략</x:v>
      </x:c>
      <x:c r="N17" s="42" t="str">
        <x:v>기본 계정에서는 빡빡, 계정 경제 패시브 성장 시 조합 타이밍 단축</x:v>
      </x:c>
    </x:row>
    <x:row r="18">
      <x:c r="A18" s="42" t="str">
        <x:v>신화</x:v>
      </x:c>
      <x:c r="B18" s="42" t="str">
        <x:v>비올라</x:v>
      </x:c>
      <x:c r="C18" s="42" t="n">
        <x:v>10</x:v>
      </x:c>
      <x:c r="D18" s="42" t="str">
        <x:v>흑마법사</x:v>
      </x:c>
      <x:c r="E18" s="42" t="n">
        <x:v>492</x:v>
      </x:c>
      <x:c r="F18" s="42" t="str">
        <x:v>죽음의 화신</x:v>
      </x:c>
      <x:c r="G18" s="42" t="n">
        <x:v>518</x:v>
      </x:c>
      <x:c r="H18" s="42" t="str">
        <x:v>유나</x:v>
      </x:c>
      <x:c r="I18" s="42" t="n">
        <x:v>946</x:v>
      </x:c>
      <x:c r="J18" s="42" t="n">
        <x:v>1956</x:v>
      </x:c>
      <x:c r="K18" s="42" t="n">
        <x:v>1010</x:v>
      </x:c>
      <x:c r="L18" s="42" t="str">
        <x:v>중간비용 신화</x:v>
      </x:c>
      <x:c r="M18" s="42" t="str">
        <x:v>Wave6~9 경제전략</x:v>
      </x:c>
      <x:c r="N18" s="42" t="str">
        <x:v>기본 계정에서는 빡빡, 계정 경제 패시브 성장 시 조합 타이밍 단축</x:v>
      </x:c>
    </x:row>
    <x:row r="19">
      <x:c r="A19" s="42" t="str">
        <x:v>신화</x:v>
      </x:c>
      <x:c r="B19" s="42" t="str">
        <x:v>클로에</x:v>
      </x:c>
      <x:c r="C19" s="42" t="n">
        <x:v>10</x:v>
      </x:c>
      <x:c r="D19" s="42" t="str">
        <x:v>아이돌</x:v>
      </x:c>
      <x:c r="E19" s="42" t="n">
        <x:v>454</x:v>
      </x:c>
      <x:c r="F19" s="42" t="str">
        <x:v>주술사</x:v>
      </x:c>
      <x:c r="G19" s="42" t="n">
        <x:v>454</x:v>
      </x:c>
      <x:c r="H19" s="42" t="str">
        <x:v>세라</x:v>
      </x:c>
      <x:c r="I19" s="42" t="n">
        <x:v>908</x:v>
      </x:c>
      <x:c r="J19" s="42" t="n">
        <x:v>1816</x:v>
      </x:c>
      <x:c r="K19" s="42" t="n">
        <x:v>908</x:v>
      </x:c>
      <x:c r="L19" s="42" t="str">
        <x:v>중간비용 신화</x:v>
      </x:c>
      <x:c r="M19" s="42" t="str">
        <x:v>Wave6~9 경제전략</x:v>
      </x:c>
      <x:c r="N19" s="42" t="str">
        <x:v>기본 계정에서는 빡빡, 계정 경제 패시브 성장 시 조합 타이밍 단축</x:v>
      </x:c>
    </x:row>
    <x:row r="20">
      <x:c r="A20" s="42" t="str">
        <x:v>신화</x:v>
      </x:c>
      <x:c r="B20" s="42" t="str">
        <x:v>아델</x:v>
      </x:c>
      <x:c r="C20" s="42" t="n">
        <x:v>5</x:v>
      </x:c>
      <x:c r="D20" s="42" t="str">
        <x:v>기사단장</x:v>
      </x:c>
      <x:c r="E20" s="42" t="n">
        <x:v>365</x:v>
      </x:c>
      <x:c r="F20" s="42" t="str">
        <x:v>미스릴 방어벽</x:v>
      </x:c>
      <x:c r="G20" s="42" t="n">
        <x:v>370</x:v>
      </x:c>
      <x:c r="H20" s="42" t="str">
        <x:v>아리아</x:v>
      </x:c>
      <x:c r="I20" s="42" t="n">
        <x:v>730</x:v>
      </x:c>
      <x:c r="J20" s="42" t="n">
        <x:v>1465</x:v>
      </x:c>
      <x:c r="K20" s="42" t="n">
        <x:v>735</x:v>
      </x:c>
      <x:c r="L20" s="42" t="str">
        <x:v>중간비용 신화</x:v>
      </x:c>
      <x:c r="M20" s="42" t="str">
        <x:v>Wave6~9 경제전략</x:v>
      </x:c>
      <x:c r="N20" s="42" t="str">
        <x:v>기본 계정에서는 빡빡, 계정 경제 패시브 성장 시 조합 타이밍 단축</x:v>
      </x:c>
    </x:row>
    <x:row r="21">
      <x:c r="A21" s="42" t="str">
        <x:v>신화</x:v>
      </x:c>
      <x:c r="B21" s="42" t="str">
        <x:v>니아</x:v>
      </x:c>
      <x:c r="C21" s="42" t="n">
        <x:v>15</x:v>
      </x:c>
      <x:c r="D21" s="42" t="str">
        <x:v>흑마법사</x:v>
      </x:c>
      <x:c r="E21" s="42" t="n">
        <x:v>492</x:v>
      </x:c>
      <x:c r="F21" s="42" t="str">
        <x:v>마녀대모</x:v>
      </x:c>
      <x:c r="G21" s="42" t="n">
        <x:v>142</x:v>
      </x:c>
      <x:c r="H21" s="42" t="str">
        <x:v>리엘</x:v>
      </x:c>
      <x:c r="I21" s="42" t="n">
        <x:v>1357</x:v>
      </x:c>
      <x:c r="J21" s="42" t="n">
        <x:v>1991</x:v>
      </x:c>
      <x:c r="K21" s="42" t="n">
        <x:v>634</x:v>
      </x:c>
      <x:c r="L21" s="42" t="str">
        <x:v>저비용 신화</x:v>
      </x:c>
      <x:c r="M21" s="42" t="str">
        <x:v>Wave6~9 경제전략</x:v>
      </x:c>
      <x:c r="N21" s="42" t="str">
        <x:v>기본 계정에서는 빡빡, 계정 경제 패시브 성장 시 조합 타이밍 단축</x:v>
      </x:c>
    </x:row>
    <x:row r="22">
      <x:c r="A22" s="42" t="str">
        <x:v>신화</x:v>
      </x:c>
      <x:c r="B22" s="42" t="str">
        <x:v>오로라</x:v>
      </x:c>
      <x:c r="C22" s="42" t="n">
        <x:v>15</x:v>
      </x:c>
      <x:c r="D22" s="42" t="str">
        <x:v>주술사</x:v>
      </x:c>
      <x:c r="E22" s="42" t="n">
        <x:v>454</x:v>
      </x:c>
      <x:c r="F22" s="42" t="str">
        <x:v>충만한 마력수정</x:v>
      </x:c>
      <x:c r="G22" s="42" t="n">
        <x:v>255</x:v>
      </x:c>
      <x:c r="H22" s="42" t="str">
        <x:v>세라</x:v>
      </x:c>
      <x:c r="I22" s="42" t="n">
        <x:v>908</x:v>
      </x:c>
      <x:c r="J22" s="42" t="n">
        <x:v>1617</x:v>
      </x:c>
      <x:c r="K22" s="42" t="n">
        <x:v>709</x:v>
      </x:c>
      <x:c r="L22" s="42" t="str">
        <x:v>중간비용 신화</x:v>
      </x:c>
      <x:c r="M22" s="42" t="str">
        <x:v>Wave6~9 경제전략</x:v>
      </x:c>
      <x:c r="N22" s="42" t="str">
        <x:v>기본 계정에서는 빡빡, 계정 경제 패시브 성장 시 조합 타이밍 단축</x:v>
      </x:c>
    </x:row>
    <x:row r="23">
      <x:c r="A23" s="42" t="str">
        <x:v>신화</x:v>
      </x:c>
      <x:c r="B23" s="42" t="str">
        <x:v>이브</x:v>
      </x:c>
      <x:c r="C23" s="42" t="n">
        <x:v>15</x:v>
      </x:c>
      <x:c r="D23" s="42" t="str">
        <x:v>아이돌</x:v>
      </x:c>
      <x:c r="E23" s="42" t="n">
        <x:v>454</x:v>
      </x:c>
      <x:c r="F23" s="42" t="str">
        <x:v>1급 얼음수정</x:v>
      </x:c>
      <x:c r="G23" s="42" t="n">
        <x:v>865</x:v>
      </x:c>
      <x:c r="H23" s="42" t="str">
        <x:v>카린</x:v>
      </x:c>
      <x:c r="I23" s="42" t="n">
        <x:v>730</x:v>
      </x:c>
      <x:c r="J23" s="42" t="n">
        <x:v>2049</x:v>
      </x:c>
      <x:c r="K23" s="42" t="n">
        <x:v>1319</x:v>
      </x:c>
      <x:c r="L23" s="42" t="str">
        <x:v>고비용 신화</x:v>
      </x:c>
      <x:c r="M23" s="42" t="str">
        <x:v>Wave6~9 경제전략</x:v>
      </x:c>
      <x:c r="N23" s="42" t="str">
        <x:v>기본 계정에서는 빡빡, 계정 경제 패시브 성장 시 조합 타이밍 단축</x:v>
      </x:c>
    </x:row>
    <x:row r="26">
      <x:c r="A26" s="195" t="str">
        <x:v>비용 통계 / 경제 체크포인트</x:v>
      </x:c>
      <x:c r="B26" s="195"/>
      <x:c r="C26" s="195"/>
      <x:c r="D26" s="195"/>
      <x:c r="E26" s="195"/>
      <x:c r="F26" s="195"/>
      <x:c r="G26" s="195"/>
      <x:c r="H26" s="195"/>
      <x:c r="I26" s="195"/>
      <x:c r="J26" s="195"/>
      <x:c r="K26" s="195"/>
      <x:c r="L26" s="195"/>
      <x:c r="M26" s="195"/>
      <x:c r="N26" s="195"/>
    </x:row>
    <x:row r="27">
      <x:c r="A27" s="42" t="str">
        <x:v>전설 원가</x:v>
      </x:c>
      <x:c r="B27" s="42" t="str">
        <x:v>최저</x:v>
      </x:c>
      <x:c r="C27" s="42" t="n">
        <x:v>685</x:v>
      </x:c>
      <x:c r="D27" s="42" t="str">
        <x:v>평균</x:v>
      </x:c>
      <x:c r="E27" s="42" t="n">
        <x:v>935.5</x:v>
      </x:c>
      <x:c r="F27" s="42" t="str">
        <x:v>최고</x:v>
      </x:c>
      <x:c r="G27" s="42" t="n">
        <x:v>1357</x:v>
      </x:c>
      <x:c r="H27" s="42" t="str">
        <x:v>전문화 비용 포함</x:v>
      </x:c>
    </x:row>
    <x:row r="28">
      <x:c r="A28" s="42" t="str">
        <x:v>신화 추가 전환비</x:v>
      </x:c>
      <x:c r="B28" s="42" t="str">
        <x:v>최저</x:v>
      </x:c>
      <x:c r="C28" s="42" t="n">
        <x:v>560</x:v>
      </x:c>
      <x:c r="D28" s="42" t="str">
        <x:v>평균</x:v>
      </x:c>
      <x:c r="E28" s="42" t="n">
        <x:v>882.9</x:v>
      </x:c>
      <x:c r="F28" s="42" t="str">
        <x:v>최고</x:v>
      </x:c>
      <x:c r="G28" s="42" t="n">
        <x:v>1319</x:v>
      </x:c>
      <x:c r="H28" s="42" t="str">
        <x:v>전설 재료는 이미 확보된 전제</x:v>
      </x:c>
    </x:row>
    <x:row r="29">
      <x:c r="A29" s="42" t="str">
        <x:v>Stage1 Wave4 Lv1</x:v>
      </x:c>
      <x:c r="B29" s="42" t="str">
        <x:v>누적골드</x:v>
      </x:c>
      <x:c r="C29" s="42" t="n">
        <x:v>1777</x:v>
      </x:c>
      <x:c r="D29" s="42" t="str">
        <x:v>저가 전설2</x:v>
      </x:c>
      <x:c r="E29" s="42" t="n">
        <x:v>1415</x:v>
      </x:c>
      <x:c r="F29" s="42" t="str">
        <x:v>잔여</x:v>
      </x:c>
      <x:c r="G29" s="42" t="n">
        <x:v>362</x:v>
      </x:c>
      <x:c r="H29" s="42" t="str">
        <x:v>빡빡하지만 가능권</x:v>
      </x:c>
    </x:row>
    <x:row r="30">
      <x:c r="A30" s="42" t="str">
        <x:v>Stage1 Wave4 Lv30</x:v>
      </x:c>
      <x:c r="B30" s="42" t="str">
        <x:v>누적골드</x:v>
      </x:c>
      <x:c r="C30" s="42" t="n">
        <x:v>1852</x:v>
      </x:c>
      <x:c r="D30" s="42" t="str">
        <x:v>저가 전설2</x:v>
      </x:c>
      <x:c r="E30" s="42" t="n">
        <x:v>1415</x:v>
      </x:c>
      <x:c r="F30" s="42" t="str">
        <x:v>잔여</x:v>
      </x:c>
      <x:c r="G30" s="42" t="n">
        <x:v>437</x:v>
      </x:c>
      <x:c r="H30" s="42" t="str">
        <x:v>계정 성장 체감 발생</x:v>
      </x:c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  <x:row r="33">
      <x:c r="A33" s="202" t="str">
        <x:v>계정 레벨별 Stage1 골드 체감</x:v>
      </x:c>
      <x:c r="B33" s="202"/>
      <x:c r="C33" s="202"/>
      <x:c r="D33" s="202"/>
      <x:c r="E33" s="202"/>
      <x:c r="F33" s="202"/>
      <x:c r="G33" s="202"/>
      <x:c r="H33" s="202"/>
      <x:c r="I33" s="203"/>
      <x:c r="J33" s="203"/>
      <x:c r="K33" s="203"/>
      <x:c r="L33" s="203"/>
      <x:c r="M33" s="203"/>
      <x:c r="N33" s="203"/>
    </x:row>
    <x:row r="34">
      <x:c r="A34" s="197" t="str">
        <x:v>프로필</x:v>
      </x:c>
      <x:c r="B34" s="197" t="str">
        <x:v>Wave4 누적G</x:v>
      </x:c>
      <x:c r="C34" s="197" t="str">
        <x:v>Wave9 누적G</x:v>
      </x:c>
      <x:c r="D34" s="197" t="str">
        <x:v>Wave4 저가 전설2 후 잔여</x:v>
      </x:c>
      <x:c r="E34" s="197" t="str">
        <x:v>Wave9 체감</x:v>
      </x:c>
      <x:c r="F34" s="197" t="str">
        <x:v>신화5 의미</x:v>
      </x:c>
      <x:c r="G34" s="197" t="str">
        <x:v>설계 판정</x:v>
      </x:c>
      <x:c r="H34" s="42"/>
    </x:row>
    <x:row r="35">
      <x:c r="A35" s="42" t="str">
        <x:v>Lv1</x:v>
      </x:c>
      <x:c r="B35" s="42" t="n">
        <x:v>1777</x:v>
      </x:c>
      <x:c r="C35" s="42" t="n">
        <x:v>5121</x:v>
      </x:c>
      <x:c r="D35" s="42" t="n">
        <x:v>362</x:v>
      </x:c>
      <x:c r="E35" s="42" t="str">
        <x:v>표준 혼합5 준비</x:v>
      </x:c>
      <x:c r="F35" s="42" t="str">
        <x:v>초기 스테이지는 해금 제한상 신화5 불가</x:v>
      </x:c>
      <x:c r="G35" s="42" t="str">
        <x:v>경제 패시브가 '성공 여부'보다 빌드 속도를 개선</x:v>
      </x:c>
      <x:c r="H35" s="42"/>
    </x:row>
    <x:row r="36">
      <x:c r="A36" s="42" t="str">
        <x:v>Lv30</x:v>
      </x:c>
      <x:c r="B36" s="42" t="n">
        <x:v>1852</x:v>
      </x:c>
      <x:c r="C36" s="42" t="n">
        <x:v>5335</x:v>
      </x:c>
      <x:c r="D36" s="42" t="n">
        <x:v>437</x:v>
      </x:c>
      <x:c r="E36" s="42" t="str">
        <x:v>표준 혼합5 준비</x:v>
      </x:c>
      <x:c r="F36" s="42" t="str">
        <x:v>초기 스테이지는 해금 제한상 신화5 불가</x:v>
      </x:c>
      <x:c r="G36" s="42" t="str">
        <x:v>경제 패시브가 '성공 여부'보다 빌드 속도를 개선</x:v>
      </x:c>
    </x:row>
    <x:row r="37">
      <x:c r="A37" s="42" t="str">
        <x:v>Lv50</x:v>
      </x:c>
      <x:c r="B37" s="42" t="n">
        <x:v>1904</x:v>
      </x:c>
      <x:c r="C37" s="42" t="n">
        <x:v>5445</x:v>
      </x:c>
      <x:c r="D37" s="42" t="n">
        <x:v>489</x:v>
      </x:c>
      <x:c r="E37" s="42" t="str">
        <x:v>표준 혼합5 준비</x:v>
      </x:c>
      <x:c r="F37" s="42" t="str">
        <x:v>초기 스테이지는 해금 제한상 신화5 불가</x:v>
      </x:c>
      <x:c r="G37" s="42" t="str">
        <x:v>경제 패시브가 '성공 여부'보다 빌드 속도를 개선</x:v>
      </x:c>
    </x:row>
    <x:row r="38">
      <x:c r="A38" s="123" t="str">
        <x:v>Lv70</x:v>
      </x:c>
      <x:c r="B38" s="123" t="n">
        <x:v>1935</x:v>
      </x:c>
      <x:c r="C38" s="123" t="n">
        <x:v>5569</x:v>
      </x:c>
      <x:c r="D38" s="123" t="n">
        <x:v>520</x:v>
      </x:c>
      <x:c r="E38" s="123" t="str">
        <x:v>표준 혼합5 준비</x:v>
      </x:c>
      <x:c r="F38" s="123" t="str">
        <x:v>초기 스테이지는 해금 제한상 신화5 불가</x:v>
      </x:c>
      <x:c r="G38" s="123" t="str">
        <x:v>경제 패시브가 '성공 여부'보다 빌드 속도를 개선</x:v>
      </x:c>
      <x:c r="H38" s="175"/>
      <x:c r="I38" s="175"/>
      <x:c r="J38" s="175"/>
      <x:c r="K38" s="175"/>
      <x:c r="L38" s="175"/>
      <x:c r="M38" s="175"/>
      <x:c r="N38" s="175"/>
    </x:row>
    <x:row r="39">
      <x:c r="A39" s="115" t="str">
        <x:v>Lv100</x:v>
      </x:c>
      <x:c r="B39" s="115" t="n">
        <x:v>2038</x:v>
      </x:c>
      <x:c r="C39" s="115" t="n">
        <x:v>5789</x:v>
      </x:c>
      <x:c r="D39" s="115" t="n">
        <x:v>623</x:v>
      </x:c>
      <x:c r="E39" s="42" t="str">
        <x:v>표준 혼합5 준비</x:v>
      </x:c>
      <x:c r="F39" s="42" t="str">
        <x:v>초기 스테이지는 해금 제한상 신화5 불가</x:v>
      </x:c>
      <x:c r="G39" s="42" t="str">
        <x:v>경제 패시브가 '성공 여부'보다 빌드 속도를 개선</x:v>
      </x:c>
    </x:row>
    <x:row r="40">
      <x:c r="A40" s="42" t="str">
        <x:v>Lv100 숙련</x:v>
      </x:c>
      <x:c r="B40" s="42" t="n">
        <x:v>2190</x:v>
      </x:c>
      <x:c r="C40" s="42" t="n">
        <x:v>6414</x:v>
      </x:c>
      <x:c r="D40" s="42" t="n">
        <x:v>775</x:v>
      </x:c>
      <x:c r="E40" s="42" t="str">
        <x:v>표준 혼합5 준비</x:v>
      </x:c>
      <x:c r="F40" s="42" t="str">
        <x:v>초기 스테이지는 해금 제한상 신화5 불가</x:v>
      </x:c>
      <x:c r="G40" s="42" t="str">
        <x:v>경제 패시브가 '성공 여부'보다 빌드 속도를 개선</x:v>
      </x:c>
    </x:row>
    <x:row r="41">
      <x:c r="A41" s="42"/>
      <x:c r="B41" s="42"/>
      <x:c r="C41" s="42"/>
      <x:c r="D41" s="42"/>
    </x:row>
    <x:row r="42">
      <x:c r="A42" s="42"/>
      <x:c r="B42" s="42"/>
      <x:c r="C42" s="42"/>
      <x:c r="D42" s="42"/>
    </x:row>
    <x:row r="43">
      <x:c r="A43" s="42"/>
      <x:c r="B43" s="42"/>
      <x:c r="C43" s="42"/>
      <x:c r="D43" s="42"/>
    </x:row>
    <x:row r="44">
      <x:c r="A44" s="42"/>
      <x:c r="B44" s="42"/>
      <x:c r="C44" s="42"/>
      <x:c r="D44" s="42"/>
    </x:row>
  </x:sheetData>
  <x:mergeCells>
    <x:mergeCell ref="A1:N1"/>
    <x:mergeCell ref="A26:N26"/>
    <x:mergeCell ref="A38:N38"/>
    <x:mergeCell ref="A33:N33"/>
  </x:mergeCells>
  <x:conditionalFormatting sqref="J4:J2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2" hidden="0" customWidth="1"/>
    <x:col min="4" max="4" width="15" hidden="0" customWidth="1"/>
    <x:col min="5" max="5" width="18" hidden="0" customWidth="1"/>
    <x:col min="6" max="6" width="18" hidden="0" customWidth="1"/>
    <x:col min="7" max="7" width="16" hidden="0" customWidth="1"/>
    <x:col min="8" max="8" width="38" hidden="0" customWidth="1"/>
    <x:col min="9" max="9" width="12" hidden="0" customWidth="1"/>
    <x:col min="10" max="10" width="36" hidden="0" customWidth="1"/>
  </x:cols>
  <x:sheetData>
    <x:row r="1">
      <x:c r="A1" s="188" t="str">
        <x:v>영웅 조합재료 실제 제작비용 — 전문화 비용 반영 V1.6</x:v>
      </x:c>
      <x:c r="B1" s="188"/>
      <x:c r="C1" s="188"/>
      <x:c r="D1" s="188"/>
      <x:c r="E1" s="188"/>
      <x:c r="F1" s="188"/>
      <x:c r="G1" s="188"/>
      <x:c r="H1" s="188"/>
      <x:c r="I1" s="188"/>
      <x:c r="J1" s="188"/>
    </x:row>
    <x:row r="3">
      <x:c r="A3" s="192" t="str">
        <x:v>재료</x:v>
      </x:c>
      <x:c r="B3" s="192" t="str">
        <x:v>최초 사용 가능 스테이지</x:v>
      </x:c>
      <x:c r="C3" s="192" t="str">
        <x:v>제작 경로</x:v>
      </x:c>
      <x:c r="D3" s="192" t="str">
        <x:v>최초 배치비</x:v>
      </x:c>
      <x:c r="E3" s="192" t="str">
        <x:v>별업 비용 합계</x:v>
      </x:c>
      <x:c r="F3" s="192" t="str">
        <x:v>전문화 비용 합계</x:v>
      </x:c>
      <x:c r="G3" s="192" t="str">
        <x:v>총 제작비</x:v>
      </x:c>
      <x:c r="H3" s="192" t="str">
        <x:v>조합 사용처</x:v>
      </x:c>
      <x:c r="I3" s="192" t="str">
        <x:v>비용 등급</x:v>
      </x:c>
      <x:c r="J3" s="192" t="str">
        <x:v>검증 메모</x:v>
      </x:c>
    </x:row>
    <x:row r="4">
      <x:c r="A4" s="42" t="str">
        <x:v>광전사</x:v>
      </x:c>
      <x:c r="B4" s="42" t="n">
        <x:v>1</x:v>
      </x:c>
      <x:c r="C4" s="42" t="str">
        <x:v>견습 기사 → 상급 기사 → 광전사</x:v>
      </x:c>
      <x:c r="D4" s="42" t="n">
        <x:v>35</x:v>
      </x:c>
      <x:c r="E4" s="42" t="n">
        <x:v>255</x:v>
      </x:c>
      <x:c r="F4" s="42" t="n">
        <x:v>75</x:v>
      </x:c>
      <x:c r="G4" s="42" t="n">
        <x:v>365</x:v>
      </x:c>
      <x:c r="H4" s="42" t="str">
        <x:v>에리카, 카린</x:v>
      </x:c>
      <x:c r="I4" s="42" t="str">
        <x:v>저</x:v>
      </x:c>
      <x:c r="J4" s="42" t="str">
        <x:v>전문화 시 기존 유닛 변환 / 별도 재구매 없음</x:v>
      </x:c>
    </x:row>
    <x:row r="5">
      <x:c r="A5" s="42" t="str">
        <x:v>기사 단장</x:v>
      </x:c>
      <x:c r="B5" s="42" t="n">
        <x:v>1</x:v>
      </x:c>
      <x:c r="C5" s="42" t="str">
        <x:v>견습 기사 → 상급 기사 → 기사 단장</x:v>
      </x:c>
      <x:c r="D5" s="42" t="n">
        <x:v>35</x:v>
      </x:c>
      <x:c r="E5" s="42" t="n">
        <x:v>255</x:v>
      </x:c>
      <x:c r="F5" s="42" t="n">
        <x:v>75</x:v>
      </x:c>
      <x:c r="G5" s="42" t="n">
        <x:v>365</x:v>
      </x:c>
      <x:c r="H5" s="42" t="str">
        <x:v>아리아, 아리아, 아이린, 아델</x:v>
      </x:c>
      <x:c r="I5" s="42" t="str">
        <x:v>저</x:v>
      </x:c>
      <x:c r="J5" s="42" t="str">
        <x:v>전문화 시 기존 유닛 변환 / 별도 재구매 없음</x:v>
      </x:c>
    </x:row>
    <x:row r="6">
      <x:c r="A6" s="42" t="str">
        <x:v>마창병</x:v>
      </x:c>
      <x:c r="B6" s="42" t="n">
        <x:v>1</x:v>
      </x:c>
      <x:c r="C6" s="42" t="str">
        <x:v>투창병 → 프리 랜서 → 마창병</x:v>
      </x:c>
      <x:c r="D6" s="42" t="n">
        <x:v>40</x:v>
      </x:c>
      <x:c r="E6" s="42" t="n">
        <x:v>281</x:v>
      </x:c>
      <x:c r="F6" s="42" t="n">
        <x:v>85</x:v>
      </x:c>
      <x:c r="G6" s="42" t="n">
        <x:v>406</x:v>
      </x:c>
      <x:c r="H6" s="42" t="str">
        <x:v>에리카</x:v>
      </x:c>
      <x:c r="I6" s="42" t="str">
        <x:v>중</x:v>
      </x:c>
      <x:c r="J6" s="42" t="str">
        <x:v>전문화 시 기존 유닛 변환 / 별도 재구매 없음</x:v>
      </x:c>
    </x:row>
    <x:row r="7">
      <x:c r="A7" s="42" t="str">
        <x:v>석궁수</x:v>
      </x:c>
      <x:c r="B7" s="42" t="n">
        <x:v>1</x:v>
      </x:c>
      <x:c r="C7" s="42" t="str">
        <x:v>견습 궁수 → 저격수 → 석궁수</x:v>
      </x:c>
      <x:c r="D7" s="42" t="n">
        <x:v>35</x:v>
      </x:c>
      <x:c r="E7" s="42" t="n">
        <x:v>255</x:v>
      </x:c>
      <x:c r="F7" s="42" t="n">
        <x:v>75</x:v>
      </x:c>
      <x:c r="G7" s="42" t="n">
        <x:v>365</x:v>
      </x:c>
      <x:c r="H7" s="42" t="str">
        <x:v>샤샤</x:v>
      </x:c>
      <x:c r="I7" s="42" t="str">
        <x:v>저</x:v>
      </x:c>
      <x:c r="J7" s="42" t="str">
        <x:v>전문화 시 기존 유닛 변환 / 별도 재구매 없음</x:v>
      </x:c>
    </x:row>
    <x:row r="8">
      <x:c r="A8" s="42" t="str">
        <x:v>연사 감시탑</x:v>
      </x:c>
      <x:c r="B8" s="42" t="n">
        <x:v>1</x:v>
      </x:c>
      <x:c r="C8" s="42" t="str">
        <x:v>감시탑 → 강화 감시탑 → 연사 감시탑</x:v>
      </x:c>
      <x:c r="D8" s="42" t="n">
        <x:v>40</x:v>
      </x:c>
      <x:c r="E8" s="42" t="n">
        <x:v>130</x:v>
      </x:c>
      <x:c r="F8" s="42" t="n">
        <x:v>150</x:v>
      </x:c>
      <x:c r="G8" s="42" t="n">
        <x:v>320</x:v>
      </x:c>
      <x:c r="H8" s="42" t="str">
        <x:v>루비, 미아</x:v>
      </x:c>
      <x:c r="I8" s="42" t="str">
        <x:v>저</x:v>
      </x:c>
      <x:c r="J8" s="42" t="str">
        <x:v>전문화 시 기존 유닛 변환 / 별도 재구매 없음</x:v>
      </x:c>
    </x:row>
    <x:row r="9">
      <x:c r="A9" s="42" t="str">
        <x:v>연사 궁병</x:v>
      </x:c>
      <x:c r="B9" s="42" t="n">
        <x:v>1</x:v>
      </x:c>
      <x:c r="C9" s="42" t="str">
        <x:v>견습 궁수 → 저격수 → 연사 궁병</x:v>
      </x:c>
      <x:c r="D9" s="42" t="n">
        <x:v>35</x:v>
      </x:c>
      <x:c r="E9" s="42" t="n">
        <x:v>255</x:v>
      </x:c>
      <x:c r="F9" s="42" t="n">
        <x:v>75</x:v>
      </x:c>
      <x:c r="G9" s="42" t="n">
        <x:v>365</x:v>
      </x:c>
      <x:c r="H9" s="42" t="str">
        <x:v>루비, 카린</x:v>
      </x:c>
      <x:c r="I9" s="42" t="str">
        <x:v>저</x:v>
      </x:c>
      <x:c r="J9" s="42" t="str">
        <x:v>전문화 시 기존 유닛 변환 / 별도 재구매 없음</x:v>
      </x:c>
    </x:row>
    <x:row r="10">
      <x:c r="A10" s="42" t="str">
        <x:v>대 현자</x:v>
      </x:c>
      <x:c r="B10" s="42" t="n">
        <x:v>5</x:v>
      </x:c>
      <x:c r="C10" s="42" t="str">
        <x:v>마탑 수습생 → 대마법사 → 대 현자</x:v>
      </x:c>
      <x:c r="D10" s="42" t="n">
        <x:v>45</x:v>
      </x:c>
      <x:c r="E10" s="42" t="n">
        <x:v>342</x:v>
      </x:c>
      <x:c r="F10" s="42" t="n">
        <x:v>105</x:v>
      </x:c>
      <x:c r="G10" s="42" t="n">
        <x:v>492</x:v>
      </x:c>
      <x:c r="H10" s="42" t="str">
        <x:v>유나, 리엘, 레이나, 네온, 루나</x:v>
      </x:c>
      <x:c r="I10" s="42" t="str">
        <x:v>중</x:v>
      </x:c>
      <x:c r="J10" s="42" t="str">
        <x:v>전문화 시 기존 유닛 변환 / 별도 재구매 없음</x:v>
      </x:c>
    </x:row>
    <x:row r="11">
      <x:c r="A11" s="42" t="str">
        <x:v>대형 발리스타</x:v>
      </x:c>
      <x:c r="B11" s="42" t="n">
        <x:v>5</x:v>
      </x:c>
      <x:c r="C11" s="42" t="str">
        <x:v>발리스타 → 대형 발리스타</x:v>
      </x:c>
      <x:c r="D11" s="42" t="n">
        <x:v>60</x:v>
      </x:c>
      <x:c r="E11" s="42" t="n">
        <x:v>80</x:v>
      </x:c>
      <x:c r="F11" s="42" t="n">
        <x:v>100</x:v>
      </x:c>
      <x:c r="G11" s="42" t="n">
        <x:v>240</x:v>
      </x:c>
      <x:c r="H11" s="42" t="str">
        <x:v>미아</x:v>
      </x:c>
      <x:c r="I11" s="42" t="str">
        <x:v>저</x:v>
      </x:c>
      <x:c r="J11" s="42" t="str">
        <x:v>전문화 시 기존 유닛 변환 / 별도 재구매 없음</x:v>
      </x:c>
    </x:row>
    <x:row r="12">
      <x:c r="A12" s="42" t="str">
        <x:v>미스릴 방어벽</x:v>
      </x:c>
      <x:c r="B12" s="42" t="n">
        <x:v>5</x:v>
      </x:c>
      <x:c r="C12" s="42" t="str">
        <x:v>방어벽 → 강철 방어벽 → 미스릴 방어벽</x:v>
      </x:c>
      <x:c r="D12" s="42" t="n">
        <x:v>35</x:v>
      </x:c>
      <x:c r="E12" s="42" t="n">
        <x:v>105</x:v>
      </x:c>
      <x:c r="F12" s="42" t="n">
        <x:v>230</x:v>
      </x:c>
      <x:c r="G12" s="42" t="n">
        <x:v>370</x:v>
      </x:c>
      <x:c r="H12" s="42" t="str">
        <x:v>아델</x:v>
      </x:c>
      <x:c r="I12" s="42" t="str">
        <x:v>저</x:v>
      </x:c>
      <x:c r="J12" s="42" t="str">
        <x:v>전문화 시 기존 유닛 변환 / 별도 재구매 없음</x:v>
      </x:c>
    </x:row>
    <x:row r="13">
      <x:c r="A13" s="42" t="str">
        <x:v>흑마법사</x:v>
      </x:c>
      <x:c r="B13" s="42" t="n">
        <x:v>5</x:v>
      </x:c>
      <x:c r="C13" s="42" t="str">
        <x:v>마탑 수습생 → 대마법사 → 흑마법사</x:v>
      </x:c>
      <x:c r="D13" s="42" t="n">
        <x:v>45</x:v>
      </x:c>
      <x:c r="E13" s="42" t="n">
        <x:v>342</x:v>
      </x:c>
      <x:c r="F13" s="42" t="n">
        <x:v>105</x:v>
      </x:c>
      <x:c r="G13" s="42" t="n">
        <x:v>492</x:v>
      </x:c>
      <x:c r="H13" s="42" t="str">
        <x:v>네온, 비올라, 니아</x:v>
      </x:c>
      <x:c r="I13" s="42" t="str">
        <x:v>중</x:v>
      </x:c>
      <x:c r="J13" s="42" t="str">
        <x:v>전문화 시 기존 유닛 변환 / 별도 재구매 없음</x:v>
      </x:c>
    </x:row>
    <x:row r="14">
      <x:c r="A14" s="42" t="str">
        <x:v>마녀 대모</x:v>
      </x:c>
      <x:c r="B14" s="42" t="n">
        <x:v>10</x:v>
      </x:c>
      <x:c r="C14" s="42" t="str">
        <x:v>마녀 → 마녀 대모</x:v>
      </x:c>
      <x:c r="D14" s="42" t="n">
        <x:v>50</x:v>
      </x:c>
      <x:c r="E14" s="42" t="n">
        <x:v>57</x:v>
      </x:c>
      <x:c r="F14" s="42" t="n">
        <x:v>35</x:v>
      </x:c>
      <x:c r="G14" s="42" t="n">
        <x:v>142</x:v>
      </x:c>
      <x:c r="H14" s="42" t="str">
        <x:v>니아</x:v>
      </x:c>
      <x:c r="I14" s="42" t="str">
        <x:v>저</x:v>
      </x:c>
      <x:c r="J14" s="42" t="str">
        <x:v>전문화 시 기존 유닛 변환 / 별도 재구매 없음</x:v>
      </x:c>
    </x:row>
    <x:row r="15">
      <x:c r="A15" s="42" t="str">
        <x:v>마력 캐논타워</x:v>
      </x:c>
      <x:c r="B15" s="42" t="n">
        <x:v>10</x:v>
      </x:c>
      <x:c r="C15" s="42" t="str">
        <x:v>투석기 → 캐논 타워 → 마력 캐논타워</x:v>
      </x:c>
      <x:c r="D15" s="42" t="n">
        <x:v>75</x:v>
      </x:c>
      <x:c r="E15" s="42" t="n">
        <x:v>540</x:v>
      </x:c>
      <x:c r="F15" s="42" t="n">
        <x:v>160</x:v>
      </x:c>
      <x:c r="G15" s="42" t="n">
        <x:v>775</x:v>
      </x:c>
      <x:c r="H15" s="42" t="str">
        <x:v>아이린</x:v>
      </x:c>
      <x:c r="I15" s="42" t="str">
        <x:v>고</x:v>
      </x:c>
      <x:c r="J15" s="42" t="str">
        <x:v>전문화 시 기존 유닛 변환 / 별도 재구매 없음</x:v>
      </x:c>
    </x:row>
    <x:row r="16">
      <x:c r="A16" s="42" t="str">
        <x:v>봄버 캐논타워</x:v>
      </x:c>
      <x:c r="B16" s="42" t="n">
        <x:v>10</x:v>
      </x:c>
      <x:c r="C16" s="42" t="str">
        <x:v>투석기 → 캐논 타워 → 봄버 캐논타워</x:v>
      </x:c>
      <x:c r="D16" s="42" t="n">
        <x:v>75</x:v>
      </x:c>
      <x:c r="E16" s="42" t="n">
        <x:v>540</x:v>
      </x:c>
      <x:c r="F16" s="42" t="n">
        <x:v>160</x:v>
      </x:c>
      <x:c r="G16" s="42" t="n">
        <x:v>775</x:v>
      </x:c>
      <x:c r="H16" s="42" t="str">
        <x:v>샤샤</x:v>
      </x:c>
      <x:c r="I16" s="42" t="str">
        <x:v>고</x:v>
      </x:c>
      <x:c r="J16" s="42" t="str">
        <x:v>전문화 시 기존 유닛 변환 / 별도 재구매 없음</x:v>
      </x:c>
    </x:row>
    <x:row r="17">
      <x:c r="A17" s="42" t="str">
        <x:v>아이돌</x:v>
      </x:c>
      <x:c r="B17" s="42" t="n">
        <x:v>10</x:v>
      </x:c>
      <x:c r="C17" s="42" t="str">
        <x:v>무희 → 무희 단장 → 아이돌</x:v>
      </x:c>
      <x:c r="D17" s="42" t="n">
        <x:v>45</x:v>
      </x:c>
      <x:c r="E17" s="42" t="n">
        <x:v>319</x:v>
      </x:c>
      <x:c r="F17" s="42" t="n">
        <x:v>90</x:v>
      </x:c>
      <x:c r="G17" s="42" t="n">
        <x:v>454</x:v>
      </x:c>
      <x:c r="H17" s="42" t="str">
        <x:v>세라, 클로에, 이브</x:v>
      </x:c>
      <x:c r="I17" s="42" t="str">
        <x:v>중</x:v>
      </x:c>
      <x:c r="J17" s="42" t="str">
        <x:v>전문화 시 기존 유닛 변환 / 별도 재구매 없음</x:v>
      </x:c>
    </x:row>
    <x:row r="18">
      <x:c r="A18" s="42" t="str">
        <x:v>주술사</x:v>
      </x:c>
      <x:c r="B18" s="42" t="n">
        <x:v>10</x:v>
      </x:c>
      <x:c r="C18" s="42" t="str">
        <x:v>무희 → 무희 단장 → 주술사</x:v>
      </x:c>
      <x:c r="D18" s="42" t="n">
        <x:v>45</x:v>
      </x:c>
      <x:c r="E18" s="42" t="n">
        <x:v>319</x:v>
      </x:c>
      <x:c r="F18" s="42" t="n">
        <x:v>90</x:v>
      </x:c>
      <x:c r="G18" s="42" t="n">
        <x:v>454</x:v>
      </x:c>
      <x:c r="H18" s="42" t="str">
        <x:v>유나, 세라, 벨, 클로에, 오로라</x:v>
      </x:c>
      <x:c r="I18" s="42" t="str">
        <x:v>중</x:v>
      </x:c>
      <x:c r="J18" s="42" t="str">
        <x:v>전문화 시 기존 유닛 변환 / 별도 재구매 없음</x:v>
      </x:c>
    </x:row>
    <x:row r="19">
      <x:c r="A19" s="42" t="str">
        <x:v>죽음의 화신</x:v>
      </x:c>
      <x:c r="B19" s="42" t="n">
        <x:v>10</x:v>
      </x:c>
      <x:c r="C19" s="42" t="str">
        <x:v>마녀 → 마녀 대모 → 죽음의 화신</x:v>
      </x:c>
      <x:c r="D19" s="42" t="n">
        <x:v>50</x:v>
      </x:c>
      <x:c r="E19" s="42" t="n">
        <x:v>363</x:v>
      </x:c>
      <x:c r="F19" s="42" t="n">
        <x:v>105</x:v>
      </x:c>
      <x:c r="G19" s="42" t="n">
        <x:v>518</x:v>
      </x:c>
      <x:c r="H19" s="42" t="str">
        <x:v>비올라</x:v>
      </x:c>
      <x:c r="I19" s="42" t="str">
        <x:v>중</x:v>
      </x:c>
      <x:c r="J19" s="42" t="str">
        <x:v>전문화 시 기존 유닛 변환 / 별도 재구매 없음</x:v>
      </x:c>
    </x:row>
    <x:row r="20">
      <x:c r="A20" s="42" t="str">
        <x:v>1급 얼음 수정</x:v>
      </x:c>
      <x:c r="B20" s="42" t="n">
        <x:v>15</x:v>
      </x:c>
      <x:c r="C20" s="42" t="str">
        <x:v>마력 수정 → 충만한 마력 수정 → 1급 얼음 수정</x:v>
      </x:c>
      <x:c r="D20" s="42" t="n">
        <x:v>90</x:v>
      </x:c>
      <x:c r="E20" s="42" t="n">
        <x:v>605</x:v>
      </x:c>
      <x:c r="F20" s="42" t="n">
        <x:v>170</x:v>
      </x:c>
      <x:c r="G20" s="42" t="n">
        <x:v>865</x:v>
      </x:c>
      <x:c r="H20" s="42" t="str">
        <x:v>레이나, 이브</x:v>
      </x:c>
      <x:c r="I20" s="42" t="str">
        <x:v>고</x:v>
      </x:c>
      <x:c r="J20" s="42" t="str">
        <x:v>전문화 시 기존 유닛 변환 / 별도 재구매 없음</x:v>
      </x:c>
    </x:row>
    <x:row r="21">
      <x:c r="A21" s="42" t="str">
        <x:v>1급 용암 수정</x:v>
      </x:c>
      <x:c r="B21" s="42" t="n">
        <x:v>15</x:v>
      </x:c>
      <x:c r="C21" s="42" t="str">
        <x:v>마력 수정 → 충만한 마력 수정 → 1급 용암 수정</x:v>
      </x:c>
      <x:c r="D21" s="42" t="n">
        <x:v>90</x:v>
      </x:c>
      <x:c r="E21" s="42" t="n">
        <x:v>605</x:v>
      </x:c>
      <x:c r="F21" s="42" t="n">
        <x:v>170</x:v>
      </x:c>
      <x:c r="G21" s="42" t="n">
        <x:v>865</x:v>
      </x:c>
      <x:c r="H21" s="42" t="str">
        <x:v>리엘</x:v>
      </x:c>
      <x:c r="I21" s="42" t="str">
        <x:v>고</x:v>
      </x:c>
      <x:c r="J21" s="42" t="str">
        <x:v>전문화 시 기존 유닛 변환 / 별도 재구매 없음</x:v>
      </x:c>
    </x:row>
    <x:row r="22">
      <x:c r="A22" s="42" t="str">
        <x:v>충만한 마력 수정</x:v>
      </x:c>
      <x:c r="B22" s="42" t="n">
        <x:v>15</x:v>
      </x:c>
      <x:c r="C22" s="42" t="str">
        <x:v>마력 수정 → 충만한 마력 수정</x:v>
      </x:c>
      <x:c r="D22" s="42" t="n">
        <x:v>90</x:v>
      </x:c>
      <x:c r="E22" s="42" t="n">
        <x:v>105</x:v>
      </x:c>
      <x:c r="F22" s="42" t="n">
        <x:v>60</x:v>
      </x:c>
      <x:c r="G22" s="42" t="n">
        <x:v>255</x:v>
      </x:c>
      <x:c r="H22" s="42" t="str">
        <x:v>벨, 루나, 오로라</x:v>
      </x:c>
      <x:c r="I22" s="42" t="str">
        <x:v>저</x:v>
      </x:c>
      <x:c r="J22" s="42" t="str">
        <x:v>전문화 시 기존 유닛 변환 / 별도 재구매 없음</x:v>
      </x:c>
    </x:row>
  </x:sheetData>
  <x:mergeCells>
    <x:mergeCell ref="A1:J1"/>
  </x:mergeCells>
  <x:conditionalFormatting sqref="G4:G2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4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>
      <x:c r="A1" s="188" t="str">
        <x:v>LUCKY GIRLS — 플레이어 계정 경제 패시브 제안 V1.6</x:v>
      </x:c>
      <x:c r="B1" s="188"/>
      <x:c r="C1" s="188"/>
      <x:c r="D1" s="188"/>
      <x:c r="E1" s="188"/>
      <x:c r="F1" s="188"/>
      <x:c r="G1" s="188"/>
      <x:c r="H1" s="188"/>
      <x:c r="I1" s="188"/>
      <x:c r="J1" s="188"/>
    </x:row>
    <x:row r="3">
      <x:c r="A3" s="192" t="str">
        <x:v>계정 레벨</x:v>
      </x:c>
      <x:c r="B3" s="192" t="str">
        <x:v>패시브 이름</x:v>
      </x:c>
      <x:c r="C3" s="192" t="str">
        <x:v>효과 종류</x:v>
      </x:c>
      <x:c r="D3" s="192" t="str">
        <x:v>효과량</x:v>
      </x:c>
      <x:c r="E3" s="192" t="str">
        <x:v>누적 효과</x:v>
      </x:c>
      <x:c r="F3" s="192" t="str">
        <x:v>Stage1 시작골드 환산</x:v>
      </x:c>
      <x:c r="G3" s="192" t="str">
        <x:v>처치골드 누적</x:v>
      </x:c>
      <x:c r="H3" s="192" t="str">
        <x:v>웨이브보상 누적</x:v>
      </x:c>
      <x:c r="I3" s="192" t="str">
        <x:v>조기보너스 상한</x:v>
      </x:c>
      <x:c r="J3" s="192" t="str">
        <x:v>레벨디자인 의도</x:v>
      </x:c>
    </x:row>
    <x:row r="4">
      <x:c r="A4" s="42" t="n">
        <x:v>1</x:v>
      </x:c>
      <x:c r="B4" s="42" t="str">
        <x:v>기본 보급</x:v>
      </x:c>
      <x:c r="C4" s="42" t="str">
        <x:v>기본값</x:v>
      </x:c>
      <x:c r="D4" s="42" t="str">
        <x:v>-</x:v>
      </x:c>
      <x:c r="E4" s="42" t="str">
        <x:v>시작G +0% / 처치G +0% / 웨이브G +0%</x:v>
      </x:c>
      <x:c r="F4" s="42" t="str">
        <x:v>500G</x:v>
      </x:c>
      <x:c r="G4" s="42" t="str">
        <x:v>+0%</x:v>
      </x:c>
      <x:c r="H4" s="42" t="str">
        <x:v>+0%</x:v>
      </x:c>
      <x:c r="I4" s="42" t="str">
        <x:v>+30%</x:v>
      </x:c>
      <x:c r="J4" s="42" t="str">
        <x:v>초기 기준점</x:v>
      </x:c>
    </x:row>
    <x:row r="5">
      <x:c r="A5" s="42" t="n">
        <x:v>10</x:v>
      </x:c>
      <x:c r="B5" s="42" t="str">
        <x:v>선발대 보급 I</x:v>
      </x:c>
      <x:c r="C5" s="42" t="str">
        <x:v>시작 골드</x:v>
      </x:c>
      <x:c r="D5" s="42" t="str">
        <x:v>+5%</x:v>
      </x:c>
      <x:c r="E5" s="42" t="str">
        <x:v>시작G +5%</x:v>
      </x:c>
      <x:c r="F5" s="42" t="str">
        <x:v>525G</x:v>
      </x:c>
      <x:c r="G5" s="42" t="str">
        <x:v>+0%</x:v>
      </x:c>
      <x:c r="H5" s="42" t="str">
        <x:v>+0%</x:v>
      </x:c>
      <x:c r="I5" s="42" t="str">
        <x:v>+30%</x:v>
      </x:c>
      <x:c r="J5" s="42" t="str">
        <x:v>초반 빌드 실수 완충</x:v>
      </x:c>
    </x:row>
    <x:row r="6">
      <x:c r="A6" s="42" t="n">
        <x:v>20</x:v>
      </x:c>
      <x:c r="B6" s="42" t="str">
        <x:v>현상금 협상 I</x:v>
      </x:c>
      <x:c r="C6" s="42" t="str">
        <x:v>처치 골드</x:v>
      </x:c>
      <x:c r="D6" s="42" t="str">
        <x:v>+3%</x:v>
      </x:c>
      <x:c r="E6" s="42" t="str">
        <x:v>시작G +5% / 처치G +3%</x:v>
      </x:c>
      <x:c r="F6" s="42" t="str">
        <x:v>525G</x:v>
      </x:c>
      <x:c r="G6" s="42" t="str">
        <x:v>+3%</x:v>
      </x:c>
      <x:c r="H6" s="42" t="str">
        <x:v>+0%</x:v>
      </x:c>
      <x:c r="I6" s="42" t="str">
        <x:v>+30%</x:v>
      </x:c>
      <x:c r="J6" s="42" t="str">
        <x:v>반복 플레이 성장 체감</x:v>
      </x:c>
    </x:row>
    <x:row r="7">
      <x:c r="A7" s="42" t="n">
        <x:v>30</x:v>
      </x:c>
      <x:c r="B7" s="42" t="str">
        <x:v>보급 정산 I</x:v>
      </x:c>
      <x:c r="C7" s="42" t="str">
        <x:v>웨이브 보상</x:v>
      </x:c>
      <x:c r="D7" s="42" t="str">
        <x:v>+5%</x:v>
      </x:c>
      <x:c r="E7" s="42" t="str">
        <x:v>시작G +5% / 처치G +3% / 웨이브G +5%</x:v>
      </x:c>
      <x:c r="F7" s="42" t="str">
        <x:v>525G</x:v>
      </x:c>
      <x:c r="G7" s="42" t="str">
        <x:v>+3%</x:v>
      </x:c>
      <x:c r="H7" s="42" t="str">
        <x:v>+5%</x:v>
      </x:c>
      <x:c r="I7" s="42" t="str">
        <x:v>+30%</x:v>
      </x:c>
      <x:c r="J7" s="42" t="str">
        <x:v>Normal 후반 경제 개선</x:v>
      </x:c>
    </x:row>
    <x:row r="8">
      <x:c r="A8" s="42" t="n">
        <x:v>40</x:v>
      </x:c>
      <x:c r="B8" s="42" t="str">
        <x:v>선발대 보급 II</x:v>
      </x:c>
      <x:c r="C8" s="42" t="str">
        <x:v>시작 골드</x:v>
      </x:c>
      <x:c r="D8" s="42" t="str">
        <x:v>+5%</x:v>
      </x:c>
      <x:c r="E8" s="42" t="str">
        <x:v>시작G +10% / 처치G +3% / 웨이브G +5%</x:v>
      </x:c>
      <x:c r="F8" s="42" t="str">
        <x:v>550G</x:v>
      </x:c>
      <x:c r="G8" s="42" t="str">
        <x:v>+3%</x:v>
      </x:c>
      <x:c r="H8" s="42" t="str">
        <x:v>+5%</x:v>
      </x:c>
      <x:c r="I8" s="42" t="str">
        <x:v>+30%</x:v>
      </x:c>
      <x:c r="J8" s="42" t="str">
        <x:v>Hard 진입 빌드 가속</x:v>
      </x:c>
    </x:row>
    <x:row r="9">
      <x:c r="A9" s="42" t="n">
        <x:v>50</x:v>
      </x:c>
      <x:c r="B9" s="42" t="str">
        <x:v>현상금 협상 II</x:v>
      </x:c>
      <x:c r="C9" s="42" t="str">
        <x:v>처치 골드</x:v>
      </x:c>
      <x:c r="D9" s="42" t="str">
        <x:v>+4%</x:v>
      </x:c>
      <x:c r="E9" s="42" t="str">
        <x:v>시작G +10% / 처치G +7% / 웨이브G +5%</x:v>
      </x:c>
      <x:c r="F9" s="42" t="str">
        <x:v>550G</x:v>
      </x:c>
      <x:c r="G9" s="42" t="str">
        <x:v>+7%</x:v>
      </x:c>
      <x:c r="H9" s="42" t="str">
        <x:v>+5%</x:v>
      </x:c>
      <x:c r="I9" s="42" t="str">
        <x:v>+30%</x:v>
      </x:c>
      <x:c r="J9" s="42" t="str">
        <x:v>중후반 파밍 효율 증가</x:v>
      </x:c>
    </x:row>
    <x:row r="10">
      <x:c r="A10" s="42" t="n">
        <x:v>60</x:v>
      </x:c>
      <x:c r="B10" s="42" t="str">
        <x:v>전술 보급</x:v>
      </x:c>
      <x:c r="C10" s="42" t="str">
        <x:v>조기 클리어</x:v>
      </x:c>
      <x:c r="D10" s="42" t="str">
        <x:v>+5%p 상한</x:v>
      </x:c>
      <x:c r="E10" s="42" t="str">
        <x:v>시작G +10% / 처치G +7% / 웨이브G +5%</x:v>
      </x:c>
      <x:c r="F10" s="42" t="str">
        <x:v>550G</x:v>
      </x:c>
      <x:c r="G10" s="42" t="str">
        <x:v>+7%</x:v>
      </x:c>
      <x:c r="H10" s="42" t="str">
        <x:v>+5%</x:v>
      </x:c>
      <x:c r="I10" s="42" t="str">
        <x:v>+35%</x:v>
      </x:c>
      <x:c r="J10" s="42" t="str">
        <x:v>숙련 플레이 보상 확대</x:v>
      </x:c>
    </x:row>
    <x:row r="11">
      <x:c r="A11" s="42" t="n">
        <x:v>70</x:v>
      </x:c>
      <x:c r="B11" s="42" t="str">
        <x:v>보급 정산 II</x:v>
      </x:c>
      <x:c r="C11" s="42" t="str">
        <x:v>웨이브 보상</x:v>
      </x:c>
      <x:c r="D11" s="42" t="str">
        <x:v>+5%</x:v>
      </x:c>
      <x:c r="E11" s="42" t="str">
        <x:v>시작G +10% / 처치G +7% / 웨이브G +10%</x:v>
      </x:c>
      <x:c r="F11" s="42" t="str">
        <x:v>550G</x:v>
      </x:c>
      <x:c r="G11" s="42" t="str">
        <x:v>+7%</x:v>
      </x:c>
      <x:c r="H11" s="42" t="str">
        <x:v>+10%</x:v>
      </x:c>
      <x:c r="I11" s="42" t="str">
        <x:v>+35%</x:v>
      </x:c>
      <x:c r="J11" s="42" t="str">
        <x:v>Hard 중반 경제 가속</x:v>
      </x:c>
    </x:row>
    <x:row r="12">
      <x:c r="A12" s="42" t="n">
        <x:v>80</x:v>
      </x:c>
      <x:c r="B12" s="42" t="str">
        <x:v>선발대 보급 III</x:v>
      </x:c>
      <x:c r="C12" s="42" t="str">
        <x:v>시작 골드</x:v>
      </x:c>
      <x:c r="D12" s="42" t="str">
        <x:v>+5%</x:v>
      </x:c>
      <x:c r="E12" s="42" t="str">
        <x:v>시작G +15% / 처치G +7% / 웨이브G +10%</x:v>
      </x:c>
      <x:c r="F12" s="42" t="str">
        <x:v>575G</x:v>
      </x:c>
      <x:c r="G12" s="42" t="str">
        <x:v>+7%</x:v>
      </x:c>
      <x:c r="H12" s="42" t="str">
        <x:v>+10%</x:v>
      </x:c>
      <x:c r="I12" s="42" t="str">
        <x:v>+35%</x:v>
      </x:c>
      <x:c r="J12" s="42" t="str">
        <x:v>신화 빌드 조기 진입 지원</x:v>
      </x:c>
    </x:row>
    <x:row r="13">
      <x:c r="A13" s="42" t="n">
        <x:v>90</x:v>
      </x:c>
      <x:c r="B13" s="42" t="str">
        <x:v>현상금 협상 III</x:v>
      </x:c>
      <x:c r="C13" s="42" t="str">
        <x:v>처치 골드</x:v>
      </x:c>
      <x:c r="D13" s="42" t="str">
        <x:v>+5%</x:v>
      </x:c>
      <x:c r="E13" s="42" t="str">
        <x:v>시작G +15% / 처치G +12% / 웨이브G +10%</x:v>
      </x:c>
      <x:c r="F13" s="42" t="str">
        <x:v>575G</x:v>
      </x:c>
      <x:c r="G13" s="42" t="str">
        <x:v>+12%</x:v>
      </x:c>
      <x:c r="H13" s="42" t="str">
        <x:v>+10%</x:v>
      </x:c>
      <x:c r="I13" s="42" t="str">
        <x:v>+35%</x:v>
      </x:c>
      <x:c r="J13" s="42" t="str">
        <x:v>Hard 후반 성장 보상</x:v>
      </x:c>
    </x:row>
    <x:row r="14">
      <x:c r="A14" s="42" t="n">
        <x:v>100</x:v>
      </x:c>
      <x:c r="B14" s="42" t="str">
        <x:v>총력 보급</x:v>
      </x:c>
      <x:c r="C14" s="42" t="str">
        <x:v>시작/처치 골드</x:v>
      </x:c>
      <x:c r="D14" s="42" t="str">
        <x:v>+5% / +3%</x:v>
      </x:c>
      <x:c r="E14" s="42" t="str">
        <x:v>시작G +20% / 처치G +15% / 웨이브G +10%</x:v>
      </x:c>
      <x:c r="F14" s="42" t="str">
        <x:v>600G</x:v>
      </x:c>
      <x:c r="G14" s="42" t="str">
        <x:v>+15%</x:v>
      </x:c>
      <x:c r="H14" s="42" t="str">
        <x:v>+10%</x:v>
      </x:c>
      <x:c r="I14" s="42" t="str">
        <x:v>+35%</x:v>
      </x:c>
      <x:c r="J14" s="42" t="str">
        <x:v>엔드게임에서 신화5 빌드 현실화</x:v>
      </x:c>
    </x:row>
    <x:row r="17">
      <x:c r="A17" s="195" t="str">
        <x:v>계정 경제 패시브 가드레일</x:v>
      </x:c>
      <x:c r="B17" s="195"/>
      <x:c r="C17" s="195"/>
      <x:c r="D17" s="195"/>
      <x:c r="E17" s="195"/>
      <x:c r="F17" s="195"/>
      <x:c r="G17" s="195"/>
      <x:c r="H17" s="195"/>
      <x:c r="I17" s="195"/>
      <x:c r="J17" s="195"/>
    </x:row>
    <x:row r="18">
      <x:c r="A18" s="197" t="str">
        <x:v>번호</x:v>
      </x:c>
      <x:c r="B18" s="197" t="str">
        <x:v>가드레일</x:v>
      </x:c>
    </x:row>
    <x:row r="19">
      <x:c r="A19" s="42" t="str">
        <x:v>1</x:v>
      </x:c>
      <x:c r="B19" s="42" t="str">
        <x:v>경제 패시브는 '가능/불가능'을 뒤집는 필수 스킬이 아니라 빌드 타이밍을 0.5~1.5웨이브 당기는 용도</x:v>
      </x:c>
    </x:row>
    <x:row r="20">
      <x:c r="A20" s="42" t="str">
        <x:v>2</x:v>
      </x:c>
      <x:c r="B20" s="42" t="str">
        <x:v>시작 골드 최종 상한 +20%, 처치 골드 +15%, 웨이브 보상 +10% 정도에서 제한</x:v>
      </x:c>
    </x:row>
    <x:row r="21">
      <x:c r="A21" s="42" t="str">
        <x:v>3</x:v>
      </x:c>
      <x:c r="B21" s="42" t="str">
        <x:v>조기 클리어 보너스는 기본 최대 +30%, 계정 성장 후 최대 +35%까지만</x:v>
      </x:c>
    </x:row>
    <x:row r="22">
      <x:c r="A22" s="42" t="str">
        <x:v>4</x:v>
      </x:c>
      <x:c r="B22" s="42" t="str">
        <x:v>Normal 20~30의 3~5일 성장벽과 Hard의 1주 성장벽은 로비 스탯 + 경제 패시브를 함께 올리며 완화</x:v>
      </x:c>
    </x:row>
    <x:row r="23">
      <x:c r="A23" s="42" t="str">
        <x:v>5</x:v>
      </x:c>
      <x:c r="B23" s="42" t="str">
        <x:v>과금은 경제 패시브 자체의 독점이 아니라 계정 경험치/육성재료 획득 속도를 앞당기는 방식이 적합</x:v>
      </x:c>
    </x:row>
  </x:sheetData>
  <x:mergeCells>
    <x:mergeCell ref="A1:J1"/>
    <x:mergeCell ref="A17:J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8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42" hidden="0" customWidth="1"/>
  </x:cols>
  <x:sheetData>
    <x:row r="1">
      <x:c r="A1" s="207" t="str">
        <x:v>NORMAL Stage 1~10 — Lv1 계정 경제 기준 무과금 밸런스 스트레스 테스트 V1.7</x:v>
      </x:c>
      <x:c r="B1" s="207"/>
      <x:c r="C1" s="207"/>
      <x:c r="D1" s="207"/>
      <x:c r="E1" s="207"/>
      <x:c r="F1" s="207"/>
      <x:c r="G1" s="207"/>
      <x:c r="H1" s="207"/>
      <x:c r="I1" s="207"/>
      <x:c r="J1" s="207"/>
      <x:c r="K1" s="207"/>
      <x:c r="L1" s="207"/>
      <x:c r="M1" s="207"/>
      <x:c r="N1" s="207"/>
      <x:c r="O1" s="207"/>
      <x:c r="P1" s="207"/>
      <x:c r="Q1" s="207"/>
    </x:row>
    <x:row r="3">
      <x:c r="A3" s="211" t="str">
        <x:v>Stage</x:v>
      </x:c>
      <x:c r="B3" s="211" t="str">
        <x:v>보스</x:v>
      </x:c>
      <x:c r="C3" s="211" t="str">
        <x:v>보스 HP</x:v>
      </x:c>
      <x:c r="D3" s="211" t="str">
        <x:v>보스 DEF</x:v>
      </x:c>
      <x:c r="E3" s="211" t="str">
        <x:v>평균 적 압박지수</x:v>
      </x:c>
      <x:c r="F3" s="211" t="str">
        <x:v>압박지수(1=100)</x:v>
      </x:c>
      <x:c r="G3" s="211" t="str">
        <x:v>보스웨이브 압박</x:v>
      </x:c>
      <x:c r="H3" s="211" t="str">
        <x:v>보스압박(1=100)</x:v>
      </x:c>
      <x:c r="I3" s="211" t="str">
        <x:v>W9 누적 골드</x:v>
      </x:c>
      <x:c r="J3" s="211" t="str">
        <x:v>골드(1=100)</x:v>
      </x:c>
      <x:c r="K3" s="211" t="str">
        <x:v>압박/G</x:v>
      </x:c>
      <x:c r="L3" s="211" t="str">
        <x:v>전 스테이지 대비 압박증가</x:v>
      </x:c>
      <x:c r="M3" s="211" t="str">
        <x:v>권장 전투력</x:v>
      </x:c>
      <x:c r="N3" s="211" t="str">
        <x:v>권장 로비 레벨</x:v>
      </x:c>
      <x:c r="O3" s="211" t="str">
        <x:v>무과금 클리어 판정</x:v>
      </x:c>
      <x:c r="P3" s="211" t="str">
        <x:v>체감</x:v>
      </x:c>
      <x:c r="Q3" s="211" t="str">
        <x:v>해석</x:v>
      </x:c>
    </x:row>
    <x:row r="4">
      <x:c r="A4" s="42" t="n">
        <x:v>1</x:v>
      </x:c>
      <x:c r="B4" s="42" t="str">
        <x:v>철각왕 브라움</x:v>
      </x:c>
      <x:c r="C4" s="42" t="n">
        <x:v>2200</x:v>
      </x:c>
      <x:c r="D4" s="42" t="n">
        <x:v>10</x:v>
      </x:c>
      <x:c r="E4" s="42" t="n">
        <x:v>3116</x:v>
      </x:c>
      <x:c r="F4" s="42" t="n">
        <x:v>100</x:v>
      </x:c>
      <x:c r="G4" s="42" t="n">
        <x:v>5805</x:v>
      </x:c>
      <x:c r="H4" s="42" t="n">
        <x:v>100</x:v>
      </x:c>
      <x:c r="I4" s="42" t="n">
        <x:v>5121</x:v>
      </x:c>
      <x:c r="J4" s="42" t="n">
        <x:v>100</x:v>
      </x:c>
      <x:c r="K4" s="42" t="n">
        <x:v>0.608</x:v>
      </x:c>
      <x:c r="L4" s="42" t="n">
        <x:v>0</x:v>
      </x:c>
      <x:c r="M4" s="42" t="n">
        <x:v>100</x:v>
      </x:c>
      <x:c r="N4" s="42" t="str">
        <x:v>Lv1~10</x:v>
      </x:c>
      <x:c r="O4" s="42" t="str">
        <x:v>가능</x:v>
      </x:c>
      <x:c r="P4" s="42" t="str">
        <x:v>넉넉</x:v>
      </x:c>
      <x:c r="Q4" s="42" t="str">
        <x:v>튜토리얼/기본 지급 구간. 현재 수치상 여유가 있음.</x:v>
      </x:c>
    </x:row>
    <x:row r="5">
      <x:c r="A5" s="42" t="n">
        <x:v>2</x:v>
      </x:c>
      <x:c r="B5" s="42" t="str">
        <x:v>광산왕 모르겐</x:v>
      </x:c>
      <x:c r="C5" s="42" t="n">
        <x:v>2431</x:v>
      </x:c>
      <x:c r="D5" s="42" t="n">
        <x:v>12</x:v>
      </x:c>
      <x:c r="E5" s="42" t="n">
        <x:v>3365</x:v>
      </x:c>
      <x:c r="F5" s="42" t="n">
        <x:v>108</x:v>
      </x:c>
      <x:c r="G5" s="42" t="n">
        <x:v>6592</x:v>
      </x:c>
      <x:c r="H5" s="42" t="n">
        <x:v>114</x:v>
      </x:c>
      <x:c r="I5" s="42" t="n">
        <x:v>5232</x:v>
      </x:c>
      <x:c r="J5" s="42" t="n">
        <x:v>102</x:v>
      </x:c>
      <x:c r="K5" s="42" t="n">
        <x:v>0.643</x:v>
      </x:c>
      <x:c r="L5" s="42" t="n">
        <x:v>8</x:v>
      </x:c>
      <x:c r="M5" s="42" t="n">
        <x:v>113</x:v>
      </x:c>
      <x:c r="N5" s="42" t="str">
        <x:v>Lv1~10</x:v>
      </x:c>
      <x:c r="O5" s="42" t="str">
        <x:v>가능</x:v>
      </x:c>
      <x:c r="P5" s="42" t="str">
        <x:v>넉넉</x:v>
      </x:c>
      <x:c r="Q5" s="42" t="str">
        <x:v>Stage1 대비 상승폭이 완만함.</x:v>
      </x:c>
    </x:row>
    <x:row r="6">
      <x:c r="A6" s="42" t="n">
        <x:v>3</x:v>
      </x:c>
      <x:c r="B6" s="42" t="str">
        <x:v>붉은협곡의 바르칸</x:v>
      </x:c>
      <x:c r="C6" s="42" t="n">
        <x:v>2686</x:v>
      </x:c>
      <x:c r="D6" s="42" t="n">
        <x:v>14</x:v>
      </x:c>
      <x:c r="E6" s="42" t="n">
        <x:v>3844</x:v>
      </x:c>
      <x:c r="F6" s="42" t="n">
        <x:v>123</x:v>
      </x:c>
      <x:c r="G6" s="42" t="n">
        <x:v>7626</x:v>
      </x:c>
      <x:c r="H6" s="42" t="n">
        <x:v>131</x:v>
      </x:c>
      <x:c r="I6" s="42" t="n">
        <x:v>5450</x:v>
      </x:c>
      <x:c r="J6" s="42" t="n">
        <x:v>106</x:v>
      </x:c>
      <x:c r="K6" s="42" t="n">
        <x:v>0.705</x:v>
      </x:c>
      <x:c r="L6" s="42" t="n">
        <x:v>14.2</x:v>
      </x:c>
      <x:c r="M6" s="42" t="n">
        <x:v>128</x:v>
      </x:c>
      <x:c r="N6" s="42" t="str">
        <x:v>Lv1~10</x:v>
      </x:c>
      <x:c r="O6" s="42" t="str">
        <x:v>가능</x:v>
      </x:c>
      <x:c r="P6" s="42" t="str">
        <x:v>보통</x:v>
      </x:c>
      <x:c r="Q6" s="42" t="str">
        <x:v>적 압박이 커지지만 골드와 조합 준비로 흡수 가능.</x:v>
      </x:c>
    </x:row>
    <x:row r="7">
      <x:c r="A7" s="42" t="n">
        <x:v>4</x:v>
      </x:c>
      <x:c r="B7" s="42" t="str">
        <x:v>철익 그라핀</x:v>
      </x:c>
      <x:c r="C7" s="42" t="n">
        <x:v>2968</x:v>
      </x:c>
      <x:c r="D7" s="42" t="n">
        <x:v>16</x:v>
      </x:c>
      <x:c r="E7" s="42" t="n">
        <x:v>4010</x:v>
      </x:c>
      <x:c r="F7" s="42" t="n">
        <x:v>129</x:v>
      </x:c>
      <x:c r="G7" s="42" t="n">
        <x:v>8379</x:v>
      </x:c>
      <x:c r="H7" s="42" t="n">
        <x:v>144</x:v>
      </x:c>
      <x:c r="I7" s="42" t="n">
        <x:v>5453</x:v>
      </x:c>
      <x:c r="J7" s="42" t="n">
        <x:v>106</x:v>
      </x:c>
      <x:c r="K7" s="42" t="n">
        <x:v>0.735</x:v>
      </x:c>
      <x:c r="L7" s="42" t="n">
        <x:v>4.3</x:v>
      </x:c>
      <x:c r="M7" s="42" t="n">
        <x:v>144</x:v>
      </x:c>
      <x:c r="N7" s="42" t="str">
        <x:v>Lv1~10</x:v>
      </x:c>
      <x:c r="O7" s="42" t="str">
        <x:v>가능</x:v>
      </x:c>
      <x:c r="P7" s="42" t="str">
        <x:v>보통~타이트</x:v>
      </x:c>
      <x:c r="Q7" s="42" t="str">
        <x:v>Wave4 전설 2명 목표까지 함께 요구되어 운영 실수가 체감되기 시작.</x:v>
      </x:c>
    </x:row>
    <x:row r="8">
      <x:c r="A8" s="42" t="n">
        <x:v>5</x:v>
      </x:c>
      <x:c r="B8" s="42" t="str">
        <x:v>산맥포식자 가르도스</x:v>
      </x:c>
      <x:c r="C8" s="42" t="n">
        <x:v>3280</x:v>
      </x:c>
      <x:c r="D8" s="42" t="n">
        <x:v>18</x:v>
      </x:c>
      <x:c r="E8" s="42" t="n">
        <x:v>4531</x:v>
      </x:c>
      <x:c r="F8" s="42" t="n">
        <x:v>145</x:v>
      </x:c>
      <x:c r="G8" s="42" t="n">
        <x:v>9651</x:v>
      </x:c>
      <x:c r="H8" s="42" t="n">
        <x:v>166</x:v>
      </x:c>
      <x:c r="I8" s="42" t="n">
        <x:v>5672</x:v>
      </x:c>
      <x:c r="J8" s="42" t="n">
        <x:v>111</x:v>
      </x:c>
      <x:c r="K8" s="42" t="n">
        <x:v>0.799</x:v>
      </x:c>
      <x:c r="L8" s="42" t="n">
        <x:v>13</x:v>
      </x:c>
      <x:c r="M8" s="42" t="n">
        <x:v>163</x:v>
      </x:c>
      <x:c r="N8" s="42" t="str">
        <x:v>Lv1~10</x:v>
      </x:c>
      <x:c r="O8" s="42" t="str">
        <x:v>가능</x:v>
      </x:c>
      <x:c r="P8" s="42" t="str">
        <x:v>타이트</x:v>
      </x:c>
      <x:c r="Q8" s="42" t="str">
        <x:v>중간보스/최종보스 모두 첫 지역 마감 압박. 방어벽·발리스타·마법 계열 해금 전환점.</x:v>
      </x:c>
    </x:row>
    <x:row r="9">
      <x:c r="A9" s="42" t="n">
        <x:v>6</x:v>
      </x:c>
      <x:c r="B9" s="42" t="str">
        <x:v>사구왕 자하르</x:v>
      </x:c>
      <x:c r="C9" s="42" t="n">
        <x:v>3624</x:v>
      </x:c>
      <x:c r="D9" s="42" t="n">
        <x:v>20</x:v>
      </x:c>
      <x:c r="E9" s="42" t="n">
        <x:v>6014</x:v>
      </x:c>
      <x:c r="F9" s="42" t="n">
        <x:v>193</x:v>
      </x:c>
      <x:c r="G9" s="42" t="n">
        <x:v>11800</x:v>
      </x:c>
      <x:c r="H9" s="42" t="n">
        <x:v>203</x:v>
      </x:c>
      <x:c r="I9" s="42" t="n">
        <x:v>5459</x:v>
      </x:c>
      <x:c r="J9" s="42" t="n">
        <x:v>107</x:v>
      </x:c>
      <x:c r="K9" s="42" t="n">
        <x:v>1.102</x:v>
      </x:c>
      <x:c r="L9" s="42" t="n">
        <x:v>32.7</x:v>
      </x:c>
      <x:c r="M9" s="42" t="n">
        <x:v>184</x:v>
      </x:c>
      <x:c r="N9" s="42" t="str">
        <x:v>Lv10~20</x:v>
      </x:c>
      <x:c r="O9" s="42" t="str">
        <x:v>가능</x:v>
      </x:c>
      <x:c r="P9" s="42" t="str">
        <x:v>매우 타이트</x:v>
      </x:c>
      <x:c r="Q9" s="42" t="str">
        <x:v>가장 큰 난도 점프. Stage5 대비 평균 압박이 크게 뛰는데 골드는 오히려 소폭 감소.</x:v>
      </x:c>
    </x:row>
    <x:row r="10">
      <x:c r="A10" s="42" t="n">
        <x:v>7</x:v>
      </x:c>
      <x:c r="B10" s="42" t="str">
        <x:v>불꽃도적 카심</x:v>
      </x:c>
      <x:c r="C10" s="42" t="n">
        <x:v>4005</x:v>
      </x:c>
      <x:c r="D10" s="42" t="n">
        <x:v>22</x:v>
      </x:c>
      <x:c r="E10" s="42" t="n">
        <x:v>6232</x:v>
      </x:c>
      <x:c r="F10" s="42" t="n">
        <x:v>200</x:v>
      </x:c>
      <x:c r="G10" s="42" t="n">
        <x:v>12934</x:v>
      </x:c>
      <x:c r="H10" s="42" t="n">
        <x:v>223</x:v>
      </x:c>
      <x:c r="I10" s="42" t="n">
        <x:v>5461</x:v>
      </x:c>
      <x:c r="J10" s="42" t="n">
        <x:v>107</x:v>
      </x:c>
      <x:c r="K10" s="42" t="n">
        <x:v>1.141</x:v>
      </x:c>
      <x:c r="L10" s="42" t="n">
        <x:v>3.6</x:v>
      </x:c>
      <x:c r="M10" s="42" t="n">
        <x:v>208</x:v>
      </x:c>
      <x:c r="N10" s="42" t="str">
        <x:v>Lv10~20</x:v>
      </x:c>
      <x:c r="O10" s="42" t="str">
        <x:v>가능</x:v>
      </x:c>
      <x:c r="P10" s="42" t="str">
        <x:v>타이트</x:v>
      </x:c>
      <x:c r="Q10" s="42" t="str">
        <x:v>Stage6 적응 후에는 증가폭이 다시 완만해짐.</x:v>
      </x:c>
    </x:row>
    <x:row r="11">
      <x:c r="A11" s="42" t="n">
        <x:v>8</x:v>
      </x:c>
      <x:c r="B11" s="42" t="str">
        <x:v>유리사막의 네프라</x:v>
      </x:c>
      <x:c r="C11" s="42" t="n">
        <x:v>4425</x:v>
      </x:c>
      <x:c r="D11" s="42" t="n">
        <x:v>24</x:v>
      </x:c>
      <x:c r="E11" s="42" t="n">
        <x:v>7026</x:v>
      </x:c>
      <x:c r="F11" s="42" t="n">
        <x:v>226</x:v>
      </x:c>
      <x:c r="G11" s="42" t="n">
        <x:v>14829</x:v>
      </x:c>
      <x:c r="H11" s="42" t="n">
        <x:v>255</x:v>
      </x:c>
      <x:c r="I11" s="42" t="n">
        <x:v>5680</x:v>
      </x:c>
      <x:c r="J11" s="42" t="n">
        <x:v>111</x:v>
      </x:c>
      <x:c r="K11" s="42" t="n">
        <x:v>1.237</x:v>
      </x:c>
      <x:c r="L11" s="42" t="n">
        <x:v>12.7</x:v>
      </x:c>
      <x:c r="M11" s="42" t="n">
        <x:v>235</x:v>
      </x:c>
      <x:c r="N11" s="42" t="str">
        <x:v>Lv10~20</x:v>
      </x:c>
      <x:c r="O11" s="42" t="str">
        <x:v>가능</x:v>
      </x:c>
      <x:c r="P11" s="42" t="str">
        <x:v>타이트</x:v>
      </x:c>
      <x:c r="Q11" s="42" t="str">
        <x:v>보스 HP/DEF와 물량이 동시에 올라가 성장·배치 최적화 요구.</x:v>
      </x:c>
    </x:row>
    <x:row r="12">
      <x:c r="A12" s="42" t="n">
        <x:v>9</x:v>
      </x:c>
      <x:c r="B12" s="42" t="str">
        <x:v>오아시스의 배신자 라지르</x:v>
      </x:c>
      <x:c r="C12" s="42" t="n">
        <x:v>4890</x:v>
      </x:c>
      <x:c r="D12" s="42" t="n">
        <x:v>26</x:v>
      </x:c>
      <x:c r="E12" s="42" t="n">
        <x:v>7787</x:v>
      </x:c>
      <x:c r="F12" s="42" t="n">
        <x:v>250</x:v>
      </x:c>
      <x:c r="G12" s="42" t="n">
        <x:v>16584</x:v>
      </x:c>
      <x:c r="H12" s="42" t="n">
        <x:v>286</x:v>
      </x:c>
      <x:c r="I12" s="42" t="n">
        <x:v>5791</x:v>
      </x:c>
      <x:c r="J12" s="42" t="n">
        <x:v>113</x:v>
      </x:c>
      <x:c r="K12" s="42" t="n">
        <x:v>1.345</x:v>
      </x:c>
      <x:c r="L12" s="42" t="n">
        <x:v>10.8</x:v>
      </x:c>
      <x:c r="M12" s="42" t="n">
        <x:v>266</x:v>
      </x:c>
      <x:c r="N12" s="42" t="str">
        <x:v>Lv10~20</x:v>
      </x:c>
      <x:c r="O12" s="42" t="str">
        <x:v>가능</x:v>
      </x:c>
      <x:c r="P12" s="42" t="str">
        <x:v>매우 타이트</x:v>
      </x:c>
      <x:c r="Q12" s="42" t="str">
        <x:v>Lv1 계정 경제 보너스 없이 진행하면 재도전/로비 성장 체감이 강함.</x:v>
      </x:c>
    </x:row>
    <x:row r="13">
      <x:c r="A13" s="42" t="n">
        <x:v>10</x:v>
      </x:c>
      <x:c r="B13" s="42" t="str">
        <x:v>태양먹는 아누라</x:v>
      </x:c>
      <x:c r="C13" s="42" t="n">
        <x:v>5404</x:v>
      </x:c>
      <x:c r="D13" s="42" t="n">
        <x:v>28</x:v>
      </x:c>
      <x:c r="E13" s="42" t="n">
        <x:v>8953</x:v>
      </x:c>
      <x:c r="F13" s="42" t="n">
        <x:v>287</x:v>
      </x:c>
      <x:c r="G13" s="42" t="n">
        <x:v>18911</x:v>
      </x:c>
      <x:c r="H13" s="42" t="n">
        <x:v>326</x:v>
      </x:c>
      <x:c r="I13" s="42" t="n">
        <x:v>6009</x:v>
      </x:c>
      <x:c r="J13" s="42" t="n">
        <x:v>117</x:v>
      </x:c>
      <x:c r="K13" s="42" t="n">
        <x:v>1.49</x:v>
      </x:c>
      <x:c r="L13" s="42" t="n">
        <x:v>15</x:v>
      </x:c>
      <x:c r="M13" s="42" t="n">
        <x:v>300</x:v>
      </x:c>
      <x:c r="N13" s="42" t="str">
        <x:v>Lv10~20</x:v>
      </x:c>
      <x:c r="O13" s="42" t="str">
        <x:v>조건부 가능</x:v>
      </x:c>
      <x:c r="P13" s="42" t="str">
        <x:v>매우 타이트</x:v>
      </x:c>
      <x:c r="Q13" s="42" t="str">
        <x:v>무과금 자연 육성은 가능권이나, 로비 캐릭터까지 Lv1 고정이면 현재 설계 의도상 부족. Lv10~20 자연 성장 전제.</x:v>
      </x:c>
    </x:row>
    <x:row r="16">
      <x:c r="A16" s="214" t="str">
        <x:v>시뮬레이션 전제 / 한계</x:v>
      </x:c>
      <x:c r="B16" s="214"/>
      <x:c r="C16" s="214"/>
      <x:c r="D16" s="214"/>
      <x:c r="E16" s="217" t="str">
        <x:v>핵심 판정</x:v>
      </x:c>
      <x:c r="F16" s="217"/>
      <x:c r="G16" s="217"/>
      <x:c r="H16" s="217"/>
      <x:c r="I16" s="217"/>
      <x:c r="J16" s="217"/>
      <x:c r="K16" s="217"/>
      <x:c r="L16" s="217"/>
      <x:c r="M16" s="217"/>
      <x:c r="N16" s="217"/>
      <x:c r="O16" s="217"/>
      <x:c r="P16" s="217"/>
      <x:c r="Q16" s="217"/>
    </x:row>
    <x:row r="17">
      <x:c r="A17" s="216" t="str">
        <x:v>번호</x:v>
      </x:c>
      <x:c r="B17" s="216" t="str">
        <x:v>전제</x:v>
      </x:c>
      <x:c r="C17" s="216" t="str">
        <x:v>설명</x:v>
      </x:c>
      <x:c r="E17" s="219" t="str">
        <x:v>구간</x:v>
      </x:c>
      <x:c r="F17" s="219" t="str">
        <x:v>판정</x:v>
      </x:c>
      <x:c r="G17" s="219" t="str">
        <x:v>요약</x:v>
      </x:c>
    </x:row>
    <x:row r="18">
      <x:c r="A18" s="42" t="str">
        <x:v>1</x:v>
      </x:c>
      <x:c r="B18" s="42" t="str">
        <x:v>'Lv1 기준'은 플레이어 계정 경제 패시브 Lv1로 해석</x:v>
      </x:c>
      <x:c r="C18" s="42" t="str">
        <x:v>시작골드/처치골드/웨이브보상에 계정 레벨 추가 보정 없음.</x:v>
      </x:c>
      <x:c r="E18" s="42" t="str">
        <x:v>Stage 1~2</x:v>
      </x:c>
      <x:c r="F18" s="42" t="str">
        <x:v>넉넉</x:v>
      </x:c>
      <x:c r="G18" s="42" t="str">
        <x:v>초기 무과금 진입용으로 적당.</x:v>
      </x:c>
    </x:row>
    <x:row r="19">
      <x:c r="A19" s="42" t="str">
        <x:v>2</x:v>
      </x:c>
      <x:c r="B19" s="42" t="str">
        <x:v>무과금은 로비 캐릭터의 자연 육성을 허용</x:v>
      </x:c>
      <x:c r="C19" s="42" t="str">
        <x:v>스테이지 보상으로 Lv/성급을 올리는 것은 허용. 모든 캐릭터를 Lv1에 고정하는 테스트는 별도임.</x:v>
      </x:c>
      <x:c r="E19" s="42" t="str">
        <x:v>Stage 3~4</x:v>
      </x:c>
      <x:c r="F19" s="42" t="str">
        <x:v>보통</x:v>
      </x:c>
      <x:c r="G19" s="42" t="str">
        <x:v>실수 허용폭이 줄기 시작하지만 무과금 진행권.</x:v>
      </x:c>
    </x:row>
    <x:row r="20">
      <x:c r="A20" s="42" t="str">
        <x:v>3</x:v>
      </x:c>
      <x:c r="B20" s="42" t="str">
        <x:v>적 압박지수</x:v>
      </x:c>
      <x:c r="C20" s="42" t="str">
        <x:v>웨이브 총 EHP(HP×DEF 보정)에 이동속도를 소폭 반영한 상대지수. 실제 DPS/시간 단위가 아님.</x:v>
      </x:c>
      <x:c r="E20" s="42" t="str">
        <x:v>Stage 5</x:v>
      </x:c>
      <x:c r="F20" s="42" t="str">
        <x:v>타이트</x:v>
      </x:c>
      <x:c r="G20" s="42" t="str">
        <x:v>첫 지역 마감으로 적당한 첫 체크포인트.</x:v>
      </x:c>
    </x:row>
    <x:row r="21">
      <x:c r="A21" s="42" t="str">
        <x:v>4</x:v>
      </x:c>
      <x:c r="B21" s="42" t="str">
        <x:v>보스/중간보스</x:v>
      </x:c>
      <x:c r="C21" s="42" t="str">
        <x:v>현재 보스 HP·DEF와 웨이브 HP 배율, 호위 몬스터 수를 함께 반영.</x:v>
      </x:c>
      <x:c r="E21" s="42" t="str">
        <x:v>Stage 6</x:v>
      </x:c>
      <x:c r="F21" s="42" t="str">
        <x:v>과도한 점프 주의</x:v>
      </x:c>
      <x:c r="G21" s="42" t="str">
        <x:v>Stage5 대비 평균 적 압박이 약 +32.7%인데 W9 누적골드는 약 -3.8%. 현재 1~10 구간에서 가장 위험한 튐.</x:v>
      </x:c>
    </x:row>
    <x:row r="22">
      <x:c r="A22" s="42" t="str">
        <x:v>5</x:v>
      </x:c>
      <x:c r="B22" s="42" t="str">
        <x:v>골드</x:v>
      </x:c>
      <x:c r="C22" s="42" t="str">
        <x:v>시작 500G + 처치골드 + 웨이브 클리어 + 표준 조기클리어(+10%)를 Wave9까지 반영.</x:v>
      </x:c>
      <x:c r="E22" s="42" t="str">
        <x:v>Stage 7~8</x:v>
      </x:c>
      <x:c r="F22" s="42" t="str">
        <x:v>타이트</x:v>
      </x:c>
      <x:c r="G22" s="42" t="str">
        <x:v>Stage6를 넘긴 플레이어라면 다시 비교적 연속적인 상승.</x:v>
      </x:c>
    </x:row>
    <x:row r="23">
      <x:c r="A23" s="42" t="str">
        <x:v>6</x:v>
      </x:c>
      <x:c r="B23" s="42" t="str">
        <x:v>현재 문서에 없는 값</x:v>
      </x:c>
      <x:c r="C23" s="42" t="str">
        <x:v>맵별 경로 길이, 실제 배치칸 수, 영웅 기본 공격속도, 스킬 쿨다운/계수, RPG 피해식, 성문 HP가 아직 확정되지 않아 '엔진 단위 승률'은 계산 불가.</x:v>
      </x:c>
      <x:c r="E23" s="42" t="str">
        <x:v>Stage 9~10</x:v>
      </x:c>
      <x:c r="F23" s="42" t="str">
        <x:v>매우 타이트</x:v>
      </x:c>
      <x:c r="G23" s="42" t="str">
        <x:v>Lv1 계정 경제로도 무과금 가능권이지만 자연 로비 육성/빌드 최적화가 사실상 필요.</x:v>
      </x:c>
    </x:row>
    <x:row r="24">
      <x:c r="E24" s="42" t="str">
        <x:v>전체</x:v>
      </x:c>
      <x:c r="F24" s="42" t="str">
        <x:v>무과금 가능</x:v>
      </x:c>
      <x:c r="G24" s="42" t="str">
        <x:v>다만 '모든 유닛/영웅 로비 Lv1 고정'이라면 Stage6 이후는 현재 레벨디자인과 맞지 않음. 시트 자체가 Lv10~20을 전제로 함.</x:v>
      </x:c>
    </x:row>
  </x:sheetData>
  <x:mergeCells>
    <x:mergeCell ref="A1:Q1"/>
    <x:mergeCell ref="A16:Q16"/>
    <x:mergeCell ref="E16:Q16"/>
  </x:mergeCells>
  <x:conditionalFormatting sqref="K4:K1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4:L13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6" hidden="0" customWidth="1"/>
    <x:col min="5" max="5" width="16" hidden="0" customWidth="1"/>
    <x:col min="6" max="6" width="30" hidden="0" customWidth="1"/>
    <x:col min="7" max="7" width="20" hidden="0" customWidth="1"/>
    <x:col min="8" max="8" width="24" hidden="0" customWidth="1"/>
    <x:col min="9" max="9" width="20" hidden="0" customWidth="1"/>
    <x:col min="10" max="10" width="12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222" t="str">
        <x:v>NORMAL Stage 1~10 — 무과금 자연 로비 성장 시뮬레이션 V1.8</x:v>
      </x:c>
      <x:c r="B1" s="222"/>
      <x:c r="C1" s="222"/>
      <x:c r="D1" s="222"/>
      <x:c r="E1" s="222"/>
      <x:c r="F1" s="222"/>
      <x:c r="G1" s="222"/>
      <x:c r="H1" s="222"/>
      <x:c r="I1" s="222"/>
      <x:c r="J1" s="222"/>
      <x:c r="K1" s="222"/>
      <x:c r="L1" s="222"/>
      <x:c r="M1" s="222"/>
      <x:c r="N1" s="222"/>
      <x:c r="O1" s="222"/>
      <x:c r="P1" s="222"/>
      <x:c r="Q1" s="222"/>
    </x:row>
    <x:row r="3">
      <x:c r="A3" s="226" t="str">
        <x:v>시뮬레이션 가정</x:v>
      </x:c>
      <x:c r="B3" s="226" t="str">
        <x:v>값</x:v>
      </x:c>
      <x:c r="C3" s="226" t="str">
        <x:v>성격</x:v>
      </x:c>
      <x:c r="D3" s="226" t="str">
        <x:v>근거/목적</x:v>
      </x:c>
      <x:c r="E3" s="226" t="str">
        <x:v>확정 여부</x:v>
      </x:c>
      <x:c r="F3" s="226" t="str">
        <x:v>비고</x:v>
      </x:c>
      <x:c r="J3" s="233" t="str">
        <x:v>현재 Lv</x:v>
      </x:c>
      <x:c r="K3" s="233" t="str">
        <x:v>다음 Lv</x:v>
      </x:c>
      <x:c r="L3" s="233" t="str">
        <x:v>1회 비용</x:v>
      </x:c>
      <x:c r="M3" s="233" t="str">
        <x:v>누적 비용(Lv1부터)</x:v>
      </x:c>
    </x:row>
    <x:row r="4">
      <x:c r="A4" s="42" t="str">
        <x:v>로비 레벨 스탯 증가</x:v>
      </x:c>
      <x:c r="B4" s="42" t="str">
        <x:v>레벨당 +0.45%</x:v>
      </x:c>
      <x:c r="C4" s="42" t="str">
        <x:v>기존 규칙</x:v>
      </x:c>
      <x:c r="D4" s="42" t="str">
        <x:v>성장_전투_규칙 V1.2</x:v>
      </x:c>
      <x:c r="E4" s="42" t="str">
        <x:v>기존안</x:v>
      </x:c>
      <x:c r="F4" s="42" t="str">
        <x:v>Lv1 기본값 기준 누적</x:v>
      </x:c>
      <x:c r="J4" t="n">
        <x:v>1</x:v>
      </x:c>
      <x:c r="K4" t="n">
        <x:v>2</x:v>
      </x:c>
      <x:c r="L4" t="n">
        <x:v>20</x:v>
      </x:c>
      <x:c r="M4" t="n">
        <x:v>20</x:v>
      </x:c>
    </x:row>
    <x:row r="5">
      <x:c r="A5" s="42" t="str">
        <x:v>Stage1~5 스테이지 보상</x:v>
      </x:c>
      <x:c r="B5" s="42" t="str">
        <x:v>140/160/190/220/290</x:v>
      </x:c>
      <x:c r="C5" s="42" t="str">
        <x:v>시뮬레이션 가정</x:v>
      </x:c>
      <x:c r="D5" s="42" t="str">
        <x:v>초반 5개 스테이지에서 자연 성장 가능 여부 검증</x:v>
      </x:c>
      <x:c r="E5" s="42" t="str">
        <x:v>제안값</x:v>
      </x:c>
      <x:c r="F5" s="42" t="str">
        <x:v>로비 성장재화</x:v>
      </x:c>
      <x:c r="J5" t="n">
        <x:v>2</x:v>
      </x:c>
      <x:c r="K5" t="n">
        <x:v>3</x:v>
      </x:c>
      <x:c r="L5" t="n">
        <x:v>24</x:v>
      </x:c>
      <x:c r="M5" t="n">
        <x:v>44</x:v>
      </x:c>
    </x:row>
    <x:row r="6">
      <x:c r="A6" s="42" t="str">
        <x:v>Stage1~5 최초 클리어 보너스</x:v>
      </x:c>
      <x:c r="B6" s="42" t="str">
        <x:v>60/70/80/90/150</x:v>
      </x:c>
      <x:c r="C6" s="42" t="str">
        <x:v>시뮬레이션 가정</x:v>
      </x:c>
      <x:c r="D6" s="42" t="str">
        <x:v>첫 지역 완주 보상 강조</x:v>
      </x:c>
      <x:c r="E6" s="42" t="str">
        <x:v>제안값</x:v>
      </x:c>
      <x:c r="F6" s="42" t="str">
        <x:v>로비 성장재화</x:v>
      </x:c>
      <x:c r="J6" t="n">
        <x:v>3</x:v>
      </x:c>
      <x:c r="K6" t="n">
        <x:v>4</x:v>
      </x:c>
      <x:c r="L6" t="n">
        <x:v>28</x:v>
      </x:c>
      <x:c r="M6" t="n">
        <x:v>72</x:v>
      </x:c>
    </x:row>
    <x:row r="7">
      <x:c r="A7" s="42" t="str">
        <x:v>레벨업 비용</x:v>
      </x:c>
      <x:c r="B7" s="42" t="str">
        <x:v>Lv→Lv+1 = 20 + 4×(현재Lv-1)</x:v>
      </x:c>
      <x:c r="C7" s="42" t="str">
        <x:v>시뮬레이션 가정</x:v>
      </x:c>
      <x:c r="D7" s="42" t="str">
        <x:v>초반은 빠르게, 뒤로 갈수록 완만히 증가</x:v>
      </x:c>
      <x:c r="E7" s="42" t="str">
        <x:v>제안값</x:v>
      </x:c>
      <x:c r="F7" s="42" t="str">
        <x:v>한계돌파 재료는 미포함</x:v>
      </x:c>
      <x:c r="J7" t="n">
        <x:v>4</x:v>
      </x:c>
      <x:c r="K7" t="n">
        <x:v>5</x:v>
      </x:c>
      <x:c r="L7" t="n">
        <x:v>32</x:v>
      </x:c>
      <x:c r="M7" t="n">
        <x:v>104</x:v>
      </x:c>
    </x:row>
    <x:row r="8">
      <x:c r="A8" s="42" t="str">
        <x:v>육성 전략 A</x:v>
      </x:c>
      <x:c r="B8" s="42" t="str">
        <x:v>핵심 3명 집중</x:v>
      </x:c>
      <x:c r="C8" s="42" t="str">
        <x:v>플레이 패턴</x:v>
      </x:c>
      <x:c r="D8" s="42" t="str">
        <x:v>현재 Stage1 RPG 권장 영웅 2~3명과 부합</x:v>
      </x:c>
      <x:c r="E8" s="42" t="str">
        <x:v>시나리오</x:v>
      </x:c>
      <x:c r="F8" s="42" t="str">
        <x:v>효율형</x:v>
      </x:c>
      <x:c r="J8" t="n">
        <x:v>5</x:v>
      </x:c>
      <x:c r="K8" t="n">
        <x:v>6</x:v>
      </x:c>
      <x:c r="L8" t="n">
        <x:v>36</x:v>
      </x:c>
      <x:c r="M8" t="n">
        <x:v>140</x:v>
      </x:c>
    </x:row>
    <x:row r="9">
      <x:c r="A9" s="42" t="str">
        <x:v>육성 전략 B</x:v>
      </x:c>
      <x:c r="B9" s="42" t="str">
        <x:v>핵심 4명 균형</x:v>
      </x:c>
      <x:c r="C9" s="42" t="str">
        <x:v>플레이 패턴</x:v>
      </x:c>
      <x:c r="D9" s="42" t="str">
        <x:v>보스 파티 확장 준비</x:v>
      </x:c>
      <x:c r="E9" s="42" t="str">
        <x:v>시나리오</x:v>
      </x:c>
      <x:c r="F9" s="42" t="str">
        <x:v>표준형</x:v>
      </x:c>
      <x:c r="J9" t="n">
        <x:v>6</x:v>
      </x:c>
      <x:c r="K9" t="n">
        <x:v>7</x:v>
      </x:c>
      <x:c r="L9" t="n">
        <x:v>40</x:v>
      </x:c>
      <x:c r="M9" t="n">
        <x:v>180</x:v>
      </x:c>
    </x:row>
    <x:row r="10">
      <x:c r="A10" s="42" t="str">
        <x:v>육성 전략 C</x:v>
      </x:c>
      <x:c r="B10" s="42" t="str">
        <x:v>핵심 5명 분산</x:v>
      </x:c>
      <x:c r="C10" s="42" t="str">
        <x:v>플레이 패턴</x:v>
      </x:c>
      <x:c r="D10" s="42" t="str">
        <x:v>초보/수집형 유저</x:v>
      </x:c>
      <x:c r="E10" s="42" t="str">
        <x:v>시나리오</x:v>
      </x:c>
      <x:c r="F10" s="42" t="str">
        <x:v>가장 보수적</x:v>
      </x:c>
      <x:c r="J10" t="n">
        <x:v>7</x:v>
      </x:c>
      <x:c r="K10" t="n">
        <x:v>8</x:v>
      </x:c>
      <x:c r="L10" t="n">
        <x:v>44</x:v>
      </x:c>
      <x:c r="M10" t="n">
        <x:v>224</x:v>
      </x:c>
    </x:row>
    <x:row r="11">
      <x:c r="J11" t="n">
        <x:v>8</x:v>
      </x:c>
      <x:c r="K11" t="n">
        <x:v>9</x:v>
      </x:c>
      <x:c r="L11" t="n">
        <x:v>48</x:v>
      </x:c>
      <x:c r="M11" t="n">
        <x:v>272</x:v>
      </x:c>
    </x:row>
    <x:row r="12">
      <x:c r="J12" t="n">
        <x:v>9</x:v>
      </x:c>
      <x:c r="K12" t="n">
        <x:v>10</x:v>
      </x:c>
      <x:c r="L12" t="n">
        <x:v>52</x:v>
      </x:c>
      <x:c r="M12" t="n">
        <x:v>324</x:v>
      </x:c>
    </x:row>
    <x:row r="13">
      <x:c r="A13" s="230" t="str">
        <x:v>Stage</x:v>
      </x:c>
      <x:c r="B13" s="230" t="str">
        <x:v>기본 성장재화</x:v>
      </x:c>
      <x:c r="C13" s="230" t="str">
        <x:v>최초 클리어 보너스</x:v>
      </x:c>
      <x:c r="D13" s="230" t="str">
        <x:v>스테이지 획득</x:v>
      </x:c>
      <x:c r="E13" s="230" t="str">
        <x:v>누적 성장재화</x:v>
      </x:c>
      <x:c r="F13" s="230" t="str">
        <x:v>권장 전투력</x:v>
      </x:c>
      <x:c r="G13" s="230" t="str">
        <x:v>권장 로비레벨</x:v>
      </x:c>
      <x:c r="H13" s="230" t="str">
        <x:v>설계 메모</x:v>
      </x:c>
      <x:c r="J13" t="n">
        <x:v>10</x:v>
      </x:c>
      <x:c r="K13" t="n">
        <x:v>11</x:v>
      </x:c>
      <x:c r="L13" t="n">
        <x:v>56</x:v>
      </x:c>
      <x:c r="M13" t="n">
        <x:v>380</x:v>
      </x:c>
    </x:row>
    <x:row r="14">
      <x:c r="A14" t="n">
        <x:v>1</x:v>
      </x:c>
      <x:c r="B14" t="n">
        <x:v>140</x:v>
      </x:c>
      <x:c r="C14" t="n">
        <x:v>60</x:v>
      </x:c>
      <x:c r="D14" t="n">
        <x:v>200</x:v>
      </x:c>
      <x:c r="E14" t="n">
        <x:v>200</x:v>
      </x:c>
      <x:c r="F14" t="n">
        <x:v>100</x:v>
      </x:c>
      <x:c r="G14" t="str">
        <x:v>Lv1~10</x:v>
      </x:c>
      <x:c r="H14" t="str">
        <x:v>학습/초기 성장</x:v>
      </x:c>
      <x:c r="J14" t="n">
        <x:v>11</x:v>
      </x:c>
      <x:c r="K14" t="n">
        <x:v>12</x:v>
      </x:c>
      <x:c r="L14" t="n">
        <x:v>60</x:v>
      </x:c>
      <x:c r="M14" t="n">
        <x:v>440</x:v>
      </x:c>
    </x:row>
    <x:row r="15">
      <x:c r="A15" t="n">
        <x:v>2</x:v>
      </x:c>
      <x:c r="B15" t="n">
        <x:v>160</x:v>
      </x:c>
      <x:c r="C15" t="n">
        <x:v>70</x:v>
      </x:c>
      <x:c r="D15" t="n">
        <x:v>230</x:v>
      </x:c>
      <x:c r="E15" t="n">
        <x:v>430</x:v>
      </x:c>
      <x:c r="F15" t="n">
        <x:v>113</x:v>
      </x:c>
      <x:c r="G15" t="str">
        <x:v>Lv1~10</x:v>
      </x:c>
      <x:c r="H15" t="str">
        <x:v>초기 성장</x:v>
      </x:c>
      <x:c r="J15" t="n">
        <x:v>12</x:v>
      </x:c>
      <x:c r="K15" t="n">
        <x:v>13</x:v>
      </x:c>
      <x:c r="L15" t="n">
        <x:v>64</x:v>
      </x:c>
      <x:c r="M15" t="n">
        <x:v>504</x:v>
      </x:c>
    </x:row>
    <x:row r="16">
      <x:c r="A16" t="n">
        <x:v>3</x:v>
      </x:c>
      <x:c r="B16" t="n">
        <x:v>190</x:v>
      </x:c>
      <x:c r="C16" t="n">
        <x:v>80</x:v>
      </x:c>
      <x:c r="D16" t="n">
        <x:v>270</x:v>
      </x:c>
      <x:c r="E16" t="n">
        <x:v>700</x:v>
      </x:c>
      <x:c r="F16" t="n">
        <x:v>128</x:v>
      </x:c>
      <x:c r="G16" t="str">
        <x:v>Lv1~10</x:v>
      </x:c>
      <x:c r="H16" t="str">
        <x:v>조합 학습</x:v>
      </x:c>
      <x:c r="J16" t="n">
        <x:v>13</x:v>
      </x:c>
      <x:c r="K16" t="n">
        <x:v>14</x:v>
      </x:c>
      <x:c r="L16" t="n">
        <x:v>68</x:v>
      </x:c>
      <x:c r="M16" t="n">
        <x:v>572</x:v>
      </x:c>
    </x:row>
    <x:row r="17">
      <x:c r="A17" t="n">
        <x:v>4</x:v>
      </x:c>
      <x:c r="B17" t="n">
        <x:v>220</x:v>
      </x:c>
      <x:c r="C17" t="n">
        <x:v>90</x:v>
      </x:c>
      <x:c r="D17" t="n">
        <x:v>310</x:v>
      </x:c>
      <x:c r="E17" t="n">
        <x:v>1010</x:v>
      </x:c>
      <x:c r="F17" t="n">
        <x:v>144</x:v>
      </x:c>
      <x:c r="G17" t="str">
        <x:v>Lv1~10</x:v>
      </x:c>
      <x:c r="H17" t="str">
        <x:v>첫 전설2 운용</x:v>
      </x:c>
      <x:c r="J17" t="n">
        <x:v>14</x:v>
      </x:c>
      <x:c r="K17" t="n">
        <x:v>15</x:v>
      </x:c>
      <x:c r="L17" t="n">
        <x:v>72</x:v>
      </x:c>
      <x:c r="M17" t="n">
        <x:v>644</x:v>
      </x:c>
    </x:row>
    <x:row r="18">
      <x:c r="A18" t="n">
        <x:v>5</x:v>
      </x:c>
      <x:c r="B18" t="n">
        <x:v>290</x:v>
      </x:c>
      <x:c r="C18" t="n">
        <x:v>150</x:v>
      </x:c>
      <x:c r="D18" t="n">
        <x:v>440</x:v>
      </x:c>
      <x:c r="E18" t="n">
        <x:v>1450</x:v>
      </x:c>
      <x:c r="F18" t="n">
        <x:v>163</x:v>
      </x:c>
      <x:c r="G18" t="str">
        <x:v>Lv1~10</x:v>
      </x:c>
      <x:c r="H18" t="str">
        <x:v>서부 지역 보스/성장 체크</x:v>
      </x:c>
      <x:c r="J18" t="n">
        <x:v>15</x:v>
      </x:c>
      <x:c r="K18" t="n">
        <x:v>16</x:v>
      </x:c>
      <x:c r="L18" t="n">
        <x:v>76</x:v>
      </x:c>
      <x:c r="M18" t="n">
        <x:v>720</x:v>
      </x:c>
    </x:row>
    <x:row r="19">
      <x:c r="A19" t="n">
        <x:v>6</x:v>
      </x:c>
      <x:c r="B19" t="n">
        <x:v>300</x:v>
      </x:c>
      <x:c r="C19" t="n">
        <x:v>0</x:v>
      </x:c>
      <x:c r="D19" t="n">
        <x:v>300</x:v>
      </x:c>
      <x:c r="E19" t="n">
        <x:v>1750</x:v>
      </x:c>
      <x:c r="F19" t="n">
        <x:v>184</x:v>
      </x:c>
      <x:c r="G19" t="str">
        <x:v>Lv10~20</x:v>
      </x:c>
      <x:c r="H19" t="str">
        <x:v>아자르 진입/첫 스펙 체크</x:v>
      </x:c>
      <x:c r="J19" t="n">
        <x:v>16</x:v>
      </x:c>
      <x:c r="K19" t="n">
        <x:v>17</x:v>
      </x:c>
      <x:c r="L19" t="n">
        <x:v>80</x:v>
      </x:c>
      <x:c r="M19" t="n">
        <x:v>800</x:v>
      </x:c>
    </x:row>
    <x:row r="20">
      <x:c r="A20" t="n">
        <x:v>7</x:v>
      </x:c>
      <x:c r="B20" t="n">
        <x:v>320</x:v>
      </x:c>
      <x:c r="C20" t="n">
        <x:v>0</x:v>
      </x:c>
      <x:c r="D20" t="n">
        <x:v>320</x:v>
      </x:c>
      <x:c r="E20" t="n">
        <x:v>2070</x:v>
      </x:c>
      <x:c r="F20" t="n">
        <x:v>208</x:v>
      </x:c>
      <x:c r="G20" t="str">
        <x:v>Lv10~20</x:v>
      </x:c>
      <x:c r="H20" t="str">
        <x:v>성장 체감</x:v>
      </x:c>
      <x:c r="J20" t="n">
        <x:v>17</x:v>
      </x:c>
      <x:c r="K20" t="n">
        <x:v>18</x:v>
      </x:c>
      <x:c r="L20" t="n">
        <x:v>84</x:v>
      </x:c>
      <x:c r="M20" t="n">
        <x:v>884</x:v>
      </x:c>
    </x:row>
    <x:row r="21">
      <x:c r="A21" t="n">
        <x:v>8</x:v>
      </x:c>
      <x:c r="B21" t="n">
        <x:v>340</x:v>
      </x:c>
      <x:c r="C21" t="n">
        <x:v>0</x:v>
      </x:c>
      <x:c r="D21" t="n">
        <x:v>340</x:v>
      </x:c>
      <x:c r="E21" t="n">
        <x:v>2410</x:v>
      </x:c>
      <x:c r="F21" t="n">
        <x:v>235</x:v>
      </x:c>
      <x:c r="G21" t="str">
        <x:v>Lv10~20</x:v>
      </x:c>
      <x:c r="H21" t="str">
        <x:v>빌드 확장</x:v>
      </x:c>
      <x:c r="J21" t="n">
        <x:v>18</x:v>
      </x:c>
      <x:c r="K21" t="n">
        <x:v>19</x:v>
      </x:c>
      <x:c r="L21" t="n">
        <x:v>88</x:v>
      </x:c>
      <x:c r="M21" t="n">
        <x:v>972</x:v>
      </x:c>
    </x:row>
    <x:row r="22">
      <x:c r="A22" t="n">
        <x:v>9</x:v>
      </x:c>
      <x:c r="B22" t="n">
        <x:v>370</x:v>
      </x:c>
      <x:c r="C22" t="n">
        <x:v>0</x:v>
      </x:c>
      <x:c r="D22" t="n">
        <x:v>370</x:v>
      </x:c>
      <x:c r="E22" t="n">
        <x:v>2780</x:v>
      </x:c>
      <x:c r="F22" t="n">
        <x:v>266</x:v>
      </x:c>
      <x:c r="G22" t="str">
        <x:v>Lv10~20</x:v>
      </x:c>
      <x:c r="H22" t="str">
        <x:v>보스 전 준비</x:v>
      </x:c>
      <x:c r="J22" t="n">
        <x:v>19</x:v>
      </x:c>
      <x:c r="K22" t="n">
        <x:v>20</x:v>
      </x:c>
      <x:c r="L22" t="n">
        <x:v>92</x:v>
      </x:c>
      <x:c r="M22" t="n">
        <x:v>1064</x:v>
      </x:c>
    </x:row>
    <x:row r="23">
      <x:c r="A23" t="n">
        <x:v>10</x:v>
      </x:c>
      <x:c r="B23" t="n">
        <x:v>420</x:v>
      </x:c>
      <x:c r="C23" t="n">
        <x:v>100</x:v>
      </x:c>
      <x:c r="D23" t="n">
        <x:v>520</x:v>
      </x:c>
      <x:c r="E23" t="n">
        <x:v>3300</x:v>
      </x:c>
      <x:c r="F23" t="n">
        <x:v>300</x:v>
      </x:c>
      <x:c r="G23" t="str">
        <x:v>Lv10~20</x:v>
      </x:c>
      <x:c r="H23" t="str">
        <x:v>첫 10스테이지 마감</x:v>
      </x:c>
    </x:row>
    <x:row r="26">
      <x:c r="A26" s="237" t="str">
        <x:v>육성 전략</x:v>
      </x:c>
      <x:c r="B26" s="237" t="str">
        <x:v>육성 인원</x:v>
      </x:c>
      <x:c r="C26" s="237" t="str">
        <x:v>Stage5 누적재화</x:v>
      </x:c>
      <x:c r="D26" s="237" t="str">
        <x:v>Stage6 진입 평균Lv</x:v>
      </x:c>
      <x:c r="E26" s="237" t="str">
        <x:v>Stage5까지 사용</x:v>
      </x:c>
      <x:c r="F26" s="237" t="str">
        <x:v>잔여</x:v>
      </x:c>
      <x:c r="G26" s="237" t="str">
        <x:v>Stage6 로비스탯 배율</x:v>
      </x:c>
      <x:c r="H26" s="237" t="str">
        <x:v>Stage10 누적재화</x:v>
      </x:c>
      <x:c r="I26" s="237" t="str">
        <x:v>Stage10 진입 평균Lv</x:v>
      </x:c>
      <x:c r="J26" s="237" t="str">
        <x:v>Stage10까지 사용</x:v>
      </x:c>
      <x:c r="K26" s="237" t="str">
        <x:v>잔여</x:v>
      </x:c>
      <x:c r="L26" s="237" t="str">
        <x:v>Stage10 로비스탯 배율</x:v>
      </x:c>
    </x:row>
    <x:row r="27">
      <x:c r="A27" t="str">
        <x:v>A 핵심3 집중</x:v>
      </x:c>
      <x:c r="B27" t="n">
        <x:v>3</x:v>
      </x:c>
      <x:c r="C27" t="n">
        <x:v>1450</x:v>
      </x:c>
      <x:c r="D27" t="n">
        <x:v>12</x:v>
      </x:c>
      <x:c r="E27" t="n">
        <x:v>1320</x:v>
      </x:c>
      <x:c r="F27" t="n">
        <x:v>130</x:v>
      </x:c>
      <x:c r="G27" s="238" t="n">
        <x:v>0.049499999999999995</x:v>
      </x:c>
      <x:c r="H27" t="n">
        <x:v>3300</x:v>
      </x:c>
      <x:c r="I27" t="n">
        <x:v>20</x:v>
      </x:c>
      <x:c r="J27" t="n">
        <x:v>3192</x:v>
      </x:c>
      <x:c r="K27" t="n">
        <x:v>108</x:v>
      </x:c>
      <x:c r="L27" s="238" t="n">
        <x:v>0.08549999999999999</x:v>
      </x:c>
    </x:row>
    <x:row r="28">
      <x:c r="A28" t="str">
        <x:v>B 핵심4 균형</x:v>
      </x:c>
      <x:c r="B28" t="n">
        <x:v>4</x:v>
      </x:c>
      <x:c r="C28" t="n">
        <x:v>1450</x:v>
      </x:c>
      <x:c r="D28" t="n">
        <x:v>10</x:v>
      </x:c>
      <x:c r="E28" t="n">
        <x:v>1296</x:v>
      </x:c>
      <x:c r="F28" t="n">
        <x:v>154</x:v>
      </x:c>
      <x:c r="G28" s="238" t="n">
        <x:v>0.040499999999999994</x:v>
      </x:c>
      <x:c r="H28" t="n">
        <x:v>3300</x:v>
      </x:c>
      <x:c r="I28" t="n">
        <x:v>17</x:v>
      </x:c>
      <x:c r="J28" t="n">
        <x:v>3200</x:v>
      </x:c>
      <x:c r="K28" t="n">
        <x:v>100</x:v>
      </x:c>
      <x:c r="L28" s="238" t="n">
        <x:v>0.072</x:v>
      </x:c>
    </x:row>
    <x:row r="29">
      <x:c r="A29" t="str">
        <x:v>C 핵심5 분산</x:v>
      </x:c>
      <x:c r="B29" t="n">
        <x:v>5</x:v>
      </x:c>
      <x:c r="C29" t="n">
        <x:v>1450</x:v>
      </x:c>
      <x:c r="D29" t="n">
        <x:v>9</x:v>
      </x:c>
      <x:c r="E29" t="n">
        <x:v>1360</x:v>
      </x:c>
      <x:c r="F29" t="n">
        <x:v>90</x:v>
      </x:c>
      <x:c r="G29" s="238" t="n">
        <x:v>0.036</x:v>
      </x:c>
      <x:c r="H29" t="n">
        <x:v>3300</x:v>
      </x:c>
      <x:c r="I29" t="n">
        <x:v>15</x:v>
      </x:c>
      <x:c r="J29" t="n">
        <x:v>3220</x:v>
      </x:c>
      <x:c r="K29" t="n">
        <x:v>80</x:v>
      </x:c>
      <x:c r="L29" s="238" t="n">
        <x:v>0.063</x:v>
      </x:c>
    </x:row>
    <x:row r="32">
      <x:c r="A32" s="241" t="str">
        <x:v>Stage 5 → 6 성장벽 검증</x:v>
      </x:c>
      <x:c r="B32" s="241"/>
      <x:c r="C32" s="241"/>
      <x:c r="D32" s="241"/>
      <x:c r="E32" s="241"/>
      <x:c r="F32" s="241"/>
      <x:c r="G32" s="241"/>
      <x:c r="H32" s="241"/>
      <x:c r="I32" s="241"/>
      <x:c r="J32" s="241"/>
      <x:c r="K32" s="247" t="str">
        <x:v>결론</x:v>
      </x:c>
      <x:c r="L32" s="247"/>
      <x:c r="M32" s="247"/>
      <x:c r="N32" s="247"/>
      <x:c r="O32" s="247"/>
      <x:c r="P32" s="247"/>
      <x:c r="Q32" s="247"/>
    </x:row>
    <x:row r="33">
      <x:c r="A33" s="245" t="str">
        <x:v>항목</x:v>
      </x:c>
      <x:c r="B33" s="245" t="str">
        <x:v>Stage5</x:v>
      </x:c>
      <x:c r="C33" s="245" t="str">
        <x:v>Stage6</x:v>
      </x:c>
      <x:c r="D33" s="245" t="str">
        <x:v>증가율/차이</x:v>
      </x:c>
      <x:c r="E33" s="245" t="str">
        <x:v>핵심3 집중</x:v>
      </x:c>
      <x:c r="F33" s="245" t="str">
        <x:v>핵심4 균형</x:v>
      </x:c>
      <x:c r="G33" s="245" t="str">
        <x:v>핵심5 분산</x:v>
      </x:c>
      <x:c r="H33" s="245" t="str">
        <x:v>판정</x:v>
      </x:c>
      <x:c r="I33" s="245" t="str">
        <x:v>해석</x:v>
      </x:c>
      <x:c r="K33" s="42" t="str">
        <x:v>기본계정 Lv1 + 자연 육성</x:v>
      </x:c>
      <x:c r="L33" s="42" t="str">
        <x:v>Stage1~5 성장재화 1,450 가정 시 핵심3 Lv12 / 핵심4 Lv10 / 핵심5 Lv9 전후</x:v>
      </x:c>
      <x:c r="M33" s="42"/>
      <x:c r="N33" s="42"/>
      <x:c r="O33" s="42"/>
      <x:c r="P33" s="42"/>
      <x:c r="Q33" s="42"/>
    </x:row>
    <x:row r="34">
      <x:c r="A34" s="42" t="str">
        <x:v>권장 전투력</x:v>
      </x:c>
      <x:c r="B34" s="42" t="n">
        <x:v>163</x:v>
      </x:c>
      <x:c r="C34" s="42" t="n">
        <x:v>184</x:v>
      </x:c>
      <x:c r="D34" s="246" t="n">
        <x:v>0.12883435582822078</x:v>
      </x:c>
      <x:c r="E34" s="246" t="n">
        <x:v>0.049499999999999995</x:v>
      </x:c>
      <x:c r="F34" s="246" t="n">
        <x:v>0.040499999999999994</x:v>
      </x:c>
      <x:c r="G34" s="246" t="n">
        <x:v>0.036</x:v>
      </x:c>
      <x:c r="H34" s="42" t="str">
        <x:v>타이트하지만 의도권</x:v>
      </x:c>
      <x:c r="I34" s="42" t="str">
        <x:v>Stage5→6 권장 전투력은 약 +12.9%</x:v>
      </x:c>
      <x:c r="K34" s="42" t="str">
        <x:v>Stage6</x:v>
      </x:c>
      <x:c r="L34" s="42" t="str">
        <x:v>로비 레벨만으로 약 +3.6~5.0%라 적 압박 +32.7%를 직접 상쇄하지는 못함</x:v>
      </x:c>
      <x:c r="M34" s="42"/>
      <x:c r="N34" s="42"/>
      <x:c r="O34" s="42"/>
      <x:c r="P34" s="42"/>
      <x:c r="Q34" s="42"/>
    </x:row>
    <x:row r="35">
      <x:c r="A35" s="42" t="str">
        <x:v>적 압박지수</x:v>
      </x:c>
      <x:c r="B35" s="42" t="n">
        <x:v>4531</x:v>
      </x:c>
      <x:c r="C35" s="42" t="n">
        <x:v>6014</x:v>
      </x:c>
      <x:c r="D35" s="246" t="n">
        <x:v>0.3273008165967777</x:v>
      </x:c>
      <x:c r="E35" s="246" t="n">
        <x:v>0.049499999999999995</x:v>
      </x:c>
      <x:c r="F35" s="246" t="n">
        <x:v>0.040499999999999994</x:v>
      </x:c>
      <x:c r="G35" s="246" t="n">
        <x:v>0.036</x:v>
      </x:c>
      <x:c r="H35" s="42" t="str">
        <x:v>실제 플레이로 보정 필요</x:v>
      </x:c>
      <x:c r="I35" s="42" t="str">
        <x:v>상대 압박지수는 +32%대라 순수 레벨만으로는 상쇄 불가</x:v>
      </x:c>
      <x:c r="K35" s="42" t="str">
        <x:v>하지만</x:v>
      </x:c>
      <x:c r="L35" s="42" t="str">
        <x:v>Stage5에서 방어벽·발리스타·마탑 계열이 열리고, 전설 조합/TD 성급까지 함께 쓰는 구간</x:v>
      </x:c>
      <x:c r="M35" s="42"/>
      <x:c r="N35" s="42"/>
      <x:c r="O35" s="42"/>
      <x:c r="P35" s="42"/>
      <x:c r="Q35" s="42"/>
    </x:row>
    <x:row r="36">
      <x:c r="A36" s="42" t="str">
        <x:v>W9 인게임 골드</x:v>
      </x:c>
      <x:c r="B36" s="42" t="n">
        <x:v>5672</x:v>
      </x:c>
      <x:c r="C36" s="42" t="n">
        <x:v>5459</x:v>
      </x:c>
      <x:c r="D36" s="246" t="n">
        <x:v>-0.03755289139633289</x:v>
      </x:c>
      <x:c r="E36" s="246" t="n">
        <x:v>0</x:v>
      </x:c>
      <x:c r="F36" s="246" t="n">
        <x:v>0</x:v>
      </x:c>
      <x:c r="G36" s="246" t="n">
        <x:v>0</x:v>
      </x:c>
      <x:c r="H36" s="42" t="str">
        <x:v>골드 공급은 비슷</x:v>
      </x:c>
      <x:c r="I36" s="42" t="str">
        <x:v>Stage6에서 인게임 골드가 크게 늘어나는 구조는 아님</x:v>
      </x:c>
      <x:c r="K36" s="42" t="str">
        <x:v>판정</x:v>
      </x:c>
      <x:c r="L36" s="42" t="str">
        <x:v>Stage6는 '무료 성장으로 넘을 수 있는 첫 스펙 체크'로 유지 가능. 현 시점 수치 하향은 보류</x:v>
      </x:c>
      <x:c r="M36" s="42"/>
      <x:c r="N36" s="42"/>
      <x:c r="O36" s="42"/>
      <x:c r="P36" s="42"/>
      <x:c r="Q36" s="42"/>
    </x:row>
    <x:row r="37">
      <x:c r="A37" s="42" t="str">
        <x:v>Stage5 해금 효과</x:v>
      </x:c>
      <x:c r="B37" s="42" t="str">
        <x:v>방어벽/발리스타/마탑 계열 진입</x:v>
      </x:c>
      <x:c r="C37" s="42" t="str">
        <x:v>Stage6부터 실전 활용</x:v>
      </x:c>
      <x:c r="D37" s="246" t="str">
        <x:v>정량 미확정</x:v>
      </x:c>
      <x:c r="E37" s="42" t="str">
        <x:v>-</x:v>
      </x:c>
      <x:c r="F37" s="42" t="str">
        <x:v>-</x:v>
      </x:c>
      <x:c r="G37" s="42" t="str">
        <x:v>-</x:v>
      </x:c>
      <x:c r="H37" s="42" t="str">
        <x:v>중요</x:v>
      </x:c>
      <x:c r="I37" s="42" t="str">
        <x:v>새 유닛/구조물이 레벨 상승보다 더 큰 체감 보정 역할</x:v>
      </x:c>
      <x:c r="K37" s="42" t="str">
        <x:v>Stage7~10</x:v>
      </x:c>
      <x:c r="L37" s="42" t="str">
        <x:v>누적 성장재화 3,300 가정 시 핵심3 Lv20 / 핵심4 Lv17 / 핵심5 Lv15 전후까지 자연 상승</x:v>
      </x:c>
      <x:c r="M37" s="42"/>
      <x:c r="N37" s="42"/>
      <x:c r="O37" s="42"/>
      <x:c r="P37" s="42"/>
      <x:c r="Q37" s="42"/>
    </x:row>
    <x:row r="38">
      <x:c r="K38" s="42" t="str">
        <x:v>주의</x:v>
      </x:c>
      <x:c r="L38" s="42" t="str">
        <x:v>로비 성장재화/레벨업 비용은 아직 확정 데이터가 없어 이번 수치는 역산용 제안값. 실제 드롭 테이블 확정 후 재검증 필요</x:v>
      </x:c>
      <x:c r="M38" s="42"/>
      <x:c r="N38" s="42"/>
      <x:c r="O38" s="42"/>
      <x:c r="P38" s="42"/>
      <x:c r="Q38" s="42"/>
    </x:row>
  </x:sheetData>
  <x:mergeCells>
    <x:mergeCell ref="A1:Q1"/>
    <x:mergeCell ref="A32:Q32"/>
    <x:mergeCell ref="K32:Q32"/>
  </x:mergeCells>
  <x:conditionalFormatting sqref="D27:D2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{54FB4C1B-867F-72CB-1191-D315B9292999}</x14:id>
        </x:ext>
      </x:extLst>
    </x:cfRule>
  </x:conditionalFormatting>
  <x:conditionalFormatting sqref="I27:I2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{CEE5B4FD-B2EF-BA57-691F-62E13B280D0B}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FB4C1B-867F-72CB-1191-D315B9292999}">
            <x14:dataBar gradient="1">
              <x14:cfvo type="min"/>
              <x14:cfvo type="max"/>
              <x14:fillColor rgb="FFA02B93"/>
            </x14:dataBar>
          </x14:cfRule>
          <xm:sqref>D27:D29</xm:sqref>
        </x14:conditionalFormatting>
        <x14:conditionalFormatting>
          <x14:cfRule type="dataBar" priority="2" id="{CEE5B4FD-B2EF-BA57-691F-62E13B280D0B}">
            <x14:dataBar gradient="1">
              <x14:cfvo type="min"/>
              <x14:cfvo type="max"/>
              <x14:fillColor rgb="FFA02B93"/>
            </x14:dataBar>
          </x14:cfRule>
          <xm:sqref>I27:I29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22" hidden="0" customWidth="1"/>
    <x:col min="7" max="7" width="30" hidden="0" customWidth="1"/>
    <x:col min="8" max="8" width="18" hidden="0" customWidth="1"/>
    <x:col min="9" max="9" width="20" hidden="0" customWidth="1"/>
    <x:col min="10" max="10" width="12" hidden="0" customWidth="1"/>
    <x:col min="11" max="11" width="14" hidden="0" customWidth="1"/>
    <x:col min="12" max="12" width="16" hidden="0" customWidth="1"/>
    <x:col min="13" max="13" width="18" hidden="0" customWidth="1"/>
    <x:col min="14" max="14" width="18" hidden="0" customWidth="1"/>
  </x:cols>
  <x:sheetData>
    <x:row r="1">
      <x:c r="A1" s="252" t="str">
        <x:v>LUCKY GIRLS — Normal 1~10 로비 성장재화/레벨업 비용 확정 후보 V1.9</x:v>
      </x:c>
      <x:c r="B1" s="252"/>
      <x:c r="C1" s="252"/>
      <x:c r="D1" s="252"/>
      <x:c r="E1" s="252"/>
      <x:c r="F1" s="252"/>
      <x:c r="G1" s="252"/>
      <x:c r="H1" s="252"/>
      <x:c r="I1" s="252"/>
      <x:c r="J1" s="252"/>
      <x:c r="K1" s="252"/>
      <x:c r="L1" s="252"/>
      <x:c r="M1" s="252"/>
      <x:c r="N1" s="252"/>
    </x:row>
    <x:row r="3">
      <x:c r="A3" s="256" t="str">
        <x:v>Stage</x:v>
      </x:c>
      <x:c r="B3" s="256" t="str">
        <x:v>기본 성장재화</x:v>
      </x:c>
      <x:c r="C3" s="256" t="str">
        <x:v>최초 클리어 보너스</x:v>
      </x:c>
      <x:c r="D3" s="256" t="str">
        <x:v>총 획득</x:v>
      </x:c>
      <x:c r="E3" s="256" t="str">
        <x:v>누적 획득</x:v>
      </x:c>
      <x:c r="F3" s="256" t="str">
        <x:v>권장 로비레벨</x:v>
      </x:c>
      <x:c r="G3" s="256" t="str">
        <x:v>구간 역할</x:v>
      </x:c>
      <x:c r="H3" s="256" t="str">
        <x:v>판정</x:v>
      </x:c>
      <x:c r="J3" s="259" t="str">
        <x:v>현재 Lv</x:v>
      </x:c>
      <x:c r="K3" s="259" t="str">
        <x:v>다음 Lv</x:v>
      </x:c>
      <x:c r="L3" s="259" t="str">
        <x:v>1회 비용</x:v>
      </x:c>
      <x:c r="M3" s="259" t="str">
        <x:v>누적 비용</x:v>
      </x:c>
      <x:c r="N3" s="259" t="str">
        <x:v>구간</x:v>
      </x:c>
    </x:row>
    <x:row r="4">
      <x:c r="A4" s="42" t="n">
        <x:v>1</x:v>
      </x:c>
      <x:c r="B4" s="42" t="n">
        <x:v>140</x:v>
      </x:c>
      <x:c r="C4" s="42" t="n">
        <x:v>60</x:v>
      </x:c>
      <x:c r="D4" s="42" t="n">
        <x:v>200</x:v>
      </x:c>
      <x:c r="E4" s="42" t="n">
        <x:v>200</x:v>
      </x:c>
      <x:c r="F4" s="42" t="str">
        <x:v>Lv1~10</x:v>
      </x:c>
      <x:c r="G4" s="42" t="str">
        <x:v>학습</x:v>
      </x:c>
      <x:c r="H4" s="42" t="str">
        <x:v>유지 권장</x:v>
      </x:c>
      <x:c r="J4" t="n">
        <x:v>1</x:v>
      </x:c>
      <x:c r="K4" t="n">
        <x:v>2</x:v>
      </x:c>
      <x:c r="L4" t="n">
        <x:v>20</x:v>
      </x:c>
      <x:c r="M4" t="n">
        <x:v>20</x:v>
      </x:c>
      <x:c r="N4" t="str">
        <x:v>초반 성장</x:v>
      </x:c>
    </x:row>
    <x:row r="5">
      <x:c r="A5" s="42" t="n">
        <x:v>2</x:v>
      </x:c>
      <x:c r="B5" s="42" t="n">
        <x:v>160</x:v>
      </x:c>
      <x:c r="C5" s="42" t="n">
        <x:v>70</x:v>
      </x:c>
      <x:c r="D5" s="42" t="n">
        <x:v>230</x:v>
      </x:c>
      <x:c r="E5" s="42" t="n">
        <x:v>430</x:v>
      </x:c>
      <x:c r="F5" s="42" t="str">
        <x:v>Lv1~10</x:v>
      </x:c>
      <x:c r="G5" s="42" t="str">
        <x:v>초기 성장</x:v>
      </x:c>
      <x:c r="H5" s="42" t="str">
        <x:v>유지 권장</x:v>
      </x:c>
      <x:c r="J5" t="n">
        <x:v>2</x:v>
      </x:c>
      <x:c r="K5" t="n">
        <x:v>3</x:v>
      </x:c>
      <x:c r="L5" t="n">
        <x:v>24</x:v>
      </x:c>
      <x:c r="M5" t="n">
        <x:v>44</x:v>
      </x:c>
      <x:c r="N5" t="str">
        <x:v>초반 성장</x:v>
      </x:c>
    </x:row>
    <x:row r="6">
      <x:c r="A6" s="42" t="n">
        <x:v>3</x:v>
      </x:c>
      <x:c r="B6" s="42" t="n">
        <x:v>190</x:v>
      </x:c>
      <x:c r="C6" s="42" t="n">
        <x:v>80</x:v>
      </x:c>
      <x:c r="D6" s="42" t="n">
        <x:v>270</x:v>
      </x:c>
      <x:c r="E6" s="42" t="n">
        <x:v>700</x:v>
      </x:c>
      <x:c r="F6" s="42" t="str">
        <x:v>Lv1~10</x:v>
      </x:c>
      <x:c r="G6" s="42" t="str">
        <x:v>조합 학습</x:v>
      </x:c>
      <x:c r="H6" s="42" t="str">
        <x:v>유지 권장</x:v>
      </x:c>
      <x:c r="J6" t="n">
        <x:v>3</x:v>
      </x:c>
      <x:c r="K6" t="n">
        <x:v>4</x:v>
      </x:c>
      <x:c r="L6" t="n">
        <x:v>28</x:v>
      </x:c>
      <x:c r="M6" t="n">
        <x:v>72</x:v>
      </x:c>
      <x:c r="N6" t="str">
        <x:v>초반 성장</x:v>
      </x:c>
    </x:row>
    <x:row r="7">
      <x:c r="A7" s="42" t="n">
        <x:v>4</x:v>
      </x:c>
      <x:c r="B7" s="42" t="n">
        <x:v>220</x:v>
      </x:c>
      <x:c r="C7" s="42" t="n">
        <x:v>90</x:v>
      </x:c>
      <x:c r="D7" s="42" t="n">
        <x:v>310</x:v>
      </x:c>
      <x:c r="E7" s="42" t="n">
        <x:v>1010</x:v>
      </x:c>
      <x:c r="F7" s="42" t="str">
        <x:v>Lv1~10</x:v>
      </x:c>
      <x:c r="G7" s="42" t="str">
        <x:v>전설 2 확보</x:v>
      </x:c>
      <x:c r="H7" s="42" t="str">
        <x:v>유지 권장</x:v>
      </x:c>
      <x:c r="J7" t="n">
        <x:v>4</x:v>
      </x:c>
      <x:c r="K7" t="n">
        <x:v>5</x:v>
      </x:c>
      <x:c r="L7" t="n">
        <x:v>32</x:v>
      </x:c>
      <x:c r="M7" t="n">
        <x:v>104</x:v>
      </x:c>
      <x:c r="N7" t="str">
        <x:v>초반 성장</x:v>
      </x:c>
    </x:row>
    <x:row r="8">
      <x:c r="A8" s="42" t="n">
        <x:v>5</x:v>
      </x:c>
      <x:c r="B8" s="42" t="n">
        <x:v>290</x:v>
      </x:c>
      <x:c r="C8" s="42" t="n">
        <x:v>150</x:v>
      </x:c>
      <x:c r="D8" s="42" t="n">
        <x:v>440</x:v>
      </x:c>
      <x:c r="E8" s="42" t="n">
        <x:v>1450</x:v>
      </x:c>
      <x:c r="F8" s="42" t="str">
        <x:v>Lv1~10</x:v>
      </x:c>
      <x:c r="G8" s="42" t="str">
        <x:v>서부 보스/첫 성장 체크</x:v>
      </x:c>
      <x:c r="H8" s="42" t="str">
        <x:v>유지 권장</x:v>
      </x:c>
      <x:c r="J8" t="n">
        <x:v>5</x:v>
      </x:c>
      <x:c r="K8" t="n">
        <x:v>6</x:v>
      </x:c>
      <x:c r="L8" t="n">
        <x:v>36</x:v>
      </x:c>
      <x:c r="M8" t="n">
        <x:v>140</x:v>
      </x:c>
      <x:c r="N8" t="str">
        <x:v>초반 성장</x:v>
      </x:c>
    </x:row>
    <x:row r="9">
      <x:c r="A9" s="42" t="n">
        <x:v>6</x:v>
      </x:c>
      <x:c r="B9" s="42" t="n">
        <x:v>300</x:v>
      </x:c>
      <x:c r="C9" s="42" t="n">
        <x:v>0</x:v>
      </x:c>
      <x:c r="D9" s="42" t="n">
        <x:v>300</x:v>
      </x:c>
      <x:c r="E9" s="42" t="n">
        <x:v>1750</x:v>
      </x:c>
      <x:c r="F9" s="42" t="str">
        <x:v>Lv10~20</x:v>
      </x:c>
      <x:c r="G9" s="42" t="str">
        <x:v>아자르 진입/첫 스펙 체크</x:v>
      </x:c>
      <x:c r="H9" s="42" t="str">
        <x:v>유지 권장</x:v>
      </x:c>
      <x:c r="J9" t="n">
        <x:v>6</x:v>
      </x:c>
      <x:c r="K9" t="n">
        <x:v>7</x:v>
      </x:c>
      <x:c r="L9" t="n">
        <x:v>40</x:v>
      </x:c>
      <x:c r="M9" t="n">
        <x:v>180</x:v>
      </x:c>
      <x:c r="N9" t="str">
        <x:v>초반 성장</x:v>
      </x:c>
    </x:row>
    <x:row r="10">
      <x:c r="A10" s="42" t="n">
        <x:v>7</x:v>
      </x:c>
      <x:c r="B10" s="42" t="n">
        <x:v>320</x:v>
      </x:c>
      <x:c r="C10" s="42" t="n">
        <x:v>0</x:v>
      </x:c>
      <x:c r="D10" s="42" t="n">
        <x:v>320</x:v>
      </x:c>
      <x:c r="E10" s="42" t="n">
        <x:v>2070</x:v>
      </x:c>
      <x:c r="F10" s="42" t="str">
        <x:v>Lv10~20</x:v>
      </x:c>
      <x:c r="G10" s="42" t="str">
        <x:v>성장 체감</x:v>
      </x:c>
      <x:c r="H10" s="42" t="str">
        <x:v>유지 권장</x:v>
      </x:c>
      <x:c r="J10" t="n">
        <x:v>7</x:v>
      </x:c>
      <x:c r="K10" t="n">
        <x:v>8</x:v>
      </x:c>
      <x:c r="L10" t="n">
        <x:v>44</x:v>
      </x:c>
      <x:c r="M10" t="n">
        <x:v>224</x:v>
      </x:c>
      <x:c r="N10" t="str">
        <x:v>초반 성장</x:v>
      </x:c>
    </x:row>
    <x:row r="11">
      <x:c r="A11" s="42" t="n">
        <x:v>8</x:v>
      </x:c>
      <x:c r="B11" s="42" t="n">
        <x:v>340</x:v>
      </x:c>
      <x:c r="C11" s="42" t="n">
        <x:v>0</x:v>
      </x:c>
      <x:c r="D11" s="42" t="n">
        <x:v>340</x:v>
      </x:c>
      <x:c r="E11" s="42" t="n">
        <x:v>2410</x:v>
      </x:c>
      <x:c r="F11" s="42" t="str">
        <x:v>Lv10~20</x:v>
      </x:c>
      <x:c r="G11" s="42" t="str">
        <x:v>빌드 확장</x:v>
      </x:c>
      <x:c r="H11" s="42" t="str">
        <x:v>유지 권장</x:v>
      </x:c>
      <x:c r="J11" t="n">
        <x:v>8</x:v>
      </x:c>
      <x:c r="K11" t="n">
        <x:v>9</x:v>
      </x:c>
      <x:c r="L11" t="n">
        <x:v>48</x:v>
      </x:c>
      <x:c r="M11" t="n">
        <x:v>272</x:v>
      </x:c>
      <x:c r="N11" t="str">
        <x:v>초반 성장</x:v>
      </x:c>
    </x:row>
    <x:row r="12">
      <x:c r="A12" s="42" t="n">
        <x:v>9</x:v>
      </x:c>
      <x:c r="B12" s="42" t="n">
        <x:v>370</x:v>
      </x:c>
      <x:c r="C12" s="42" t="n">
        <x:v>0</x:v>
      </x:c>
      <x:c r="D12" s="42" t="n">
        <x:v>370</x:v>
      </x:c>
      <x:c r="E12" s="42" t="n">
        <x:v>2780</x:v>
      </x:c>
      <x:c r="F12" s="42" t="str">
        <x:v>Lv10~20</x:v>
      </x:c>
      <x:c r="G12" s="42" t="str">
        <x:v>보스 전 준비</x:v>
      </x:c>
      <x:c r="H12" s="42" t="str">
        <x:v>유지 권장</x:v>
      </x:c>
      <x:c r="J12" t="n">
        <x:v>9</x:v>
      </x:c>
      <x:c r="K12" t="n">
        <x:v>10</x:v>
      </x:c>
      <x:c r="L12" t="n">
        <x:v>52</x:v>
      </x:c>
      <x:c r="M12" t="n">
        <x:v>324</x:v>
      </x:c>
      <x:c r="N12" t="str">
        <x:v>초반 성장</x:v>
      </x:c>
    </x:row>
    <x:row r="13">
      <x:c r="A13" s="42" t="n">
        <x:v>10</x:v>
      </x:c>
      <x:c r="B13" s="42" t="n">
        <x:v>420</x:v>
      </x:c>
      <x:c r="C13" s="42" t="n">
        <x:v>100</x:v>
      </x:c>
      <x:c r="D13" s="42" t="n">
        <x:v>520</x:v>
      </x:c>
      <x:c r="E13" s="42" t="n">
        <x:v>3300</x:v>
      </x:c>
      <x:c r="F13" s="42" t="str">
        <x:v>Lv10~20</x:v>
      </x:c>
      <x:c r="G13" s="42" t="str">
        <x:v>Normal 1~10 마감</x:v>
      </x:c>
      <x:c r="H13" s="42" t="str">
        <x:v>유지 권장</x:v>
      </x:c>
      <x:c r="J13" t="n">
        <x:v>10</x:v>
      </x:c>
      <x:c r="K13" t="n">
        <x:v>11</x:v>
      </x:c>
      <x:c r="L13" t="n">
        <x:v>60</x:v>
      </x:c>
      <x:c r="M13" t="n">
        <x:v>384</x:v>
      </x:c>
      <x:c r="N13" t="str">
        <x:v>중반 성장</x:v>
      </x:c>
    </x:row>
    <x:row r="14">
      <x:c r="J14" t="n">
        <x:v>11</x:v>
      </x:c>
      <x:c r="K14" t="n">
        <x:v>12</x:v>
      </x:c>
      <x:c r="L14" t="n">
        <x:v>68</x:v>
      </x:c>
      <x:c r="M14" t="n">
        <x:v>452</x:v>
      </x:c>
      <x:c r="N14" t="str">
        <x:v>중반 성장</x:v>
      </x:c>
    </x:row>
    <x:row r="15">
      <x:c r="J15" t="n">
        <x:v>12</x:v>
      </x:c>
      <x:c r="K15" t="n">
        <x:v>13</x:v>
      </x:c>
      <x:c r="L15" t="n">
        <x:v>76</x:v>
      </x:c>
      <x:c r="M15" t="n">
        <x:v>528</x:v>
      </x:c>
      <x:c r="N15" t="str">
        <x:v>중반 성장</x:v>
      </x:c>
    </x:row>
    <x:row r="16">
      <x:c r="A16" s="263" t="str">
        <x:v>육성 방식</x:v>
      </x:c>
      <x:c r="B16" s="263" t="str">
        <x:v>육성 인원</x:v>
      </x:c>
      <x:c r="C16" s="263" t="str">
        <x:v>Stage5 누적재화</x:v>
      </x:c>
      <x:c r="D16" s="263" t="str">
        <x:v>Stage6 진입 Lv</x:v>
      </x:c>
      <x:c r="E16" s="263" t="str">
        <x:v>Stage5 사용</x:v>
      </x:c>
      <x:c r="F16" s="263" t="str">
        <x:v>Stage5 잔여</x:v>
      </x:c>
      <x:c r="G16" s="263" t="str">
        <x:v>Stage10 누적재화</x:v>
      </x:c>
      <x:c r="H16" s="263" t="str">
        <x:v>Stage10 도달 Lv</x:v>
      </x:c>
      <x:c r="I16" s="263" t="str">
        <x:v>Stage10 사용</x:v>
      </x:c>
      <x:c r="J16" s="263" t="str">
        <x:v>Stage10 잔여</x:v>
      </x:c>
      <x:c r="K16" t="n">
        <x:v>14</x:v>
      </x:c>
      <x:c r="L16" t="n">
        <x:v>84</x:v>
      </x:c>
      <x:c r="M16" t="n">
        <x:v>612</x:v>
      </x:c>
      <x:c r="N16" t="str">
        <x:v>중반 성장</x:v>
      </x:c>
    </x:row>
    <x:row r="17">
      <x:c r="A17" t="str">
        <x:v>핵심 3명 집중</x:v>
      </x:c>
      <x:c r="B17" t="n">
        <x:v>3</x:v>
      </x:c>
      <x:c r="C17" t="n">
        <x:v>1450</x:v>
      </x:c>
      <x:c r="D17" t="n">
        <x:v>12</x:v>
      </x:c>
      <x:c r="E17" t="n">
        <x:v>1356</x:v>
      </x:c>
      <x:c r="F17" t="n">
        <x:v>94</x:v>
      </x:c>
      <x:c r="G17" t="n">
        <x:v>3300</x:v>
      </x:c>
      <x:c r="H17" t="n">
        <x:v>18</x:v>
      </x:c>
      <x:c r="I17" t="n">
        <x:v>3084</x:v>
      </x:c>
      <x:c r="J17" t="n">
        <x:v>216</x:v>
      </x:c>
      <x:c r="K17" t="n">
        <x:v>15</x:v>
      </x:c>
      <x:c r="L17" t="n">
        <x:v>92</x:v>
      </x:c>
      <x:c r="M17" t="n">
        <x:v>704</x:v>
      </x:c>
      <x:c r="N17" t="str">
        <x:v>중반 성장</x:v>
      </x:c>
    </x:row>
    <x:row r="18">
      <x:c r="A18" t="str">
        <x:v>핵심 4명 균형</x:v>
      </x:c>
      <x:c r="B18" t="n">
        <x:v>4</x:v>
      </x:c>
      <x:c r="C18" t="n">
        <x:v>1450</x:v>
      </x:c>
      <x:c r="D18" t="n">
        <x:v>10</x:v>
      </x:c>
      <x:c r="E18" t="n">
        <x:v>1296</x:v>
      </x:c>
      <x:c r="F18" t="n">
        <x:v>154</x:v>
      </x:c>
      <x:c r="G18" t="n">
        <x:v>3300</x:v>
      </x:c>
      <x:c r="H18" t="n">
        <x:v>16</x:v>
      </x:c>
      <x:c r="I18" t="n">
        <x:v>3216</x:v>
      </x:c>
      <x:c r="J18" t="n">
        <x:v>84</x:v>
      </x:c>
      <x:c r="K18" t="n">
        <x:v>16</x:v>
      </x:c>
      <x:c r="L18" t="n">
        <x:v>100</x:v>
      </x:c>
      <x:c r="M18" t="n">
        <x:v>804</x:v>
      </x:c>
      <x:c r="N18" t="str">
        <x:v>중반 성장</x:v>
      </x:c>
    </x:row>
    <x:row r="19">
      <x:c r="A19" t="str">
        <x:v>핵심 5명 분산</x:v>
      </x:c>
      <x:c r="B19" t="n">
        <x:v>5</x:v>
      </x:c>
      <x:c r="C19" t="n">
        <x:v>1450</x:v>
      </x:c>
      <x:c r="D19" t="n">
        <x:v>9</x:v>
      </x:c>
      <x:c r="E19" t="n">
        <x:v>1360</x:v>
      </x:c>
      <x:c r="F19" t="n">
        <x:v>90</x:v>
      </x:c>
      <x:c r="G19" t="n">
        <x:v>3300</x:v>
      </x:c>
      <x:c r="H19" t="n">
        <x:v>14</x:v>
      </x:c>
      <x:c r="I19" t="n">
        <x:v>3060</x:v>
      </x:c>
      <x:c r="J19" t="n">
        <x:v>240</x:v>
      </x:c>
      <x:c r="K19" t="n">
        <x:v>17</x:v>
      </x:c>
      <x:c r="L19" t="n">
        <x:v>108</x:v>
      </x:c>
      <x:c r="M19" t="n">
        <x:v>912</x:v>
      </x:c>
      <x:c r="N19" t="str">
        <x:v>중반 성장</x:v>
      </x:c>
    </x:row>
    <x:row r="20">
      <x:c r="J20" t="n">
        <x:v>17</x:v>
      </x:c>
      <x:c r="K20" t="n">
        <x:v>18</x:v>
      </x:c>
      <x:c r="L20" t="n">
        <x:v>116</x:v>
      </x:c>
      <x:c r="M20" t="n">
        <x:v>1028</x:v>
      </x:c>
      <x:c r="N20" t="str">
        <x:v>중반 성장</x:v>
      </x:c>
    </x:row>
    <x:row r="21">
      <x:c r="J21" t="n">
        <x:v>18</x:v>
      </x:c>
      <x:c r="K21" t="n">
        <x:v>19</x:v>
      </x:c>
      <x:c r="L21" t="n">
        <x:v>124</x:v>
      </x:c>
      <x:c r="M21" t="n">
        <x:v>1152</x:v>
      </x:c>
      <x:c r="N21" t="str">
        <x:v>중반 성장</x:v>
      </x:c>
    </x:row>
    <x:row r="22">
      <x:c r="A22" s="267" t="str">
        <x:v>육성 방식</x:v>
      </x:c>
      <x:c r="B22" s="267" t="str">
        <x:v>Stage6 진입 Lv</x:v>
      </x:c>
      <x:c r="C22" s="267" t="str">
        <x:v>Stage6 로비 스탯 증가</x:v>
      </x:c>
      <x:c r="D22" s="267" t="str">
        <x:v>Stage10 도달 Lv</x:v>
      </x:c>
      <x:c r="E22" s="267" t="str">
        <x:v>Stage10 로비 스탯 증가</x:v>
      </x:c>
      <x:c r="F22" s="267" t="str">
        <x:v>Stage6 체감</x:v>
      </x:c>
      <x:c r="G22" s="267" t="str">
        <x:v>Stage10 체감</x:v>
      </x:c>
      <x:c r="H22" s="267" t="str">
        <x:v>설계 판정</x:v>
      </x:c>
      <x:c r="J22" t="n">
        <x:v>19</x:v>
      </x:c>
      <x:c r="K22" t="n">
        <x:v>20</x:v>
      </x:c>
      <x:c r="L22" t="n">
        <x:v>132</x:v>
      </x:c>
      <x:c r="M22" t="n">
        <x:v>1284</x:v>
      </x:c>
      <x:c r="N22" t="str">
        <x:v>중반 성장</x:v>
      </x:c>
    </x:row>
    <x:row r="23">
      <x:c r="A23" t="str">
        <x:v>핵심 3명 집중</x:v>
      </x:c>
      <x:c r="B23" t="n">
        <x:v>12</x:v>
      </x:c>
      <x:c r="C23" s="238" t="n">
        <x:v>0.049499999999999995</x:v>
      </x:c>
      <x:c r="D23" t="n">
        <x:v>18</x:v>
      </x:c>
      <x:c r="E23" s="238" t="n">
        <x:v>0.0765</x:v>
      </x:c>
      <x:c r="F23" t="str">
        <x:v>첫 스펙 체크 대응권</x:v>
      </x:c>
      <x:c r="G23" t="str">
        <x:v>Normal 1~10 성장 체감 충분</x:v>
      </x:c>
      <x:c r="H23" t="str">
        <x:v>적정</x:v>
      </x:c>
    </x:row>
    <x:row r="24">
      <x:c r="A24" t="str">
        <x:v>핵심 4명 균형</x:v>
      </x:c>
      <x:c r="B24" t="n">
        <x:v>10</x:v>
      </x:c>
      <x:c r="C24" s="238" t="n">
        <x:v>0.040499999999999994</x:v>
      </x:c>
      <x:c r="D24" t="n">
        <x:v>16</x:v>
      </x:c>
      <x:c r="E24" s="238" t="n">
        <x:v>0.06749999999999999</x:v>
      </x:c>
      <x:c r="F24" t="str">
        <x:v>첫 스펙 체크 대응권</x:v>
      </x:c>
      <x:c r="G24" t="str">
        <x:v>Normal 1~10 성장 체감 충분</x:v>
      </x:c>
      <x:c r="H24" t="str">
        <x:v>적정</x:v>
      </x:c>
    </x:row>
    <x:row r="25">
      <x:c r="A25" t="str">
        <x:v>핵심 5명 분산</x:v>
      </x:c>
      <x:c r="B25" t="n">
        <x:v>9</x:v>
      </x:c>
      <x:c r="C25" s="238" t="n">
        <x:v>0.036</x:v>
      </x:c>
      <x:c r="D25" t="n">
        <x:v>14</x:v>
      </x:c>
      <x:c r="E25" s="238" t="n">
        <x:v>0.058499999999999996</x:v>
      </x:c>
      <x:c r="F25" t="str">
        <x:v>첫 스펙 체크 대응권</x:v>
      </x:c>
      <x:c r="G25" t="str">
        <x:v>Normal 1~10 성장 체감 충분</x:v>
      </x:c>
      <x:c r="H25" t="str">
        <x:v>적정</x:v>
      </x:c>
    </x:row>
    <x:row r="26">
      <x:c r="K26" t="str">
        <x:v>레벨</x:v>
      </x:c>
      <x:c r="L26" t="str">
        <x:v>1인 누적비용</x:v>
      </x:c>
      <x:c r="M26" t="str">
        <x:v>3인 누적비용</x:v>
      </x:c>
      <x:c r="N26" t="str">
        <x:v>5인 누적비용</x:v>
      </x:c>
    </x:row>
    <x:row r="27">
      <x:c r="K27" t="n">
        <x:v>1</x:v>
      </x:c>
      <x:c r="L27" t="n">
        <x:v>0</x:v>
      </x:c>
      <x:c r="M27" t="n">
        <x:v>0</x:v>
      </x:c>
      <x:c r="N27" t="n">
        <x:v>0</x:v>
      </x:c>
    </x:row>
    <x:row r="28">
      <x:c r="A28" s="270" t="str">
        <x:v>V1.9 권장 결론</x:v>
      </x:c>
      <x:c r="B28" s="270"/>
      <x:c r="C28" s="270"/>
      <x:c r="D28" s="270"/>
      <x:c r="E28" s="270"/>
      <x:c r="F28" s="270"/>
      <x:c r="G28" s="270"/>
      <x:c r="H28" s="270"/>
      <x:c r="I28" s="270"/>
      <x:c r="J28" s="270"/>
      <x:c r="K28" s="270" t="n">
        <x:v>2</x:v>
      </x:c>
      <x:c r="L28" s="270" t="n">
        <x:v>20</x:v>
      </x:c>
      <x:c r="M28" s="270" t="n">
        <x:v>60</x:v>
      </x:c>
      <x:c r="N28" s="270" t="n">
        <x:v>100</x:v>
      </x:c>
    </x:row>
    <x:row r="29">
      <x:c r="A29" s="272" t="str">
        <x:v>항목</x:v>
      </x:c>
      <x:c r="B29" s="272" t="str">
        <x:v>권장값</x:v>
      </x:c>
      <x:c r="C29" s="272" t="str">
        <x:v>결과</x:v>
      </x:c>
      <x:c r="D29" s="272" t="str">
        <x:v>설계 의도</x:v>
      </x:c>
      <x:c r="F29" s="275" t="str">
        <x:v>가드레일</x:v>
      </x:c>
      <x:c r="G29" s="275" t="str">
        <x:v>기준</x:v>
      </x:c>
      <x:c r="H29" s="275" t="str">
        <x:v>문제 발생 신호</x:v>
      </x:c>
      <x:c r="I29" s="275" t="str">
        <x:v>조정 우선순위</x:v>
      </x:c>
      <x:c r="K29" t="n">
        <x:v>3</x:v>
      </x:c>
      <x:c r="L29" t="n">
        <x:v>44</x:v>
      </x:c>
      <x:c r="M29" t="n">
        <x:v>132</x:v>
      </x:c>
      <x:c r="N29" t="n">
        <x:v>220</x:v>
      </x:c>
    </x:row>
    <x:row r="30">
      <x:c r="A30" s="42" t="str">
        <x:v>Stage1~5 총 성장재화</x:v>
      </x:c>
      <x:c r="B30" s="42" t="str">
        <x:v>1,450</x:v>
      </x:c>
      <x:c r="C30" s="42" t="str">
        <x:v>핵심 3명 Lv12 / 4명 Lv10 / 5명 Lv9 전후</x:v>
      </x:c>
      <x:c r="D30" s="42" t="str">
        <x:v>Stage6 진입 전에 성장 체감이 확실히 생김</x:v>
      </x:c>
      <x:c r="F30" s="42" t="str">
        <x:v>Stage5 이전</x:v>
      </x:c>
      <x:c r="G30" s="42" t="str">
        <x:v>핵심3 평균 Lv12를 넘지 않게</x:v>
      </x:c>
      <x:c r="H30" s="42" t="str">
        <x:v>Lv15 이상이 일반화</x:v>
      </x:c>
      <x:c r="I30" s="42" t="str">
        <x:v>성장재화 감소</x:v>
      </x:c>
      <x:c r="K30" t="n">
        <x:v>4</x:v>
      </x:c>
      <x:c r="L30" t="n">
        <x:v>72</x:v>
      </x:c>
      <x:c r="M30" t="n">
        <x:v>216</x:v>
      </x:c>
      <x:c r="N30" t="n">
        <x:v>360</x:v>
      </x:c>
    </x:row>
    <x:row r="31">
      <x:c r="A31" s="42" t="str">
        <x:v>Stage1~10 총 성장재화</x:v>
      </x:c>
      <x:c r="B31" s="42" t="str">
        <x:v>3,300</x:v>
      </x:c>
      <x:c r="C31" s="42" t="str">
        <x:v>핵심 3명 Lv18 / 4명 Lv16 / 5명 Lv14 전후</x:v>
      </x:c>
      <x:c r="D31" s="42" t="str">
        <x:v>Lv20에 너무 빨리 도달하지 않도록 V1.8보다 비용곡선을 가파르게 조정</x:v>
      </x:c>
      <x:c r="F31" s="42" t="str">
        <x:v>Stage10 이전</x:v>
      </x:c>
      <x:c r="G31" s="42" t="str">
        <x:v>핵심3 평균 Lv18 전후</x:v>
      </x:c>
      <x:c r="H31" s="42" t="str">
        <x:v>Lv20 조기 만렙 일반화</x:v>
      </x:c>
      <x:c r="I31" s="42" t="str">
        <x:v>Lv10~20 비용 증가</x:v>
      </x:c>
      <x:c r="K31" t="n">
        <x:v>5</x:v>
      </x:c>
      <x:c r="L31" t="n">
        <x:v>104</x:v>
      </x:c>
      <x:c r="M31" t="n">
        <x:v>312</x:v>
      </x:c>
      <x:c r="N31" t="n">
        <x:v>520</x:v>
      </x:c>
    </x:row>
    <x:row r="32">
      <x:c r="A32" s="42" t="str">
        <x:v>Lv1~10 비용</x:v>
      </x:c>
      <x:c r="B32" s="42" t="str">
        <x:v>20G 시작, 레벨당 +4G</x:v>
      </x:c>
      <x:c r="C32" s="42" t="str">
        <x:v>빠른 초반 성장</x:v>
      </x:c>
      <x:c r="D32" s="42" t="str">
        <x:v>신규 유저가 성장 시스템을 빠르게 체감</x:v>
      </x:c>
      <x:c r="F32" s="42" t="str">
        <x:v>Stage6 클리어율</x:v>
      </x:c>
      <x:c r="G32" s="42" t="str">
        <x:v>자연 육성 후 충분히 통과 가능</x:v>
      </x:c>
      <x:c r="H32" s="42" t="str">
        <x:v>반복 실패 2회+가 일반화</x:v>
      </x:c>
      <x:c r="I32" s="42" t="str">
        <x:v>Stage6 적 5~8% 완화</x:v>
      </x:c>
      <x:c r="K32" t="n">
        <x:v>6</x:v>
      </x:c>
      <x:c r="L32" t="n">
        <x:v>140</x:v>
      </x:c>
      <x:c r="M32" t="n">
        <x:v>420</x:v>
      </x:c>
      <x:c r="N32" t="n">
        <x:v>700</x:v>
      </x:c>
    </x:row>
    <x:row r="33">
      <x:c r="A33" s="42" t="str">
        <x:v>Lv10~20 비용</x:v>
      </x:c>
      <x:c r="B33" s="42" t="str">
        <x:v>60G 시작, 레벨당 +8G</x:v>
      </x:c>
      <x:c r="C33" s="42" t="str">
        <x:v>중반부터 완만한 브레이크</x:v>
      </x:c>
      <x:c r="D33" s="42" t="str">
        <x:v>Stage6 이후 성장재화 소비 의미 유지</x:v>
      </x:c>
      <x:c r="F33" s="42" t="str">
        <x:v>성장 체감</x:v>
      </x:c>
      <x:c r="G33" s="42" t="str">
        <x:v>Stage6 진입 시 최소 +3.5~5%</x:v>
      </x:c>
      <x:c r="H33" s="42" t="str">
        <x:v>레벨업이 체감되지 않음</x:v>
      </x:c>
      <x:c r="I33" s="42" t="str">
        <x:v>레벨당 상승률 재검토</x:v>
      </x:c>
      <x:c r="K33" t="n">
        <x:v>7</x:v>
      </x:c>
      <x:c r="L33" t="n">
        <x:v>180</x:v>
      </x:c>
      <x:c r="M33" t="n">
        <x:v>540</x:v>
      </x:c>
      <x:c r="N33" t="n">
        <x:v>900</x:v>
      </x:c>
    </x:row>
    <x:row r="34">
      <x:c r="A34" s="42" t="str">
        <x:v>Stage6 난도</x:v>
      </x:c>
      <x:c r="B34" s="42" t="str">
        <x:v>현재 적 수치 유지</x:v>
      </x:c>
      <x:c r="C34" s="42" t="str">
        <x:v>로비 성장 + 신규 해금 + 전설/성급 운영을 함께 요구</x:v>
      </x:c>
      <x:c r="D34" s="42" t="str">
        <x:v>첫 스펙 체크 역할 유지</x:v>
      </x:c>
      <x:c r="F34" s="42" t="str">
        <x:v>분산 육성</x:v>
      </x:c>
      <x:c r="G34" s="42" t="str">
        <x:v>핵심5 Lv9→14 수준</x:v>
      </x:c>
      <x:c r="H34" s="42" t="str">
        <x:v>분산 시 진행 자체 불가능</x:v>
      </x:c>
      <x:c r="I34" s="42" t="str">
        <x:v>초반 보상 +5~10%</x:v>
      </x:c>
      <x:c r="K34" t="n">
        <x:v>8</x:v>
      </x:c>
      <x:c r="L34" t="n">
        <x:v>224</x:v>
      </x:c>
      <x:c r="M34" t="n">
        <x:v>672</x:v>
      </x:c>
      <x:c r="N34" t="n">
        <x:v>1120</x:v>
      </x:c>
    </x:row>
    <x:row r="35">
      <x:c r="A35" s="42" t="str">
        <x:v>무과금 진행</x:v>
      </x:c>
      <x:c r="B35" s="42" t="str">
        <x:v>가능</x:v>
      </x:c>
      <x:c r="C35" s="42" t="str">
        <x:v>Stage1~10에서 반복 과금 없이 자연 진행</x:v>
      </x:c>
      <x:c r="D35" s="42" t="str">
        <x:v>성급하거나 분산육성하면 더 타이트하게 체감</x:v>
      </x:c>
      <x:c r="K35" t="n">
        <x:v>9</x:v>
      </x:c>
      <x:c r="L35" t="n">
        <x:v>272</x:v>
      </x:c>
      <x:c r="M35" t="n">
        <x:v>816</x:v>
      </x:c>
      <x:c r="N35" t="n">
        <x:v>1360</x:v>
      </x:c>
    </x:row>
    <x:row r="36">
      <x:c r="K36" t="n">
        <x:v>10</x:v>
      </x:c>
      <x:c r="L36" t="n">
        <x:v>324</x:v>
      </x:c>
      <x:c r="M36" t="n">
        <x:v>972</x:v>
      </x:c>
      <x:c r="N36" t="n">
        <x:v>1620</x:v>
      </x:c>
    </x:row>
    <x:row r="37">
      <x:c r="K37" t="n">
        <x:v>11</x:v>
      </x:c>
      <x:c r="L37" t="n">
        <x:v>384</x:v>
      </x:c>
      <x:c r="M37" t="n">
        <x:v>1152</x:v>
      </x:c>
      <x:c r="N37" t="n">
        <x:v>1920</x:v>
      </x:c>
    </x:row>
    <x:row r="38">
      <x:c r="K38" t="n">
        <x:v>12</x:v>
      </x:c>
      <x:c r="L38" t="n">
        <x:v>452</x:v>
      </x:c>
      <x:c r="M38" t="n">
        <x:v>1356</x:v>
      </x:c>
      <x:c r="N38" t="n">
        <x:v>2260</x:v>
      </x:c>
    </x:row>
    <x:row r="39">
      <x:c r="K39" t="n">
        <x:v>13</x:v>
      </x:c>
      <x:c r="L39" t="n">
        <x:v>528</x:v>
      </x:c>
      <x:c r="M39" t="n">
        <x:v>1584</x:v>
      </x:c>
      <x:c r="N39" t="n">
        <x:v>2640</x:v>
      </x:c>
    </x:row>
    <x:row r="40">
      <x:c r="K40" t="n">
        <x:v>14</x:v>
      </x:c>
      <x:c r="L40" t="n">
        <x:v>612</x:v>
      </x:c>
      <x:c r="M40" t="n">
        <x:v>1836</x:v>
      </x:c>
      <x:c r="N40" t="n">
        <x:v>3060</x:v>
      </x:c>
    </x:row>
    <x:row r="41">
      <x:c r="K41" t="n">
        <x:v>15</x:v>
      </x:c>
      <x:c r="L41" t="n">
        <x:v>704</x:v>
      </x:c>
      <x:c r="M41" t="n">
        <x:v>2112</x:v>
      </x:c>
      <x:c r="N41" t="n">
        <x:v>3520</x:v>
      </x:c>
    </x:row>
    <x:row r="42">
      <x:c r="K42" t="n">
        <x:v>16</x:v>
      </x:c>
      <x:c r="L42" t="n">
        <x:v>804</x:v>
      </x:c>
      <x:c r="M42" t="n">
        <x:v>2412</x:v>
      </x:c>
      <x:c r="N42" t="n">
        <x:v>4020</x:v>
      </x:c>
    </x:row>
    <x:row r="43">
      <x:c r="K43" t="n">
        <x:v>17</x:v>
      </x:c>
      <x:c r="L43" t="n">
        <x:v>912</x:v>
      </x:c>
      <x:c r="M43" t="n">
        <x:v>2736</x:v>
      </x:c>
      <x:c r="N43" t="n">
        <x:v>4560</x:v>
      </x:c>
    </x:row>
    <x:row r="44">
      <x:c r="K44" t="n">
        <x:v>18</x:v>
      </x:c>
      <x:c r="L44" t="n">
        <x:v>1028</x:v>
      </x:c>
      <x:c r="M44" t="n">
        <x:v>3084</x:v>
      </x:c>
      <x:c r="N44" t="n">
        <x:v>5140</x:v>
      </x:c>
    </x:row>
    <x:row r="45">
      <x:c r="K45" t="n">
        <x:v>19</x:v>
      </x:c>
      <x:c r="L45" t="n">
        <x:v>1152</x:v>
      </x:c>
      <x:c r="M45" t="n">
        <x:v>3456</x:v>
      </x:c>
      <x:c r="N45" t="n">
        <x:v>5760</x:v>
      </x:c>
    </x:row>
    <x:row r="46">
      <x:c r="K46" t="n">
        <x:v>20</x:v>
      </x:c>
      <x:c r="L46" t="n">
        <x:v>1284</x:v>
      </x:c>
      <x:c r="M46" t="n">
        <x:v>3852</x:v>
      </x:c>
      <x:c r="N46" t="n">
        <x:v>6420</x:v>
      </x:c>
    </x:row>
  </x:sheetData>
  <x:mergeCells>
    <x:mergeCell ref="A1:N1"/>
    <x:mergeCell ref="A28:N28"/>
  </x:mergeCells>
  <x:conditionalFormatting sqref="D17:D1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{410FE843-BE5F-8168-5E39-E7E31D640F78}</x14:id>
        </x:ext>
      </x:extLst>
    </x:cfRule>
  </x:conditionalFormatting>
  <x:conditionalFormatting sqref="H17:H1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{CB7DBC02-C362-C269-A021-DE1C9C22D606}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a4957cc6029402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10FE843-BE5F-8168-5E39-E7E31D640F78}">
            <x14:dataBar gradient="1">
              <x14:cfvo type="min"/>
              <x14:cfvo type="max"/>
              <x14:fillColor rgb="FFA02B93"/>
            </x14:dataBar>
          </x14:cfRule>
          <xm:sqref>D17:D19</xm:sqref>
        </x14:conditionalFormatting>
        <x14:conditionalFormatting>
          <x14:cfRule type="dataBar" priority="2" id="{CB7DBC02-C362-C269-A021-DE1C9C22D606}">
            <x14:dataBar gradient="1">
              <x14:cfvo type="min"/>
              <x14:cfvo type="max"/>
              <x14:fillColor rgb="FFA02B93"/>
            </x14:dataBar>
          </x14:cfRule>
          <xm:sqref>H17:H19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22" hidden="0" customWidth="1"/>
    <x:col min="12" max="12" width="14" hidden="0" customWidth="1"/>
    <x:col min="13" max="13" width="12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80" t="str">
        <x:v>NORMAL Stage 11~20 — 무과금 자연 성장/한계돌파 시뮬레이션 V2.0</x:v>
      </x:c>
      <x:c r="B1" s="280"/>
      <x:c r="C1" s="280"/>
      <x:c r="D1" s="280"/>
      <x:c r="E1" s="280"/>
      <x:c r="F1" s="280"/>
      <x:c r="G1" s="280"/>
      <x:c r="H1" s="280"/>
      <x:c r="I1" s="280"/>
      <x:c r="J1" s="280"/>
      <x:c r="K1" s="280"/>
      <x:c r="L1" s="280"/>
      <x:c r="M1" s="280"/>
      <x:c r="N1" s="280"/>
      <x:c r="O1" s="280"/>
      <x:c r="P1" s="280"/>
      <x:c r="Q1" s="280"/>
      <x:c r="R1" s="280"/>
    </x:row>
    <x:row r="3">
      <x:c r="A3" s="284" t="str">
        <x:v>시뮬레이션 항목</x:v>
      </x:c>
      <x:c r="B3" s="284" t="str">
        <x:v>값</x:v>
      </x:c>
      <x:c r="C3" s="284" t="str">
        <x:v>성격</x:v>
      </x:c>
      <x:c r="D3" s="284" t="str">
        <x:v>적용 시점</x:v>
      </x:c>
      <x:c r="E3" s="284" t="str">
        <x:v>설계 목적</x:v>
      </x:c>
      <x:c r="F3" s="284" t="str">
        <x:v>비고</x:v>
      </x:c>
    </x:row>
    <x:row r="4">
      <x:c r="A4" s="42" t="str">
        <x:v>Stage10까지 누적 성장재화</x:v>
      </x:c>
      <x:c r="B4" s="42" t="str">
        <x:v>3,300</x:v>
      </x:c>
      <x:c r="C4" s="42" t="str">
        <x:v>V1.9 후보</x:v>
      </x:c>
      <x:c r="D4" s="42" t="str">
        <x:v>Stage11 진입</x:v>
      </x:c>
      <x:c r="E4" s="42" t="str">
        <x:v>Normal 1~10 자연성장 이월</x:v>
      </x:c>
      <x:c r="F4" s="42" t="str">
        <x:v>핵심3 Lv18 / 핵심4 Lv16 / 핵심5 Lv14 전후</x:v>
      </x:c>
    </x:row>
    <x:row r="5">
      <x:c r="A5" s="42" t="str">
        <x:v>한계돌파 I 비용</x:v>
      </x:c>
      <x:c r="B5" s="42" t="str">
        <x:v>성장재화 300 + 코어 I 1개</x:v>
      </x:c>
      <x:c r="C5" s="42" t="str">
        <x:v>V2.0 후보</x:v>
      </x:c>
      <x:c r="D5" s="42" t="str">
        <x:v>Lv20 달성 후</x:v>
      </x:c>
      <x:c r="E5" s="42" t="str">
        <x:v>Lv20~40 진입 제어</x:v>
      </x:c>
      <x:c r="F5" s="42" t="str">
        <x:v>기본스탯 +6%, Skill2 해금</x:v>
      </x:c>
    </x:row>
    <x:row r="6">
      <x:c r="A6" s="42" t="str">
        <x:v>한계돌파 코어 I</x:v>
      </x:c>
      <x:c r="B6" s="42" t="str">
        <x:v>Stage10 3개 / Stage15 +1 / Stage20 +1</x:v>
      </x:c>
      <x:c r="C6" s="42" t="str">
        <x:v>V2.0 후보</x:v>
      </x:c>
      <x:c r="D6" s="42" t="str">
        <x:v>지역 보스 보상</x:v>
      </x:c>
      <x:c r="E6" s="42" t="str">
        <x:v>3→4→5인 육성 확장</x:v>
      </x:c>
      <x:c r="F6" s="42" t="str">
        <x:v>무과금으로 5명까지 확보 가능</x:v>
      </x:c>
    </x:row>
    <x:row r="7">
      <x:c r="A7" s="42" t="str">
        <x:v>Lv20~40 레벨업 비용</x:v>
      </x:c>
      <x:c r="B7" s="42" t="str">
        <x:v>150 + 12×(현재Lv-20)</x:v>
      </x:c>
      <x:c r="C7" s="42" t="str">
        <x:v>V2.0 후보</x:v>
      </x:c>
      <x:c r="D7" s="42" t="str">
        <x:v>한계돌파 I 이후</x:v>
      </x:c>
      <x:c r="E7" s="42" t="str">
        <x:v>Lv20 이후 성장속도 제어</x:v>
      </x:c>
      <x:c r="F7" s="42" t="str">
        <x:v>Lv40 조기도달 방지</x:v>
      </x:c>
    </x:row>
    <x:row r="8">
      <x:c r="A8" s="42" t="str">
        <x:v>Stage11~20 성장재화</x:v>
      </x:c>
      <x:c r="B8" s="42" t="str">
        <x:v>총 9,010</x:v>
      </x:c>
      <x:c r="C8" s="42" t="str">
        <x:v>V2.0 후보</x:v>
      </x:c>
      <x:c r="D8" s="42" t="str">
        <x:v>최초 클리어 기준</x:v>
      </x:c>
      <x:c r="E8" s="42" t="str">
        <x:v>Lv20~40 자연진행 지원</x:v>
      </x:c>
      <x:c r="F8" s="42" t="str">
        <x:v>일일 무료 보상 제외</x:v>
      </x:c>
    </x:row>
    <x:row r="9">
      <x:c r="A9" s="42" t="str">
        <x:v>무과금 정의</x:v>
      </x:c>
      <x:c r="B9" s="42" t="str">
        <x:v>스테이지/최초클리어/무료 일일보상 사용</x:v>
      </x:c>
      <x:c r="C9" s="42" t="str">
        <x:v>진행 기준</x:v>
      </x:c>
      <x:c r="D9" s="42" t="str">
        <x:v>전체</x:v>
      </x:c>
      <x:c r="E9" s="42" t="str">
        <x:v>결제 없이 자연진행</x:v>
      </x:c>
      <x:c r="F9" s="42" t="str">
        <x:v>반복 파밍은 최소화</x:v>
      </x:c>
    </x:row>
    <x:row r="12">
      <x:c r="A12" s="288" t="str">
        <x:v>Stage</x:v>
      </x:c>
      <x:c r="B12" s="288" t="str">
        <x:v>지역</x:v>
      </x:c>
      <x:c r="C12" s="288" t="str">
        <x:v>기본 성장재화</x:v>
      </x:c>
      <x:c r="D12" s="288" t="str">
        <x:v>최초 보너스</x:v>
      </x:c>
      <x:c r="E12" s="288" t="str">
        <x:v>코어 I</x:v>
      </x:c>
      <x:c r="F12" s="288" t="str">
        <x:v>스테이지 획득</x:v>
      </x:c>
      <x:c r="G12" s="288" t="str">
        <x:v>11~20 누적</x:v>
      </x:c>
      <x:c r="H12" s="288" t="str">
        <x:v>전체 누적재화</x:v>
      </x:c>
      <x:c r="I12" s="288" t="str">
        <x:v>권장 전투력</x:v>
      </x:c>
      <x:c r="J12" s="288" t="str">
        <x:v>권장 로비Lv</x:v>
      </x:c>
      <x:c r="K12" s="288" t="str">
        <x:v>보스</x:v>
      </x:c>
      <x:c r="L12" s="288" t="str">
        <x:v>보스 HP</x:v>
      </x:c>
      <x:c r="M12" s="288" t="str">
        <x:v>보스 DEF</x:v>
      </x:c>
      <x:c r="N12" s="288" t="str">
        <x:v>평균 적 압박지수</x:v>
      </x:c>
      <x:c r="O12" s="288" t="str">
        <x:v>전 Stage 대비 압박</x:v>
      </x:c>
      <x:c r="P12" s="288" t="str">
        <x:v>핵심3 예상Lv</x:v>
      </x:c>
      <x:c r="Q12" s="288" t="str">
        <x:v>핵심4 예상Lv</x:v>
      </x:c>
      <x:c r="R12" s="288" t="str">
        <x:v>핵심5 예상Lv</x:v>
      </x:c>
    </x:row>
    <x:row r="13">
      <x:c r="A13" s="42" t="n">
        <x:v>11</x:v>
      </x:c>
      <x:c r="B13" s="42" t="str">
        <x:v>해륜왕국</x:v>
      </x:c>
      <x:c r="C13" s="42" t="n">
        <x:v>500</x:v>
      </x:c>
      <x:c r="D13" s="42" t="n">
        <x:v>100</x:v>
      </x:c>
      <x:c r="E13" s="42" t="n">
        <x:v>0</x:v>
      </x:c>
      <x:c r="F13" s="42" t="n">
        <x:v>600</x:v>
      </x:c>
      <x:c r="G13" s="42" t="n">
        <x:v>600</x:v>
      </x:c>
      <x:c r="H13" s="42" t="n">
        <x:v>3900</x:v>
      </x:c>
      <x:c r="I13" s="42" t="n">
        <x:v>339</x:v>
      </x:c>
      <x:c r="J13" s="42" t="str">
        <x:v>Lv20~30</x:v>
      </x:c>
      <x:c r="K13" s="42" t="str">
        <x:v>해적왕 쿠로가네</x:v>
      </x:c>
      <x:c r="L13" s="42" t="n">
        <x:v>5971</x:v>
      </x:c>
      <x:c r="M13" s="42" t="n">
        <x:v>30</x:v>
      </x:c>
      <x:c r="N13" s="42" t="n">
        <x:v>11020</x:v>
      </x:c>
      <x:c r="O13" s="246" t="n">
        <x:v>0</x:v>
      </x:c>
      <x:c r="P13" s="42" t="n">
        <x:v>20</x:v>
      </x:c>
      <x:c r="Q13" s="42" t="n">
        <x:v>17</x:v>
      </x:c>
      <x:c r="R13" s="42" t="n">
        <x:v>14.6</x:v>
      </x:c>
    </x:row>
    <x:row r="14">
      <x:c r="A14" s="42" t="n">
        <x:v>12</x:v>
      </x:c>
      <x:c r="B14" s="42" t="str">
        <x:v>해륜왕국</x:v>
      </x:c>
      <x:c r="C14" s="42" t="n">
        <x:v>550</x:v>
      </x:c>
      <x:c r="D14" s="42" t="n">
        <x:v>100</x:v>
      </x:c>
      <x:c r="E14" s="42" t="n">
        <x:v>0</x:v>
      </x:c>
      <x:c r="F14" s="42" t="n">
        <x:v>650</x:v>
      </x:c>
      <x:c r="G14" s="42" t="n">
        <x:v>1250</x:v>
      </x:c>
      <x:c r="H14" s="42" t="n">
        <x:v>4550</x:v>
      </x:c>
      <x:c r="I14" s="42" t="n">
        <x:v>384</x:v>
      </x:c>
      <x:c r="J14" s="42" t="str">
        <x:v>Lv20~30</x:v>
      </x:c>
      <x:c r="K14" s="42" t="str">
        <x:v>청룡치어왕 류가</x:v>
      </x:c>
      <x:c r="L14" s="42" t="n">
        <x:v>6598</x:v>
      </x:c>
      <x:c r="M14" s="42" t="n">
        <x:v>32</x:v>
      </x:c>
      <x:c r="N14" s="42" t="n">
        <x:v>11378</x:v>
      </x:c>
      <x:c r="O14" s="246" t="n">
        <x:v>0.03254881893652417</x:v>
      </x:c>
      <x:c r="P14" s="42" t="n">
        <x:v>20</x:v>
      </x:c>
      <x:c r="Q14" s="42" t="n">
        <x:v>18.5</x:v>
      </x:c>
      <x:c r="R14" s="42" t="n">
        <x:v>16.4</x:v>
      </x:c>
    </x:row>
    <x:row r="15">
      <x:c r="A15" s="42" t="n">
        <x:v>13</x:v>
      </x:c>
      <x:c r="B15" s="42" t="str">
        <x:v>해륜왕국</x:v>
      </x:c>
      <x:c r="C15" s="42" t="n">
        <x:v>600</x:v>
      </x:c>
      <x:c r="D15" s="42" t="n">
        <x:v>120</x:v>
      </x:c>
      <x:c r="E15" s="42" t="n">
        <x:v>0</x:v>
      </x:c>
      <x:c r="F15" s="42" t="n">
        <x:v>720</x:v>
      </x:c>
      <x:c r="G15" s="42" t="n">
        <x:v>1970</x:v>
      </x:c>
      <x:c r="H15" s="42" t="n">
        <x:v>5270</x:v>
      </x:c>
      <x:c r="I15" s="42" t="n">
        <x:v>433</x:v>
      </x:c>
      <x:c r="J15" s="42" t="str">
        <x:v>Lv20~30</x:v>
      </x:c>
      <x:c r="K15" s="42" t="str">
        <x:v>심해무녀 우미</x:v>
      </x:c>
      <x:c r="L15" s="42" t="n">
        <x:v>7291</x:v>
      </x:c>
      <x:c r="M15" s="42" t="n">
        <x:v>34</x:v>
      </x:c>
      <x:c r="N15" s="42" t="n">
        <x:v>13318</x:v>
      </x:c>
      <x:c r="O15" s="246" t="n">
        <x:v>0.1705070144485874</x:v>
      </x:c>
      <x:c r="P15" s="42" t="n">
        <x:v>21</x:v>
      </x:c>
      <x:c r="Q15" s="42" t="n">
        <x:v>20</x:v>
      </x:c>
      <x:c r="R15" s="42" t="n">
        <x:v>17.6</x:v>
      </x:c>
    </x:row>
    <x:row r="16">
      <x:c r="A16" s="42" t="n">
        <x:v>14</x:v>
      </x:c>
      <x:c r="B16" s="42" t="str">
        <x:v>해륜왕국</x:v>
      </x:c>
      <x:c r="C16" s="42" t="n">
        <x:v>650</x:v>
      </x:c>
      <x:c r="D16" s="42" t="n">
        <x:v>120</x:v>
      </x:c>
      <x:c r="E16" s="42" t="n">
        <x:v>0</x:v>
      </x:c>
      <x:c r="F16" s="42" t="n">
        <x:v>770</x:v>
      </x:c>
      <x:c r="G16" s="42" t="n">
        <x:v>2740</x:v>
      </x:c>
      <x:c r="H16" s="42" t="n">
        <x:v>6040</x:v>
      </x:c>
      <x:c r="I16" s="42" t="n">
        <x:v>490</x:v>
      </x:c>
      <x:c r="J16" s="42" t="str">
        <x:v>Lv20~30</x:v>
      </x:c>
      <x:c r="K16" s="42" t="str">
        <x:v>대갑각왕 카니바</x:v>
      </x:c>
      <x:c r="L16" s="42" t="n">
        <x:v>8056</x:v>
      </x:c>
      <x:c r="M16" s="42" t="n">
        <x:v>36</x:v>
      </x:c>
      <x:c r="N16" s="42" t="n">
        <x:v>14984</x:v>
      </x:c>
      <x:c r="O16" s="246" t="n">
        <x:v>0.12505610993249405</x:v>
      </x:c>
      <x:c r="P16" s="42" t="n">
        <x:v>22</x:v>
      </x:c>
      <x:c r="Q16" s="42" t="n">
        <x:v>20</x:v>
      </x:c>
      <x:c r="R16" s="42" t="n">
        <x:v>19.4</x:v>
      </x:c>
    </x:row>
    <x:row r="17">
      <x:c r="A17" s="42" t="n">
        <x:v>15</x:v>
      </x:c>
      <x:c r="B17" s="42" t="str">
        <x:v>해륜왕국</x:v>
      </x:c>
      <x:c r="C17" s="42" t="n">
        <x:v>800</x:v>
      </x:c>
      <x:c r="D17" s="42" t="n">
        <x:v>250</x:v>
      </x:c>
      <x:c r="E17" s="42" t="n">
        <x:v>1</x:v>
      </x:c>
      <x:c r="F17" s="42" t="n">
        <x:v>1050</x:v>
      </x:c>
      <x:c r="G17" s="42" t="n">
        <x:v>3790</x:v>
      </x:c>
      <x:c r="H17" s="42" t="n">
        <x:v>7090</x:v>
      </x:c>
      <x:c r="I17" s="42" t="n">
        <x:v>553</x:v>
      </x:c>
      <x:c r="J17" s="42" t="str">
        <x:v>Lv20~30</x:v>
      </x:c>
      <x:c r="K17" s="42" t="str">
        <x:v>폭풍닌자 시구레</x:v>
      </x:c>
      <x:c r="L17" s="42" t="n">
        <x:v>8902</x:v>
      </x:c>
      <x:c r="M17" s="42" t="n">
        <x:v>38</x:v>
      </x:c>
      <x:c r="N17" s="42" t="n">
        <x:v>16392</x:v>
      </x:c>
      <x:c r="O17" s="246" t="n">
        <x:v>0.09395320292329434</x:v>
      </x:c>
      <x:c r="P17" s="42" t="n">
        <x:v>24</x:v>
      </x:c>
      <x:c r="Q17" s="42" t="n">
        <x:v>21</x:v>
      </x:c>
      <x:c r="R17" s="42" t="n">
        <x:v>20</x:v>
      </x:c>
    </x:row>
    <x:row r="18">
      <x:c r="A18" s="42" t="n">
        <x:v>16</x:v>
      </x:c>
      <x:c r="B18" s="42" t="str">
        <x:v>벨로자르 제국</x:v>
      </x:c>
      <x:c r="C18" s="42" t="n">
        <x:v>750</x:v>
      </x:c>
      <x:c r="D18" s="42" t="n">
        <x:v>120</x:v>
      </x:c>
      <x:c r="E18" s="42" t="n">
        <x:v>0</x:v>
      </x:c>
      <x:c r="F18" s="42" t="n">
        <x:v>870</x:v>
      </x:c>
      <x:c r="G18" s="42" t="n">
        <x:v>4660</x:v>
      </x:c>
      <x:c r="H18" s="42" t="n">
        <x:v>7960</x:v>
      </x:c>
      <x:c r="I18" s="42" t="n">
        <x:v>625</x:v>
      </x:c>
      <x:c r="J18" s="42" t="str">
        <x:v>Lv30~40</x:v>
      </x:c>
      <x:c r="K18" s="42" t="str">
        <x:v>백야왕 펜리르</x:v>
      </x:c>
      <x:c r="L18" s="42" t="n">
        <x:v>9837</x:v>
      </x:c>
      <x:c r="M18" s="42" t="n">
        <x:v>40</x:v>
      </x:c>
      <x:c r="N18" s="42" t="n">
        <x:v>20770</x:v>
      </x:c>
      <x:c r="O18" s="246" t="n">
        <x:v>0.2671211032892604</x:v>
      </x:c>
      <x:c r="P18" s="42" t="n">
        <x:v>25</x:v>
      </x:c>
      <x:c r="Q18" s="42" t="n">
        <x:v>22</x:v>
      </x:c>
      <x:c r="R18" s="42" t="n">
        <x:v>20</x:v>
      </x:c>
    </x:row>
    <x:row r="19">
      <x:c r="A19" s="42" t="n">
        <x:v>17</x:v>
      </x:c>
      <x:c r="B19" s="42" t="str">
        <x:v>벨로자르 제국</x:v>
      </x:c>
      <x:c r="C19" s="42" t="n">
        <x:v>800</x:v>
      </x:c>
      <x:c r="D19" s="42" t="n">
        <x:v>120</x:v>
      </x:c>
      <x:c r="E19" s="42" t="n">
        <x:v>0</x:v>
      </x:c>
      <x:c r="F19" s="42" t="n">
        <x:v>920</x:v>
      </x:c>
      <x:c r="G19" s="42" t="n">
        <x:v>5580</x:v>
      </x:c>
      <x:c r="H19" s="42" t="n">
        <x:v>8880</x:v>
      </x:c>
      <x:c r="I19" s="42" t="n">
        <x:v>707</x:v>
      </x:c>
      <x:c r="J19" s="42" t="str">
        <x:v>Lv30~40</x:v>
      </x:c>
      <x:c r="K19" s="42" t="str">
        <x:v>빙벽거인 요툰</x:v>
      </x:c>
      <x:c r="L19" s="42" t="n">
        <x:v>10870</x:v>
      </x:c>
      <x:c r="M19" s="42" t="n">
        <x:v>42</x:v>
      </x:c>
      <x:c r="N19" s="42" t="n">
        <x:v>22804</x:v>
      </x:c>
      <x:c r="O19" s="246" t="n">
        <x:v>0.0979362956214842</x:v>
      </x:c>
      <x:c r="P19" s="42" t="n">
        <x:v>27</x:v>
      </x:c>
      <x:c r="Q19" s="42" t="n">
        <x:v>23</x:v>
      </x:c>
      <x:c r="R19" s="42" t="n">
        <x:v>21.6</x:v>
      </x:c>
    </x:row>
    <x:row r="20">
      <x:c r="A20" s="42" t="n">
        <x:v>18</x:v>
      </x:c>
      <x:c r="B20" s="42" t="str">
        <x:v>벨로자르 제국</x:v>
      </x:c>
      <x:c r="C20" s="42" t="n">
        <x:v>850</x:v>
      </x:c>
      <x:c r="D20" s="42" t="n">
        <x:v>140</x:v>
      </x:c>
      <x:c r="E20" s="42" t="n">
        <x:v>0</x:v>
      </x:c>
      <x:c r="F20" s="42" t="n">
        <x:v>990</x:v>
      </x:c>
      <x:c r="G20" s="42" t="n">
        <x:v>6570</x:v>
      </x:c>
      <x:c r="H20" s="42" t="n">
        <x:v>9870</x:v>
      </x:c>
      <x:c r="I20" s="42" t="n">
        <x:v>799</x:v>
      </x:c>
      <x:c r="J20" s="42" t="str">
        <x:v>Lv30~40</x:v>
      </x:c>
      <x:c r="K20" s="42" t="str">
        <x:v>설해마녀 스카디아</x:v>
      </x:c>
      <x:c r="L20" s="42" t="n">
        <x:v>12011</x:v>
      </x:c>
      <x:c r="M20" s="42" t="n">
        <x:v>44</x:v>
      </x:c>
      <x:c r="N20" s="42" t="n">
        <x:v>23691</x:v>
      </x:c>
      <x:c r="O20" s="246" t="n">
        <x:v>0.038878665146801605</x:v>
      </x:c>
      <x:c r="P20" s="42" t="n">
        <x:v>28</x:v>
      </x:c>
      <x:c r="Q20" s="42" t="n">
        <x:v>25</x:v>
      </x:c>
      <x:c r="R20" s="42" t="n">
        <x:v>22.4</x:v>
      </x:c>
    </x:row>
    <x:row r="21">
      <x:c r="A21" s="42" t="n">
        <x:v>19</x:v>
      </x:c>
      <x:c r="B21" s="42" t="str">
        <x:v>벨로자르 제국</x:v>
      </x:c>
      <x:c r="C21" s="42" t="n">
        <x:v>900</x:v>
      </x:c>
      <x:c r="D21" s="42" t="n">
        <x:v>140</x:v>
      </x:c>
      <x:c r="E21" s="42" t="n">
        <x:v>0</x:v>
      </x:c>
      <x:c r="F21" s="42" t="n">
        <x:v>1040</x:v>
      </x:c>
      <x:c r="G21" s="42" t="n">
        <x:v>7610</x:v>
      </x:c>
      <x:c r="H21" s="42" t="n">
        <x:v>10910</x:v>
      </x:c>
      <x:c r="I21" s="42" t="n">
        <x:v>902</x:v>
      </x:c>
      <x:c r="J21" s="42" t="str">
        <x:v>Lv30~40</x:v>
      </x:c>
      <x:c r="K21" s="42" t="str">
        <x:v>동토광왕 브란</x:v>
      </x:c>
      <x:c r="L21" s="42" t="n">
        <x:v>13272</x:v>
      </x:c>
      <x:c r="M21" s="42" t="n">
        <x:v>46</x:v>
      </x:c>
      <x:c r="N21" s="42" t="n">
        <x:v>23776</x:v>
      </x:c>
      <x:c r="O21" s="246" t="n">
        <x:v>0.0036038365559996066</x:v>
      </x:c>
      <x:c r="P21" s="42" t="n">
        <x:v>30</x:v>
      </x:c>
      <x:c r="Q21" s="42" t="n">
        <x:v>26</x:v>
      </x:c>
      <x:c r="R21" s="42" t="n">
        <x:v>23.2</x:v>
      </x:c>
    </x:row>
    <x:row r="22">
      <x:c r="A22" s="42" t="n">
        <x:v>20</x:v>
      </x:c>
      <x:c r="B22" s="42" t="str">
        <x:v>벨로자르 제국</x:v>
      </x:c>
      <x:c r="C22" s="42" t="n">
        <x:v>1100</x:v>
      </x:c>
      <x:c r="D22" s="42" t="n">
        <x:v>300</x:v>
      </x:c>
      <x:c r="E22" s="42" t="n">
        <x:v>1</x:v>
      </x:c>
      <x:c r="F22" s="42" t="n">
        <x:v>1400</x:v>
      </x:c>
      <x:c r="G22" s="42" t="n">
        <x:v>9010</x:v>
      </x:c>
      <x:c r="H22" s="42" t="n">
        <x:v>12310</x:v>
      </x:c>
      <x:c r="I22" s="42" t="n">
        <x:v>1020</x:v>
      </x:c>
      <x:c r="J22" s="42" t="str">
        <x:v>Lv30~40</x:v>
      </x:c>
      <x:c r="K22" s="42" t="str">
        <x:v>설산군주 아르켄</x:v>
      </x:c>
      <x:c r="L22" s="42" t="n">
        <x:v>14666</x:v>
      </x:c>
      <x:c r="M22" s="42" t="n">
        <x:v>48</x:v>
      </x:c>
      <x:c r="N22" s="42" t="n">
        <x:v>29638</x:v>
      </x:c>
      <x:c r="O22" s="246" t="n">
        <x:v>0.2465306005960881</x:v>
      </x:c>
      <x:c r="P22" s="42" t="n">
        <x:v>31</x:v>
      </x:c>
      <x:c r="Q22" s="42" t="n">
        <x:v>27</x:v>
      </x:c>
      <x:c r="R22" s="42" t="n">
        <x:v>25</x:v>
      </x:c>
    </x:row>
    <x:row r="25">
      <x:c r="A25" s="291" t="str">
        <x:v>진행 체크포인트</x:v>
      </x:c>
      <x:c r="B25" s="291"/>
      <x:c r="C25" s="291"/>
      <x:c r="D25" s="291"/>
      <x:c r="E25" s="291"/>
      <x:c r="F25" s="291"/>
      <x:c r="G25" s="291"/>
      <x:c r="H25" s="291"/>
      <x:c r="I25" s="291"/>
      <x:c r="J25" s="291"/>
      <x:c r="K25" s="291"/>
      <x:c r="L25" s="291"/>
      <x:c r="M25" s="291"/>
      <x:c r="N25" s="291"/>
      <x:c r="O25" s="291"/>
      <x:c r="P25" s="291"/>
      <x:c r="Q25" s="291"/>
      <x:c r="R25" s="291"/>
    </x:row>
    <x:row r="26">
      <x:c r="A26" s="294" t="str">
        <x:v>체크포인트</x:v>
      </x:c>
      <x:c r="B26" s="294" t="str">
        <x:v>누적 성장재화</x:v>
      </x:c>
      <x:c r="C26" s="294" t="str">
        <x:v>누적 코어 I</x:v>
      </x:c>
      <x:c r="D26" s="294" t="str">
        <x:v>핵심3</x:v>
      </x:c>
      <x:c r="E26" s="294" t="str">
        <x:v>핵심4</x:v>
      </x:c>
      <x:c r="F26" s="294" t="str">
        <x:v>핵심5</x:v>
      </x:c>
      <x:c r="G26" s="294" t="str">
        <x:v>현재 권장구간</x:v>
      </x:c>
      <x:c r="H26" s="294" t="str">
        <x:v>판정</x:v>
      </x:c>
      <x:c r="I26" s="294" t="str">
        <x:v>해석</x:v>
      </x:c>
      <x:c r="K26" s="298" t="str">
        <x:v>현재 Lv</x:v>
      </x:c>
      <x:c r="L26" s="298" t="str">
        <x:v>다음 Lv</x:v>
      </x:c>
      <x:c r="M26" s="298" t="str">
        <x:v>1회 비용</x:v>
      </x:c>
      <x:c r="N26" s="298" t="str">
        <x:v>누적 비용(Lv1부터, 돌파비 포함)</x:v>
      </x:c>
    </x:row>
    <x:row r="27">
      <x:c r="A27" s="42" t="str">
        <x:v>Stage10 클리어</x:v>
      </x:c>
      <x:c r="B27" s="42" t="n">
        <x:v>3300</x:v>
      </x:c>
      <x:c r="C27" s="42" t="n">
        <x:v>3</x:v>
      </x:c>
      <x:c r="D27" s="42" t="n">
        <x:v>18</x:v>
      </x:c>
      <x:c r="E27" s="42" t="n">
        <x:v>16</x:v>
      </x:c>
      <x:c r="F27" s="42" t="n">
        <x:v>14</x:v>
      </x:c>
      <x:c r="G27" s="42" t="str">
        <x:v>Lv10~20</x:v>
      </x:c>
      <x:c r="H27" s="42" t="str">
        <x:v>다음 구간 진입 준비</x:v>
      </x:c>
      <x:c r="I27" s="42" t="str">
        <x:v>핵심3은 Lv18 전후. Stage11을 타이트하게 시작.</x:v>
      </x:c>
      <x:c r="K27" t="n">
        <x:v>20</x:v>
      </x:c>
      <x:c r="L27" t="n">
        <x:v>21</x:v>
      </x:c>
      <x:c r="M27" t="n">
        <x:v>150</x:v>
      </x:c>
      <x:c r="N27" t="n">
        <x:v>1734</x:v>
      </x:c>
    </x:row>
    <x:row r="28">
      <x:c r="A28" s="42" t="str">
        <x:v>Stage11 클리어</x:v>
      </x:c>
      <x:c r="B28" s="42" t="n">
        <x:v>3900</x:v>
      </x:c>
      <x:c r="C28" s="42" t="n">
        <x:v>3</x:v>
      </x:c>
      <x:c r="D28" s="42" t="n">
        <x:v>20</x:v>
      </x:c>
      <x:c r="E28" s="42" t="n">
        <x:v>17</x:v>
      </x:c>
      <x:c r="F28" s="42" t="n">
        <x:v>14.6</x:v>
      </x:c>
      <x:c r="G28" s="42" t="str">
        <x:v>Lv20~30</x:v>
      </x:c>
      <x:c r="H28" s="42" t="str">
        <x:v>진입 가능</x:v>
      </x:c>
      <x:c r="I28" s="42" t="str">
        <x:v>핵심3은 Lv20 도달권. 한계돌파 I 준비 시작.</x:v>
      </x:c>
      <x:c r="K28" t="n">
        <x:v>21</x:v>
      </x:c>
      <x:c r="L28" t="n">
        <x:v>22</x:v>
      </x:c>
      <x:c r="M28" t="n">
        <x:v>162</x:v>
      </x:c>
      <x:c r="N28" t="n">
        <x:v>1896</x:v>
      </x:c>
    </x:row>
    <x:row r="29">
      <x:c r="A29" s="42" t="str">
        <x:v>Stage15 클리어</x:v>
      </x:c>
      <x:c r="B29" s="42" t="n">
        <x:v>7090</x:v>
      </x:c>
      <x:c r="C29" s="42" t="n">
        <x:v>4</x:v>
      </x:c>
      <x:c r="D29" s="42" t="n">
        <x:v>24</x:v>
      </x:c>
      <x:c r="E29" s="42" t="n">
        <x:v>21</x:v>
      </x:c>
      <x:c r="F29" s="42" t="n">
        <x:v>20</x:v>
      </x:c>
      <x:c r="G29" s="42" t="str">
        <x:v>Lv20~30</x:v>
      </x:c>
      <x:c r="H29" s="42" t="str">
        <x:v>안정권</x:v>
      </x:c>
      <x:c r="I29" s="42" t="str">
        <x:v>4번째 코어 지급. 4인 육성 확장 가능.</x:v>
      </x:c>
      <x:c r="K29" t="n">
        <x:v>22</x:v>
      </x:c>
      <x:c r="L29" t="n">
        <x:v>23</x:v>
      </x:c>
      <x:c r="M29" t="n">
        <x:v>174</x:v>
      </x:c>
      <x:c r="N29" t="n">
        <x:v>2070</x:v>
      </x:c>
    </x:row>
    <x:row r="30">
      <x:c r="A30" s="42" t="str">
        <x:v>Stage20 클리어</x:v>
      </x:c>
      <x:c r="B30" s="42" t="n">
        <x:v>12310</x:v>
      </x:c>
      <x:c r="C30" s="42" t="n">
        <x:v>5</x:v>
      </x:c>
      <x:c r="D30" s="42" t="n">
        <x:v>31</x:v>
      </x:c>
      <x:c r="E30" s="42" t="n">
        <x:v>27</x:v>
      </x:c>
      <x:c r="F30" s="42" t="n">
        <x:v>25</x:v>
      </x:c>
      <x:c r="G30" s="42" t="str">
        <x:v>Lv30~40</x:v>
      </x:c>
      <x:c r="H30" s="42" t="str">
        <x:v>진입 가능</x:v>
      </x:c>
      <x:c r="I30" s="42" t="str">
        <x:v>5번째 코어 지급. 5인 전원 한계돌파 I 가능.</x:v>
      </x:c>
      <x:c r="K30" t="n">
        <x:v>23</x:v>
      </x:c>
      <x:c r="L30" t="n">
        <x:v>24</x:v>
      </x:c>
      <x:c r="M30" t="n">
        <x:v>186</x:v>
      </x:c>
      <x:c r="N30" t="n">
        <x:v>2256</x:v>
      </x:c>
    </x:row>
    <x:row r="31">
      <x:c r="K31" t="n">
        <x:v>24</x:v>
      </x:c>
      <x:c r="L31" t="n">
        <x:v>25</x:v>
      </x:c>
      <x:c r="M31" t="n">
        <x:v>198</x:v>
      </x:c>
      <x:c r="N31" t="n">
        <x:v>2454</x:v>
      </x:c>
    </x:row>
    <x:row r="32">
      <x:c r="K32" t="n">
        <x:v>25</x:v>
      </x:c>
      <x:c r="L32" t="n">
        <x:v>26</x:v>
      </x:c>
      <x:c r="M32" t="n">
        <x:v>210</x:v>
      </x:c>
      <x:c r="N32" t="n">
        <x:v>2664</x:v>
      </x:c>
    </x:row>
    <x:row r="33">
      <x:c r="K33" t="n">
        <x:v>26</x:v>
      </x:c>
      <x:c r="L33" t="n">
        <x:v>27</x:v>
      </x:c>
      <x:c r="M33" t="n">
        <x:v>222</x:v>
      </x:c>
      <x:c r="N33" t="n">
        <x:v>2886</x:v>
      </x:c>
    </x:row>
    <x:row r="34">
      <x:c r="A34" s="301" t="str">
        <x:v>Stage 11~20 무과금 판정</x:v>
      </x:c>
      <x:c r="B34" s="301"/>
      <x:c r="C34" s="301"/>
      <x:c r="D34" s="301"/>
      <x:c r="E34" s="301"/>
      <x:c r="F34" s="301"/>
      <x:c r="G34" s="301"/>
      <x:c r="H34" s="301"/>
      <x:c r="I34" s="301"/>
      <x:c r="K34" t="n">
        <x:v>27</x:v>
      </x:c>
      <x:c r="L34" t="n">
        <x:v>28</x:v>
      </x:c>
      <x:c r="M34" t="n">
        <x:v>234</x:v>
      </x:c>
      <x:c r="N34" t="n">
        <x:v>3120</x:v>
      </x:c>
    </x:row>
    <x:row r="35">
      <x:c r="A35" s="303" t="str">
        <x:v>구간</x:v>
      </x:c>
      <x:c r="B35" s="303" t="str">
        <x:v>판정</x:v>
      </x:c>
      <x:c r="C35" s="303" t="str">
        <x:v>설명</x:v>
      </x:c>
      <x:c r="E35" s="303" t="str">
        <x:v>구간</x:v>
      </x:c>
      <x:c r="F35" s="303" t="str">
        <x:v>권장전투력 변화</x:v>
      </x:c>
      <x:c r="G35" s="303" t="str">
        <x:v>적 압박 변화</x:v>
      </x:c>
      <x:c r="H35" s="303" t="str">
        <x:v>성장 대응</x:v>
      </x:c>
      <x:c r="I35" s="303" t="str">
        <x:v>조정 판단</x:v>
      </x:c>
      <x:c r="K35" t="n">
        <x:v>28</x:v>
      </x:c>
      <x:c r="L35" t="n">
        <x:v>29</x:v>
      </x:c>
      <x:c r="M35" t="n">
        <x:v>246</x:v>
      </x:c>
      <x:c r="N35" t="n">
        <x:v>3366</x:v>
      </x:c>
    </x:row>
    <x:row r="36">
      <x:c r="A36" s="42" t="str">
        <x:v>Stage11~12</x:v>
      </x:c>
      <x:c r="B36" s="42" t="str">
        <x:v>타이트</x:v>
      </x:c>
      <x:c r="C36" s="42" t="str">
        <x:v>Stage10 핵심3 Lv18 전후에서 진입. 첫 1~2스테이지는 권장 Lv20보다 조금 낮아 조합/TD성급 이해가 필요.</x:v>
      </x:c>
      <x:c r="E36" s="42" t="str">
        <x:v>11→15</x:v>
      </x:c>
      <x:c r="F36" s="42" t="str">
        <x:v>339→553 (+63.1%)</x:v>
      </x:c>
      <x:c r="G36" s="42" t="str">
        <x:v>11020→16392 (+48.8%)</x:v>
      </x:c>
      <x:c r="H36" s="42" t="str">
        <x:v>핵심3~4 한계돌파 I 진입</x:v>
      </x:c>
      <x:c r="I36" s="42" t="str">
        <x:v>현행 유지</x:v>
      </x:c>
      <x:c r="K36" t="n">
        <x:v>29</x:v>
      </x:c>
      <x:c r="L36" t="n">
        <x:v>30</x:v>
      </x:c>
      <x:c r="M36" t="n">
        <x:v>258</x:v>
      </x:c>
      <x:c r="N36" t="n">
        <x:v>3624</x:v>
      </x:c>
    </x:row>
    <x:row r="37">
      <x:c r="A37" s="42" t="str">
        <x:v>Stage13~15</x:v>
      </x:c>
      <x:c r="B37" s="42" t="str">
        <x:v>적정</x:v>
      </x:c>
      <x:c r="C37" s="42" t="str">
        <x:v>성장재화 누적과 한계돌파 I가 맞물리며 해륜 지역 후반은 무과금 자연성장으로 따라잡는 구간.</x:v>
      </x:c>
      <x:c r="E37" s="42" t="str">
        <x:v>15→16</x:v>
      </x:c>
      <x:c r="F37" s="42" t="str">
        <x:v>553→625 (+13.0%)</x:v>
      </x:c>
      <x:c r="G37" s="42" t="str">
        <x:v>16392→20770 (+26.7%)</x:v>
      </x:c>
      <x:c r="H37" s="42" t="str">
        <x:v>Stage15 지역보스 보상+코어</x:v>
      </x:c>
      <x:c r="I37" s="42" t="str">
        <x:v>스펙 체크로 유지</x:v>
      </x:c>
      <x:c r="K37" t="n">
        <x:v>30</x:v>
      </x:c>
      <x:c r="L37" t="n">
        <x:v>31</x:v>
      </x:c>
      <x:c r="M37" t="n">
        <x:v>270</x:v>
      </x:c>
      <x:c r="N37" t="n">
        <x:v>3894</x:v>
      </x:c>
    </x:row>
    <x:row r="38">
      <x:c r="A38" s="42" t="str">
        <x:v>Stage16</x:v>
      </x:c>
      <x:c r="B38" s="42" t="str">
        <x:v>새 지역 스펙 체크</x:v>
      </x:c>
      <x:c r="C38" s="42" t="str">
        <x:v>권장 전투력 625로 크게 상승하지만 Stage15 보상과 4번째 코어로 육성폭이 넓어짐.</x:v>
      </x:c>
      <x:c r="E38" s="42" t="str">
        <x:v>16→20</x:v>
      </x:c>
      <x:c r="F38" s="42" t="str">
        <x:v>625→1020 (+63.2%)</x:v>
      </x:c>
      <x:c r="G38" s="42" t="str">
        <x:v>20770→29638 (+42.7%)</x:v>
      </x:c>
      <x:c r="H38" s="42" t="str">
        <x:v>누적 성장으로 Lv25~31권</x:v>
      </x:c>
      <x:c r="I38" s="42" t="str">
        <x:v>현행 유지</x:v>
      </x:c>
      <x:c r="K38" t="n">
        <x:v>31</x:v>
      </x:c>
      <x:c r="L38" t="n">
        <x:v>32</x:v>
      </x:c>
      <x:c r="M38" t="n">
        <x:v>282</x:v>
      </x:c>
      <x:c r="N38" t="n">
        <x:v>4176</x:v>
      </x:c>
    </x:row>
    <x:row r="39">
      <x:c r="A39" s="42" t="str">
        <x:v>Stage17~19</x:v>
      </x:c>
      <x:c r="B39" s="42" t="str">
        <x:v>타이트~적정</x:v>
      </x:c>
      <x:c r="C39" s="42" t="str">
        <x:v>벨로자르 적 스펙은 계속 상승하지만 성장재화도 누적되어 핵심3~4 육성은 진행 가능.</x:v>
      </x:c>
      <x:c r="K39" t="n">
        <x:v>32</x:v>
      </x:c>
      <x:c r="L39" t="n">
        <x:v>33</x:v>
      </x:c>
      <x:c r="M39" t="n">
        <x:v>294</x:v>
      </x:c>
      <x:c r="N39" t="n">
        <x:v>4470</x:v>
      </x:c>
    </x:row>
    <x:row r="40">
      <x:c r="A40" s="42" t="str">
        <x:v>Stage20</x:v>
      </x:c>
      <x:c r="B40" s="42" t="str">
        <x:v>타이트</x:v>
      </x:c>
      <x:c r="C40" s="42" t="str">
        <x:v>첫 20스테이지 마감. 핵심3 약 Lv31, 핵심4 약 Lv27, 핵심5 약 Lv25 전후의 성장권.</x:v>
      </x:c>
      <x:c r="K40" t="n">
        <x:v>33</x:v>
      </x:c>
      <x:c r="L40" t="n">
        <x:v>34</x:v>
      </x:c>
      <x:c r="M40" t="n">
        <x:v>306</x:v>
      </x:c>
      <x:c r="N40" t="n">
        <x:v>4776</x:v>
      </x:c>
    </x:row>
    <x:row r="41">
      <x:c r="A41" s="42" t="str">
        <x:v>전체</x:v>
      </x:c>
      <x:c r="B41" s="42" t="str">
        <x:v>무과금 가능</x:v>
      </x:c>
      <x:c r="C41" s="42" t="str">
        <x:v>현재 후보 재화량이면 결제 없이 진행 가능. 다만 5명 분산육성은 체감상 확실히 더 빡빡함.</x:v>
      </x:c>
      <x:c r="K41" t="n">
        <x:v>34</x:v>
      </x:c>
      <x:c r="L41" t="n">
        <x:v>35</x:v>
      </x:c>
      <x:c r="M41" t="n">
        <x:v>318</x:v>
      </x:c>
      <x:c r="N41" t="n">
        <x:v>5094</x:v>
      </x:c>
    </x:row>
    <x:row r="42">
      <x:c r="K42" t="n">
        <x:v>35</x:v>
      </x:c>
      <x:c r="L42" t="n">
        <x:v>36</x:v>
      </x:c>
      <x:c r="M42" t="n">
        <x:v>330</x:v>
      </x:c>
      <x:c r="N42" t="n">
        <x:v>5424</x:v>
      </x:c>
    </x:row>
    <x:row r="43">
      <x:c r="K43" t="n">
        <x:v>36</x:v>
      </x:c>
      <x:c r="L43" t="n">
        <x:v>37</x:v>
      </x:c>
      <x:c r="M43" t="n">
        <x:v>342</x:v>
      </x:c>
      <x:c r="N43" t="n">
        <x:v>5766</x:v>
      </x:c>
    </x:row>
    <x:row r="44">
      <x:c r="K44" t="n">
        <x:v>37</x:v>
      </x:c>
      <x:c r="L44" t="n">
        <x:v>38</x:v>
      </x:c>
      <x:c r="M44" t="n">
        <x:v>354</x:v>
      </x:c>
      <x:c r="N44" t="n">
        <x:v>6120</x:v>
      </x:c>
    </x:row>
    <x:row r="45">
      <x:c r="K45" t="n">
        <x:v>38</x:v>
      </x:c>
      <x:c r="L45" t="n">
        <x:v>39</x:v>
      </x:c>
      <x:c r="M45" t="n">
        <x:v>366</x:v>
      </x:c>
      <x:c r="N45" t="n">
        <x:v>6486</x:v>
      </x:c>
    </x:row>
    <x:row r="46">
      <x:c r="K46" t="n">
        <x:v>39</x:v>
      </x:c>
      <x:c r="L46" t="n">
        <x:v>40</x:v>
      </x:c>
      <x:c r="M46" t="n">
        <x:v>378</x:v>
      </x:c>
      <x:c r="N46" t="n">
        <x:v>6864</x:v>
      </x:c>
    </x:row>
    <x:row r="49">
      <x:c r="K49" t="str">
        <x:v>Stage</x:v>
      </x:c>
      <x:c r="L49" t="str">
        <x:v>권장 전투력</x:v>
      </x:c>
      <x:c r="M49" t="str">
        <x:v>압박지수 상대값(11=339)</x:v>
      </x:c>
    </x:row>
    <x:row r="50">
      <x:c r="K50" t="n">
        <x:v>11</x:v>
      </x:c>
      <x:c r="L50" t="n">
        <x:v>339</x:v>
      </x:c>
      <x:c r="M50" t="n">
        <x:v>339</x:v>
      </x:c>
    </x:row>
    <x:row r="51">
      <x:c r="K51" t="n">
        <x:v>12</x:v>
      </x:c>
      <x:c r="L51" t="n">
        <x:v>384</x:v>
      </x:c>
      <x:c r="M51" t="n">
        <x:v>350.0340496194817</x:v>
      </x:c>
    </x:row>
    <x:row r="52">
      <x:c r="K52" t="n">
        <x:v>13</x:v>
      </x:c>
      <x:c r="L52" t="n">
        <x:v>433</x:v>
      </x:c>
      <x:c r="M52" t="n">
        <x:v>409.7173103754482</x:v>
      </x:c>
    </x:row>
    <x:row r="53">
      <x:c r="K53" t="n">
        <x:v>14</x:v>
      </x:c>
      <x:c r="L53" t="n">
        <x:v>490</x:v>
      </x:c>
      <x:c r="M53" t="n">
        <x:v>460.95496338300603</x:v>
      </x:c>
    </x:row>
    <x:row r="54">
      <x:c r="K54" t="n">
        <x:v>15</x:v>
      </x:c>
      <x:c r="L54" t="n">
        <x:v>553</x:v>
      </x:c>
      <x:c r="M54" t="n">
        <x:v>504.26315859622923</x:v>
      </x:c>
    </x:row>
    <x:row r="55">
      <x:c r="K55" t="n">
        <x:v>16</x:v>
      </x:c>
      <x:c r="L55" t="n">
        <x:v>625</x:v>
      </x:c>
      <x:c r="M55" t="n">
        <x:v>638.9624898685814</x:v>
      </x:c>
    </x:row>
    <x:row r="56">
      <x:c r="K56" t="n">
        <x:v>17</x:v>
      </x:c>
      <x:c r="L56" t="n">
        <x:v>707</x:v>
      </x:c>
      <x:c r="M56" t="n">
        <x:v>701.5401091673904</x:v>
      </x:c>
    </x:row>
    <x:row r="57">
      <x:c r="K57" t="n">
        <x:v>18</x:v>
      </x:c>
      <x:c r="L57" t="n">
        <x:v>799</x:v>
      </x:c>
      <x:c r="M57" t="n">
        <x:v>728.81505215876</x:v>
      </x:c>
    </x:row>
    <x:row r="58">
      <x:c r="K58" t="n">
        <x:v>19</x:v>
      </x:c>
      <x:c r="L58" t="n">
        <x:v>902</x:v>
      </x:c>
      <x:c r="M58" t="n">
        <x:v>731.4415824862925</x:v>
      </x:c>
    </x:row>
    <x:row r="59">
      <x:c r="K59" t="n">
        <x:v>20</x:v>
      </x:c>
      <x:c r="L59" t="n">
        <x:v>1020</x:v>
      </x:c>
      <x:c r="M59" t="n">
        <x:v>911.7643151175912</x:v>
      </x:c>
    </x:row>
  </x:sheetData>
  <x:mergeCells>
    <x:mergeCell ref="A1:R1"/>
    <x:mergeCell ref="A25:R25"/>
    <x:mergeCell ref="A34:I34"/>
  </x:mergeCells>
  <x:conditionalFormatting sqref="P13:R2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780c94c18b8c4729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20" hidden="0" customWidth="1"/>
    <x:col min="9" max="9" width="16" hidden="0" customWidth="1"/>
    <x:col min="10" max="10" width="18" hidden="0" customWidth="1"/>
    <x:col min="11" max="11" width="24" hidden="0" customWidth="1"/>
    <x:col min="12" max="12" width="14" hidden="0" customWidth="1"/>
    <x:col min="13" max="13" width="12" hidden="0" customWidth="1"/>
    <x:col min="14" max="14" width="16" hidden="0" customWidth="1"/>
    <x:col min="15" max="15" width="18" hidden="0" customWidth="1"/>
    <x:col min="16" max="16" width="14" hidden="0" customWidth="1"/>
    <x:col min="17" max="17" width="16" hidden="0" customWidth="1"/>
    <x:col min="18" max="18" width="16" hidden="0" customWidth="1"/>
    <x:col min="19" max="19" width="16" hidden="0" customWidth="1"/>
    <x:col min="20" max="20" width="22" hidden="0" customWidth="1"/>
  </x:cols>
  <x:sheetData>
    <x:row r="1">
      <x:c r="A1" s="310" t="str">
        <x:v>NORMAL Stage 21~30 — 3~5일 무과금 성장벽 시뮬레이션 V2.1</x:v>
      </x:c>
      <x:c r="B1" s="310"/>
      <x:c r="C1" s="310"/>
      <x:c r="D1" s="310"/>
      <x:c r="E1" s="310"/>
      <x:c r="F1" s="310"/>
      <x:c r="G1" s="310"/>
      <x:c r="H1" s="310"/>
      <x:c r="I1" s="310"/>
      <x:c r="J1" s="310"/>
      <x:c r="K1" s="310"/>
      <x:c r="L1" s="310"/>
      <x:c r="M1" s="310"/>
      <x:c r="N1" s="310"/>
      <x:c r="O1" s="310"/>
      <x:c r="P1" s="310"/>
      <x:c r="Q1" s="310"/>
      <x:c r="R1" s="310"/>
      <x:c r="S1" s="310"/>
      <x:c r="T1" s="310"/>
    </x:row>
    <x:row r="3">
      <x:c r="A3" s="314" t="str">
        <x:v>시뮬레이션 항목</x:v>
      </x:c>
      <x:c r="B3" s="314" t="str">
        <x:v>권장 후보</x:v>
      </x:c>
      <x:c r="C3" s="314" t="str">
        <x:v>성격</x:v>
      </x:c>
      <x:c r="D3" s="314" t="str">
        <x:v>적용</x:v>
      </x:c>
      <x:c r="E3" s="314" t="str">
        <x:v>목적</x:v>
      </x:c>
      <x:c r="F3" s="314" t="str">
        <x:v>비고</x:v>
      </x:c>
    </x:row>
    <x:row r="4">
      <x:c r="A4" s="42" t="str">
        <x:v>Stage20 누적 성장재화</x:v>
      </x:c>
      <x:c r="B4" s="42" t="str">
        <x:v>12,310</x:v>
      </x:c>
      <x:c r="C4" s="42" t="str">
        <x:v>V2.0 이월</x:v>
      </x:c>
      <x:c r="D4" s="42" t="str">
        <x:v>Stage21 진입</x:v>
      </x:c>
      <x:c r="E4" s="42" t="str">
        <x:v>기존 자연성장 연속성</x:v>
      </x:c>
      <x:c r="F4" s="42" t="str">
        <x:v>핵심3 Lv31 / 핵심4 Lv27 / 핵심5 Lv25 전후</x:v>
      </x:c>
    </x:row>
    <x:row r="5">
      <x:c r="A5" s="42" t="str">
        <x:v>무료 일일 성장재화</x:v>
      </x:c>
      <x:c r="B5" s="42" t="str">
        <x:v>2,000/일</x:v>
      </x:c>
      <x:c r="C5" s="42" t="str">
        <x:v>V2.1 후보</x:v>
      </x:c>
      <x:c r="D5" s="42" t="str">
        <x:v>Stage20 이후 막힘 시</x:v>
      </x:c>
      <x:c r="E5" s="42" t="str">
        <x:v>3~5일 성장벽 형성</x:v>
      </x:c>
      <x:c r="F5" s="42" t="str">
        <x:v>일일미션+무료 던전+방치/접속보상 합산. Stage20 이후 기준</x:v>
      </x:c>
    </x:row>
    <x:row r="6">
      <x:c r="A6" s="42" t="str">
        <x:v>한계돌파 II 비용</x:v>
      </x:c>
      <x:c r="B6" s="42" t="str">
        <x:v>700 + 코어 II 1</x:v>
      </x:c>
      <x:c r="C6" s="42" t="str">
        <x:v>V2.1 후보</x:v>
      </x:c>
      <x:c r="D6" s="42" t="str">
        <x:v>Lv40 후</x:v>
      </x:c>
      <x:c r="E6" s="42" t="str">
        <x:v>Lv40~60 진입 제어</x:v>
      </x:c>
      <x:c r="F6" s="42" t="str">
        <x:v>이벤트신1 해금</x:v>
      </x:c>
    </x:row>
    <x:row r="7">
      <x:c r="A7" s="42" t="str">
        <x:v>코어 II 지급</x:v>
      </x:c>
      <x:c r="B7" s="42" t="str">
        <x:v>Stage20 3 / Stage25 +1 / Stage30 +1</x:v>
      </x:c>
      <x:c r="C7" s="42" t="str">
        <x:v>V2.1 후보</x:v>
      </x:c>
      <x:c r="D7" s="42" t="str">
        <x:v>지역 마감 보상</x:v>
      </x:c>
      <x:c r="E7" s="42" t="str">
        <x:v>주력3→4→5 확장</x:v>
      </x:c>
      <x:c r="F7" s="42" t="str">
        <x:v>무과금 5인 최종 확보</x:v>
      </x:c>
    </x:row>
    <x:row r="8">
      <x:c r="A8" s="42" t="str">
        <x:v>Lv40~60 비용</x:v>
      </x:c>
      <x:c r="B8" s="42" t="str">
        <x:v>420 + 20×(현재Lv-40)</x:v>
      </x:c>
      <x:c r="C8" s="42" t="str">
        <x:v>V2.1 후보</x:v>
      </x:c>
      <x:c r="D8" s="42" t="str">
        <x:v>한계돌파 II 후</x:v>
      </x:c>
      <x:c r="E8" s="42" t="str">
        <x:v>Normal 후반 성장속도 제어</x:v>
      </x:c>
      <x:c r="F8" s="42" t="str">
        <x:v>Stage30 이전 Lv60 과도달 방지</x:v>
      </x:c>
    </x:row>
    <x:row r="9">
      <x:c r="A9" s="42" t="str">
        <x:v>Stage21~30 최초클리어 재화</x:v>
      </x:c>
      <x:c r="B9" s="42" t="str">
        <x:v>12,430</x:v>
      </x:c>
      <x:c r="C9" s="42" t="str">
        <x:v>V2.1 후보</x:v>
      </x:c>
      <x:c r="D9" s="42" t="str">
        <x:v>스테이지 보상</x:v>
      </x:c>
      <x:c r="E9" s="42" t="str">
        <x:v>막힘 후 다음 스테이지 진행 가속</x:v>
      </x:c>
      <x:c r="F9" s="42" t="str">
        <x:v>반복파밍/일일보상 별도</x:v>
      </x:c>
    </x:row>
    <x:row r="10">
      <x:c r="A10" t="str">
        <x:v>성장벽 계산 방식</x:v>
      </x:c>
      <x:c r="B10" t="str">
        <x:v>이전 성장 대기에서 얻은 무료 재화를 다음 구간에 누적</x:v>
      </x:c>
      <x:c r="C10" t="str">
        <x:v>V2.2 보정</x:v>
      </x:c>
      <x:c r="D10" t="str">
        <x:v>Stage21→26→30 순차 진행</x:v>
      </x:c>
      <x:c r="E10" t="str">
        <x:v>실제 플레이 누적 구조 반영</x:v>
      </x:c>
      <x:c r="F10" t="str">
        <x:v>각 벽을 독립 계산하던 V2.1 오류 수정</x:v>
      </x:c>
    </x:row>
    <x:row r="12">
      <x:c r="A12" s="318" t="str">
        <x:v>Stage</x:v>
      </x:c>
      <x:c r="B12" s="318" t="str">
        <x:v>지역</x:v>
      </x:c>
      <x:c r="C12" s="318" t="str">
        <x:v>기본재화</x:v>
      </x:c>
      <x:c r="D12" s="318" t="str">
        <x:v>최초보너스</x:v>
      </x:c>
      <x:c r="E12" s="318" t="str">
        <x:v>코어II</x:v>
      </x:c>
      <x:c r="F12" s="318" t="str">
        <x:v>획득재화</x:v>
      </x:c>
      <x:c r="G12" s="318" t="str">
        <x:v>구간누적</x:v>
      </x:c>
      <x:c r="H12" s="318" t="str">
        <x:v>총 누적(일일보상 제외)</x:v>
      </x:c>
      <x:c r="I12" s="318" t="str">
        <x:v>권장전투력</x:v>
      </x:c>
      <x:c r="J12" s="318" t="str">
        <x:v>권장Lv</x:v>
      </x:c>
      <x:c r="K12" s="318" t="str">
        <x:v>보스</x:v>
      </x:c>
      <x:c r="L12" s="318" t="str">
        <x:v>보스HP</x:v>
      </x:c>
      <x:c r="M12" s="318" t="str">
        <x:v>보스DEF</x:v>
      </x:c>
      <x:c r="N12" s="318" t="str">
        <x:v>평균 압박</x:v>
      </x:c>
      <x:c r="O12" s="318" t="str">
        <x:v>전Stage 대비</x:v>
      </x:c>
      <x:c r="P12" s="318" t="str">
        <x:v>코어II 누적</x:v>
      </x:c>
      <x:c r="Q12" s="318" t="str">
        <x:v>핵심3 자연Lv</x:v>
      </x:c>
      <x:c r="R12" s="318" t="str">
        <x:v>핵심4 자연Lv</x:v>
      </x:c>
      <x:c r="S12" s="318" t="str">
        <x:v>핵심5 자연Lv</x:v>
      </x:c>
      <x:c r="T12" s="318" t="str">
        <x:v>구간상 추가 무료 성장일</x:v>
      </x:c>
    </x:row>
    <x:row r="13">
      <x:c r="A13" s="42" t="n">
        <x:v>21</x:v>
      </x:c>
      <x:c r="B13" s="42" t="str">
        <x:v>생트아르크 교황령</x:v>
      </x:c>
      <x:c r="C13" s="42" t="n">
        <x:v>1000</x:v>
      </x:c>
      <x:c r="D13" s="42" t="n">
        <x:v>150</x:v>
      </x:c>
      <x:c r="E13" s="42" t="n">
        <x:v>0</x:v>
      </x:c>
      <x:c r="F13" s="42" t="n">
        <x:v>1150</x:v>
      </x:c>
      <x:c r="G13" s="42" t="n">
        <x:v>1150</x:v>
      </x:c>
      <x:c r="H13" s="42" t="n">
        <x:v>13460</x:v>
      </x:c>
      <x:c r="I13" s="42" t="n">
        <x:v>1152</x:v>
      </x:c>
      <x:c r="J13" s="42" t="str">
        <x:v>Lv40~50</x:v>
      </x:c>
      <x:c r="K13" s="42" t="str">
        <x:v>배교성기사 라미엘</x:v>
      </x:c>
      <x:c r="L13" s="42" t="n">
        <x:v>16206</x:v>
      </x:c>
      <x:c r="M13" s="42" t="n">
        <x:v>50</x:v>
      </x:c>
      <x:c r="N13" s="42" t="n">
        <x:v>39202</x:v>
      </x:c>
      <x:c r="O13" s="246" t="n">
        <x:v>0</x:v>
      </x:c>
      <x:c r="P13" s="42" t="n">
        <x:v>3</x:v>
      </x:c>
      <x:c r="Q13" s="42" t="n">
        <x:v>33</x:v>
      </x:c>
      <x:c r="R13" s="42" t="n">
        <x:v>28</x:v>
      </x:c>
      <x:c r="S13" s="42" t="n">
        <x:v>26</x:v>
      </x:c>
      <x:c r="T13" s="42" t="n">
        <x:v>5</x:v>
      </x:c>
    </x:row>
    <x:row r="14">
      <x:c r="A14" s="42" t="n">
        <x:v>22</x:v>
      </x:c>
      <x:c r="B14" s="42" t="str">
        <x:v>생트아르크 교황령</x:v>
      </x:c>
      <x:c r="C14" s="42" t="n">
        <x:v>1050</x:v>
      </x:c>
      <x:c r="D14" s="42" t="n">
        <x:v>150</x:v>
      </x:c>
      <x:c r="E14" s="42" t="n">
        <x:v>0</x:v>
      </x:c>
      <x:c r="F14" s="42" t="n">
        <x:v>1200</x:v>
      </x:c>
      <x:c r="G14" s="42" t="n">
        <x:v>2350</x:v>
      </x:c>
      <x:c r="H14" s="42" t="n">
        <x:v>14660</x:v>
      </x:c>
      <x:c r="I14" s="42" t="n">
        <x:v>1302</x:v>
      </x:c>
      <x:c r="J14" s="42" t="str">
        <x:v>Lv40~50</x:v>
      </x:c>
      <x:c r="K14" s="42" t="str">
        <x:v>성당의 가고일왕 그레고르</x:v>
      </x:c>
      <x:c r="L14" s="42" t="n">
        <x:v>17907</x:v>
      </x:c>
      <x:c r="M14" s="42" t="n">
        <x:v>52</x:v>
      </x:c>
      <x:c r="N14" s="42" t="n">
        <x:v>40041</x:v>
      </x:c>
      <x:c r="O14" s="246" t="n">
        <x:v>0.021392286059090937</x:v>
      </x:c>
      <x:c r="P14" s="42" t="n">
        <x:v>3</x:v>
      </x:c>
      <x:c r="Q14" s="42" t="n">
        <x:v>34</x:v>
      </x:c>
      <x:c r="R14" s="42" t="n">
        <x:v>30</x:v>
      </x:c>
      <x:c r="S14" s="42" t="n">
        <x:v>27</x:v>
      </x:c>
      <x:c r="T14" s="42" t="n">
        <x:v>0</x:v>
      </x:c>
    </x:row>
    <x:row r="15">
      <x:c r="A15" s="42" t="n">
        <x:v>23</x:v>
      </x:c>
      <x:c r="B15" s="42" t="str">
        <x:v>생트아르크 교황령</x:v>
      </x:c>
      <x:c r="C15" s="42" t="n">
        <x:v>1100</x:v>
      </x:c>
      <x:c r="D15" s="42" t="n">
        <x:v>180</x:v>
      </x:c>
      <x:c r="E15" s="42" t="n">
        <x:v>0</x:v>
      </x:c>
      <x:c r="F15" s="42" t="n">
        <x:v>1280</x:v>
      </x:c>
      <x:c r="G15" s="42" t="n">
        <x:v>3630</x:v>
      </x:c>
      <x:c r="H15" s="42" t="n">
        <x:v>15940</x:v>
      </x:c>
      <x:c r="I15" s="42" t="n">
        <x:v>1471</x:v>
      </x:c>
      <x:c r="J15" s="42" t="str">
        <x:v>Lv40~50</x:v>
      </x:c>
      <x:c r="K15" s="42" t="str">
        <x:v>순교자 세베라</x:v>
      </x:c>
      <x:c r="L15" s="42" t="n">
        <x:v>19788</x:v>
      </x:c>
      <x:c r="M15" s="42" t="n">
        <x:v>54</x:v>
      </x:c>
      <x:c r="N15" s="42" t="n">
        <x:v>43300</x:v>
      </x:c>
      <x:c r="O15" s="246" t="n">
        <x:v>0.08139814090114261</x:v>
      </x:c>
      <x:c r="P15" s="42" t="n">
        <x:v>3</x:v>
      </x:c>
      <x:c r="Q15" s="42" t="n">
        <x:v>35</x:v>
      </x:c>
      <x:c r="R15" s="42" t="n">
        <x:v>31</x:v>
      </x:c>
      <x:c r="S15" s="42" t="n">
        <x:v>28</x:v>
      </x:c>
      <x:c r="T15" s="42" t="n">
        <x:v>0</x:v>
      </x:c>
    </x:row>
    <x:row r="16">
      <x:c r="A16" s="42" t="n">
        <x:v>24</x:v>
      </x:c>
      <x:c r="B16" s="42" t="str">
        <x:v>생트아르크 교황령</x:v>
      </x:c>
      <x:c r="C16" s="42" t="n">
        <x:v>1150</x:v>
      </x:c>
      <x:c r="D16" s="42" t="n">
        <x:v>180</x:v>
      </x:c>
      <x:c r="E16" s="42" t="n">
        <x:v>0</x:v>
      </x:c>
      <x:c r="F16" s="42" t="n">
        <x:v>1330</x:v>
      </x:c>
      <x:c r="G16" s="42" t="n">
        <x:v>4960</x:v>
      </x:c>
      <x:c r="H16" s="42" t="n">
        <x:v>17270</x:v>
      </x:c>
      <x:c r="I16" s="42" t="n">
        <x:v>1663</x:v>
      </x:c>
      <x:c r="J16" s="42" t="str">
        <x:v>Lv40~50</x:v>
      </x:c>
      <x:c r="K16" s="42" t="str">
        <x:v>성유물폭주체 렐릭스</x:v>
      </x:c>
      <x:c r="L16" s="42" t="n">
        <x:v>21865</x:v>
      </x:c>
      <x:c r="M16" s="42" t="n">
        <x:v>56</x:v>
      </x:c>
      <x:c r="N16" s="42" t="n">
        <x:v>48807</x:v>
      </x:c>
      <x:c r="O16" s="246" t="n">
        <x:v>0.12716433087437906</x:v>
      </x:c>
      <x:c r="P16" s="42" t="n">
        <x:v>3</x:v>
      </x:c>
      <x:c r="Q16" s="42" t="n">
        <x:v>36</x:v>
      </x:c>
      <x:c r="R16" s="42" t="n">
        <x:v>32</x:v>
      </x:c>
      <x:c r="S16" s="42" t="n">
        <x:v>29</x:v>
      </x:c>
      <x:c r="T16" s="42" t="n">
        <x:v>0</x:v>
      </x:c>
    </x:row>
    <x:row r="17">
      <x:c r="A17" s="42" t="n">
        <x:v>25</x:v>
      </x:c>
      <x:c r="B17" s="42" t="str">
        <x:v>생트아르크 교황령</x:v>
      </x:c>
      <x:c r="C17" s="42" t="n">
        <x:v>1400</x:v>
      </x:c>
      <x:c r="D17" s="42" t="n">
        <x:v>350</x:v>
      </x:c>
      <x:c r="E17" s="42" t="n">
        <x:v>1</x:v>
      </x:c>
      <x:c r="F17" s="42" t="n">
        <x:v>1750</x:v>
      </x:c>
      <x:c r="G17" s="42" t="n">
        <x:v>6710</x:v>
      </x:c>
      <x:c r="H17" s="42" t="n">
        <x:v>19020</x:v>
      </x:c>
      <x:c r="I17" s="42" t="n">
        <x:v>1879</x:v>
      </x:c>
      <x:c r="J17" s="42" t="str">
        <x:v>Lv40~50</x:v>
      </x:c>
      <x:c r="K17" s="42" t="str">
        <x:v>검은대주교 말키엘</x:v>
      </x:c>
      <x:c r="L17" s="42" t="n">
        <x:v>24161</x:v>
      </x:c>
      <x:c r="M17" s="42" t="n">
        <x:v>58</x:v>
      </x:c>
      <x:c r="N17" s="42" t="n">
        <x:v>49822</x:v>
      </x:c>
      <x:c r="O17" s="246" t="n">
        <x:v>0.02079761686201942</x:v>
      </x:c>
      <x:c r="P17" s="42" t="n">
        <x:v>4</x:v>
      </x:c>
      <x:c r="Q17" s="42" t="n">
        <x:v>38</x:v>
      </x:c>
      <x:c r="R17" s="42" t="n">
        <x:v>33</x:v>
      </x:c>
      <x:c r="S17" s="42" t="n">
        <x:v>30</x:v>
      </x:c>
      <x:c r="T17" s="42" t="n">
        <x:v>0</x:v>
      </x:c>
    </x:row>
    <x:row r="18">
      <x:c r="A18" s="42" t="n">
        <x:v>26</x:v>
      </x:c>
      <x:c r="B18" s="42" t="str">
        <x:v>상드라크 제국</x:v>
      </x:c>
      <x:c r="C18" s="42" t="n">
        <x:v>1250</x:v>
      </x:c>
      <x:c r="D18" s="42" t="n">
        <x:v>180</x:v>
      </x:c>
      <x:c r="E18" s="42" t="n">
        <x:v>0</x:v>
      </x:c>
      <x:c r="F18" s="42" t="n">
        <x:v>1430</x:v>
      </x:c>
      <x:c r="G18" s="42" t="n">
        <x:v>8140</x:v>
      </x:c>
      <x:c r="H18" s="42" t="n">
        <x:v>20450</x:v>
      </x:c>
      <x:c r="I18" s="42" t="n">
        <x:v>2123</x:v>
      </x:c>
      <x:c r="J18" s="42" t="str">
        <x:v>Lv50~60</x:v>
      </x:c>
      <x:c r="K18" s="42" t="str">
        <x:v>황실골렘 아르카논</x:v>
      </x:c>
      <x:c r="L18" s="42" t="n">
        <x:v>26698</x:v>
      </x:c>
      <x:c r="M18" s="42" t="n">
        <x:v>60</x:v>
      </x:c>
      <x:c r="N18" s="42" t="n">
        <x:v>58397</x:v>
      </x:c>
      <x:c r="O18" s="246" t="n">
        <x:v>0.17212350534638587</x:v>
      </x:c>
      <x:c r="P18" s="42" t="n">
        <x:v>4</x:v>
      </x:c>
      <x:c r="Q18" s="42" t="n">
        <x:v>39</x:v>
      </x:c>
      <x:c r="R18" s="42" t="n">
        <x:v>35</x:v>
      </x:c>
      <x:c r="S18" s="42" t="n">
        <x:v>31</x:v>
      </x:c>
      <x:c r="T18" s="42" t="n">
        <x:v>5</x:v>
      </x:c>
    </x:row>
    <x:row r="19">
      <x:c r="A19" s="42" t="n">
        <x:v>27</x:v>
      </x:c>
      <x:c r="B19" s="42" t="str">
        <x:v>상드라크 제국</x:v>
      </x:c>
      <x:c r="C19" s="42" t="n">
        <x:v>1300</x:v>
      </x:c>
      <x:c r="D19" s="42" t="n">
        <x:v>200</x:v>
      </x:c>
      <x:c r="E19" s="42" t="n">
        <x:v>0</x:v>
      </x:c>
      <x:c r="F19" s="42" t="n">
        <x:v>1500</x:v>
      </x:c>
      <x:c r="G19" s="42" t="n">
        <x:v>9640</x:v>
      </x:c>
      <x:c r="H19" s="42" t="n">
        <x:v>21950</x:v>
      </x:c>
      <x:c r="I19" s="42" t="n">
        <x:v>2399</x:v>
      </x:c>
      <x:c r="J19" s="42" t="str">
        <x:v>Lv50~60</x:v>
      </x:c>
      <x:c r="K19" s="42" t="str">
        <x:v>반역장군 드라켄</x:v>
      </x:c>
      <x:c r="L19" s="42" t="n">
        <x:v>29501</x:v>
      </x:c>
      <x:c r="M19" s="42" t="n">
        <x:v>62</x:v>
      </x:c>
      <x:c r="N19" s="42" t="n">
        <x:v>60238</x:v>
      </x:c>
      <x:c r="O19" s="246" t="n">
        <x:v>0.03152533006767344</x:v>
      </x:c>
      <x:c r="P19" s="42" t="n">
        <x:v>4</x:v>
      </x:c>
      <x:c r="Q19" s="42" t="n">
        <x:v>40</x:v>
      </x:c>
      <x:c r="R19" s="42" t="n">
        <x:v>36</x:v>
      </x:c>
      <x:c r="S19" s="42" t="n">
        <x:v>32</x:v>
      </x:c>
      <x:c r="T19" s="42" t="n">
        <x:v>0</x:v>
      </x:c>
    </x:row>
    <x:row r="20">
      <x:c r="A20" s="42" t="n">
        <x:v>28</x:v>
      </x:c>
      <x:c r="B20" s="42" t="str">
        <x:v>상드라크 제국</x:v>
      </x:c>
      <x:c r="C20" s="42" t="n">
        <x:v>1350</x:v>
      </x:c>
      <x:c r="D20" s="42" t="n">
        <x:v>200</x:v>
      </x:c>
      <x:c r="E20" s="42" t="n">
        <x:v>0</x:v>
      </x:c>
      <x:c r="F20" s="42" t="n">
        <x:v>1550</x:v>
      </x:c>
      <x:c r="G20" s="42" t="n">
        <x:v>11190</x:v>
      </x:c>
      <x:c r="H20" s="42" t="n">
        <x:v>23500</x:v>
      </x:c>
      <x:c r="I20" s="42" t="n">
        <x:v>2711</x:v>
      </x:c>
      <x:c r="J20" s="42" t="str">
        <x:v>Lv50~60</x:v>
      </x:c>
      <x:c r="K20" s="42" t="str">
        <x:v>실험체 제로</x:v>
      </x:c>
      <x:c r="L20" s="42" t="n">
        <x:v>32599</x:v>
      </x:c>
      <x:c r="M20" s="42" t="n">
        <x:v>64</x:v>
      </x:c>
      <x:c r="N20" s="42" t="n">
        <x:v>67654</x:v>
      </x:c>
      <x:c r="O20" s="246" t="n">
        <x:v>0.12311479395824532</x:v>
      </x:c>
      <x:c r="P20" s="42" t="n">
        <x:v>4</x:v>
      </x:c>
      <x:c r="Q20" s="42" t="n">
        <x:v>40</x:v>
      </x:c>
      <x:c r="R20" s="42" t="n">
        <x:v>37</x:v>
      </x:c>
      <x:c r="S20" s="42" t="n">
        <x:v>33</x:v>
      </x:c>
      <x:c r="T20" s="42" t="n">
        <x:v>0</x:v>
      </x:c>
    </x:row>
    <x:row r="21">
      <x:c r="A21" s="42" t="n">
        <x:v>29</x:v>
      </x:c>
      <x:c r="B21" s="42" t="str">
        <x:v>상드라크 제국</x:v>
      </x:c>
      <x:c r="C21" s="42" t="n">
        <x:v>1450</x:v>
      </x:c>
      <x:c r="D21" s="42" t="n">
        <x:v>220</x:v>
      </x:c>
      <x:c r="E21" s="42" t="n">
        <x:v>0</x:v>
      </x:c>
      <x:c r="F21" s="42" t="n">
        <x:v>1670</x:v>
      </x:c>
      <x:c r="G21" s="42" t="n">
        <x:v>12860</x:v>
      </x:c>
      <x:c r="H21" s="42" t="n">
        <x:v>25170</x:v>
      </x:c>
      <x:c r="I21" s="42" t="n">
        <x:v>3063</x:v>
      </x:c>
      <x:c r="J21" s="42" t="str">
        <x:v>Lv50~60</x:v>
      </x:c>
      <x:c r="K21" s="42" t="str">
        <x:v>공중요새 코르부스</x:v>
      </x:c>
      <x:c r="L21" s="42" t="n">
        <x:v>36022</x:v>
      </x:c>
      <x:c r="M21" s="42" t="n">
        <x:v>66</x:v>
      </x:c>
      <x:c r="N21" s="42" t="n">
        <x:v>74526</x:v>
      </x:c>
      <x:c r="O21" s="246" t="n">
        <x:v>0.10157309633327705</x:v>
      </x:c>
      <x:c r="P21" s="42" t="n">
        <x:v>4</x:v>
      </x:c>
      <x:c r="Q21" s="42" t="n">
        <x:v>41</x:v>
      </x:c>
      <x:c r="R21" s="42" t="n">
        <x:v>38</x:v>
      </x:c>
      <x:c r="S21" s="42" t="n">
        <x:v>34</x:v>
      </x:c>
      <x:c r="T21" s="42" t="n">
        <x:v>0</x:v>
      </x:c>
    </x:row>
    <x:row r="22">
      <x:c r="A22" s="42" t="n">
        <x:v>30</x:v>
      </x:c>
      <x:c r="B22" s="42" t="str">
        <x:v>상드라크 제국</x:v>
      </x:c>
      <x:c r="C22" s="42" t="n">
        <x:v>1800</x:v>
      </x:c>
      <x:c r="D22" s="42" t="n">
        <x:v>500</x:v>
      </x:c>
      <x:c r="E22" s="42" t="n">
        <x:v>1</x:v>
      </x:c>
      <x:c r="F22" s="42" t="n">
        <x:v>2300</x:v>
      </x:c>
      <x:c r="G22" s="42" t="n">
        <x:v>15160</x:v>
      </x:c>
      <x:c r="H22" s="42" t="n">
        <x:v>27470</x:v>
      </x:c>
      <x:c r="I22" s="42" t="n">
        <x:v>3462</x:v>
      </x:c>
      <x:c r="J22" s="42" t="str">
        <x:v>Lv50~60</x:v>
      </x:c>
      <x:c r="K22" s="42" t="str">
        <x:v>균열군주 네메시스</x:v>
      </x:c>
      <x:c r="L22" s="42" t="n">
        <x:v>39804</x:v>
      </x:c>
      <x:c r="M22" s="42" t="n">
        <x:v>68</x:v>
      </x:c>
      <x:c r="N22" s="42" t="n">
        <x:v>80829</x:v>
      </x:c>
      <x:c r="O22" s="246" t="n">
        <x:v>0.08457925276295053</x:v>
      </x:c>
      <x:c r="P22" s="42" t="n">
        <x:v>5</x:v>
      </x:c>
      <x:c r="Q22" s="42" t="n">
        <x:v>43</x:v>
      </x:c>
      <x:c r="R22" s="42" t="n">
        <x:v>40</x:v>
      </x:c>
      <x:c r="S22" s="42" t="n">
        <x:v>36</x:v>
      </x:c>
      <x:c r="T22" s="42" t="n">
        <x:v>5</x:v>
      </x:c>
    </x:row>
    <x:row r="25">
      <x:c r="A25" s="321" t="str">
        <x:v>핵심 성장벽 검증</x:v>
      </x:c>
      <x:c r="B25" s="321"/>
      <x:c r="C25" s="321"/>
      <x:c r="D25" s="321"/>
      <x:c r="E25" s="321"/>
      <x:c r="F25" s="321"/>
      <x:c r="G25" s="321"/>
      <x:c r="H25" s="321"/>
      <x:c r="I25" s="321"/>
      <x:c r="J25" s="321"/>
      <x:c r="K25" s="321"/>
      <x:c r="L25" s="321"/>
      <x:c r="M25" s="321"/>
      <x:c r="N25" s="321"/>
      <x:c r="O25" s="321"/>
      <x:c r="P25" s="321"/>
      <x:c r="Q25" s="321"/>
      <x:c r="R25" s="321"/>
      <x:c r="S25" s="321"/>
      <x:c r="T25" s="321"/>
    </x:row>
    <x:row r="26">
      <x:c r="A26" s="159" t="str">
        <x:v>벽</x:v>
      </x:c>
      <x:c r="B26" s="159" t="str">
        <x:v>진입 보유재화</x:v>
      </x:c>
      <x:c r="C26" s="159" t="str">
        <x:v>목표</x:v>
      </x:c>
      <x:c r="D26" s="159" t="str">
        <x:v>필요재화</x:v>
      </x:c>
      <x:c r="E26" s="159" t="str">
        <x:v>부족분</x:v>
      </x:c>
      <x:c r="F26" s="159" t="str">
        <x:v>무료 일일재화</x:v>
      </x:c>
      <x:c r="G26" s="159" t="str">
        <x:v>예상 대기일</x:v>
      </x:c>
      <x:c r="H26" s="159" t="str">
        <x:v>대기 후 예상</x:v>
      </x:c>
      <x:c r="I26" s="159" t="str">
        <x:v>판정</x:v>
      </x:c>
      <x:c r="J26" s="159" t="str">
        <x:v>설계 의도</x:v>
      </x:c>
      <x:c r="L26" s="123" t="str">
        <x:v>진행 지점</x:v>
      </x:c>
      <x:c r="M26" s="123" t="str">
        <x:v>무료 대기일</x:v>
      </x:c>
      <x:c r="N26" s="123" t="str">
        <x:v>대기 누적재화</x:v>
      </x:c>
      <x:c r="O26" s="123" t="str">
        <x:v>클리어 보상 누적</x:v>
      </x:c>
      <x:c r="P26" s="123" t="str">
        <x:v>총 보유재화</x:v>
      </x:c>
      <x:c r="Q26" s="123" t="str">
        <x:v>핵심3 평균Lv</x:v>
      </x:c>
      <x:c r="R26" s="123" t="str">
        <x:v>목표Lv</x:v>
      </x:c>
      <x:c r="S26" s="123" t="str">
        <x:v>판정</x:v>
      </x:c>
      <x:c r="T26" s="123" t="str">
        <x:v>의미</x:v>
      </x:c>
    </x:row>
    <x:row r="27">
      <x:c r="A27" s="42" t="str">
        <x:v>Stage20→21</x:v>
      </x:c>
      <x:c r="B27" s="42" t="n">
        <x:v>12310</x:v>
      </x:c>
      <x:c r="C27" s="42" t="str">
        <x:v>핵심3 평균 Lv40</x:v>
      </x:c>
      <x:c r="D27" s="42" t="n">
        <x:v>20600</x:v>
      </x:c>
      <x:c r="E27" s="42" t="n">
        <x:v>8290</x:v>
      </x:c>
      <x:c r="F27" s="42" t="n">
        <x:v>2000</x:v>
      </x:c>
      <x:c r="G27" s="42" t="n">
        <x:v>5</x:v>
      </x:c>
      <x:c r="H27" s="338" t="n">
        <x:v>22310</x:v>
      </x:c>
      <x:c r="I27" s="42" t="str">
        <x:v>목표 일수권</x:v>
      </x:c>
      <x:c r="J27" s="42" t="str">
        <x:v>첫 본격 성장벽</x:v>
      </x:c>
      <x:c r="L27" s="42" t="str">
        <x:v>Stage20 직후</x:v>
      </x:c>
      <x:c r="M27" s="42" t="n">
        <x:v>0</x:v>
      </x:c>
      <x:c r="N27" s="42" t="n">
        <x:v>0</x:v>
      </x:c>
      <x:c r="O27" s="42" t="n">
        <x:v>0</x:v>
      </x:c>
      <x:c r="P27" s="42" t="n">
        <x:v>12310</x:v>
      </x:c>
      <x:c r="Q27" s="42" t="n">
        <x:v>31</x:v>
      </x:c>
      <x:c r="R27" s="42" t="n">
        <x:v>40</x:v>
      </x:c>
      <x:c r="S27" s="42" t="str">
        <x:v>부족</x:v>
      </x:c>
      <x:c r="T27" s="42" t="str">
        <x:v>Normal 후반 벽 시작</x:v>
      </x:c>
    </x:row>
    <x:row r="28">
      <x:c r="A28" s="42" t="str">
        <x:v>Stage25→26</x:v>
      </x:c>
      <x:c r="B28" s="42" t="n">
        <x:v>29020</x:v>
      </x:c>
      <x:c r="C28" s="42" t="str">
        <x:v>핵심3 평균 Lv50</x:v>
      </x:c>
      <x:c r="D28" s="42" t="n">
        <x:v>38000</x:v>
      </x:c>
      <x:c r="E28" s="42" t="n">
        <x:v>8980</x:v>
      </x:c>
      <x:c r="F28" s="42" t="n">
        <x:v>2000</x:v>
      </x:c>
      <x:c r="G28" s="42" t="n">
        <x:v>5</x:v>
      </x:c>
      <x:c r="H28" s="338" t="n">
        <x:v>39020</x:v>
      </x:c>
      <x:c r="I28" s="42" t="str">
        <x:v>목표 일수권</x:v>
      </x:c>
      <x:c r="J28" s="42" t="str">
        <x:v>Stage21 대기재화까지 누적한 지역 전환벽</x:v>
      </x:c>
      <x:c r="L28" s="42" t="str">
        <x:v>Stage21 진입</x:v>
      </x:c>
      <x:c r="M28" s="42" t="n">
        <x:v>5</x:v>
      </x:c>
      <x:c r="N28" s="42" t="n">
        <x:v>10000</x:v>
      </x:c>
      <x:c r="O28" s="42" t="n">
        <x:v>0</x:v>
      </x:c>
      <x:c r="P28" s="42" t="n">
        <x:v>22310</x:v>
      </x:c>
      <x:c r="Q28" s="42" t="n">
        <x:v>40</x:v>
      </x:c>
      <x:c r="R28" s="42" t="n">
        <x:v>40</x:v>
      </x:c>
      <x:c r="S28" s="42" t="str">
        <x:v>권장권</x:v>
      </x:c>
      <x:c r="T28" s="42" t="str">
        <x:v>약 5일 무료 성장</x:v>
      </x:c>
    </x:row>
    <x:row r="29">
      <x:c r="A29" s="42" t="str">
        <x:v>Stage29→30</x:v>
      </x:c>
      <x:c r="B29" s="42" t="n">
        <x:v>45170</x:v>
      </x:c>
      <x:c r="C29" s="42" t="str">
        <x:v>핵심3 평균 Lv58</x:v>
      </x:c>
      <x:c r="D29" s="42" t="n">
        <x:v>54560</x:v>
      </x:c>
      <x:c r="E29" s="42" t="n">
        <x:v>9390</x:v>
      </x:c>
      <x:c r="F29" s="42" t="n">
        <x:v>2000</x:v>
      </x:c>
      <x:c r="G29" s="42" t="n">
        <x:v>5</x:v>
      </x:c>
      <x:c r="H29" s="338" t="n">
        <x:v>55170</x:v>
      </x:c>
      <x:c r="I29" s="42" t="str">
        <x:v>목표 일수권</x:v>
      </x:c>
      <x:c r="J29" s="42" t="str">
        <x:v>Normal 최종보스 안정 목표를 권장범위 상단에 설정</x:v>
      </x:c>
      <x:c r="L29" s="42" t="str">
        <x:v>Stage25 클리어</x:v>
      </x:c>
      <x:c r="M29" s="42" t="n">
        <x:v>5</x:v>
      </x:c>
      <x:c r="N29" s="42" t="n">
        <x:v>10000</x:v>
      </x:c>
      <x:c r="O29" s="42" t="n">
        <x:v>6710</x:v>
      </x:c>
      <x:c r="P29" s="42" t="n">
        <x:v>29020</x:v>
      </x:c>
      <x:c r="Q29" s="42" t="n">
        <x:v>44</x:v>
      </x:c>
      <x:c r="R29" s="42" t="n">
        <x:v>50</x:v>
      </x:c>
      <x:c r="S29" s="42" t="str">
        <x:v>다음 벽 준비</x:v>
      </x:c>
      <x:c r="T29" s="42" t="str">
        <x:v>코어II 4번째 확보</x:v>
      </x:c>
    </x:row>
    <x:row r="30">
      <x:c r="L30" s="42" t="str">
        <x:v>Stage26 진입</x:v>
      </x:c>
      <x:c r="M30" s="42" t="n">
        <x:v>10</x:v>
      </x:c>
      <x:c r="N30" s="42" t="n">
        <x:v>20000</x:v>
      </x:c>
      <x:c r="O30" s="42" t="n">
        <x:v>6710</x:v>
      </x:c>
      <x:c r="P30" s="42" t="n">
        <x:v>39020</x:v>
      </x:c>
      <x:c r="Q30" s="42" t="n">
        <x:v>50</x:v>
      </x:c>
      <x:c r="R30" s="42" t="n">
        <x:v>50</x:v>
      </x:c>
      <x:c r="S30" s="42" t="str">
        <x:v>권장권</x:v>
      </x:c>
      <x:c r="T30" s="42" t="str">
        <x:v>추가 약 5일</x:v>
      </x:c>
    </x:row>
    <x:row r="31">
      <x:c r="L31" s="42" t="str">
        <x:v>Stage29 클리어</x:v>
      </x:c>
      <x:c r="M31" s="42" t="n">
        <x:v>10</x:v>
      </x:c>
      <x:c r="N31" s="42" t="n">
        <x:v>20000</x:v>
      </x:c>
      <x:c r="O31" s="42" t="n">
        <x:v>12860</x:v>
      </x:c>
      <x:c r="P31" s="42" t="n">
        <x:v>45170</x:v>
      </x:c>
      <x:c r="Q31" s="42" t="n">
        <x:v>53</x:v>
      </x:c>
      <x:c r="R31" s="42" t="n">
        <x:v>58</x:v>
      </x:c>
      <x:c r="S31" s="42" t="str">
        <x:v>다음 벽 준비</x:v>
      </x:c>
      <x:c r="T31" s="42" t="str">
        <x:v>Normal 최종 전 성장</x:v>
      </x:c>
    </x:row>
    <x:row r="32">
      <x:c r="L32" s="42" t="str">
        <x:v>Stage30 안정권</x:v>
      </x:c>
      <x:c r="M32" s="42" t="n">
        <x:v>15</x:v>
      </x:c>
      <x:c r="N32" s="42" t="n">
        <x:v>30000</x:v>
      </x:c>
      <x:c r="O32" s="42" t="n">
        <x:v>12860</x:v>
      </x:c>
      <x:c r="P32" s="42" t="n">
        <x:v>55170</x:v>
      </x:c>
      <x:c r="Q32" s="42" t="n">
        <x:v>58</x:v>
      </x:c>
      <x:c r="R32" s="42" t="n">
        <x:v>58</x:v>
      </x:c>
      <x:c r="S32" s="42" t="str">
        <x:v>권장권</x:v>
      </x:c>
      <x:c r="T32" s="42" t="str">
        <x:v>추가 약 5일</x:v>
      </x:c>
    </x:row>
    <x:row r="33">
      <x:c r="A33" s="331" t="str">
        <x:v>Stage 21~30 판정</x:v>
      </x:c>
      <x:c r="B33" s="331"/>
      <x:c r="C33" s="331"/>
      <x:c r="D33" s="331"/>
      <x:c r="E33" s="331"/>
      <x:c r="F33" s="331"/>
      <x:c r="G33" s="331"/>
      <x:c r="H33" s="331"/>
      <x:c r="I33" s="331"/>
      <x:c r="J33" s="331"/>
    </x:row>
    <x:row r="34">
      <x:c r="A34" s="115" t="str">
        <x:v>구간</x:v>
      </x:c>
      <x:c r="B34" s="115" t="str">
        <x:v>판정</x:v>
      </x:c>
      <x:c r="C34" s="115" t="str">
        <x:v>설명</x:v>
      </x:c>
      <x:c r="E34" s="333" t="str">
        <x:v>구분</x:v>
      </x:c>
      <x:c r="F34" s="333" t="str">
        <x:v>기존 문구</x:v>
      </x:c>
      <x:c r="G34" s="333" t="str">
        <x:v>V2.1 권장</x:v>
      </x:c>
      <x:c r="H34" s="333" t="str">
        <x:v>이유</x:v>
      </x:c>
      <x:c r="I34" s="333" t="str">
        <x:v>무과금</x:v>
      </x:c>
      <x:c r="J34" s="333" t="str">
        <x:v>결제 역할</x:v>
      </x:c>
    </x:row>
    <x:row r="35">
      <x:c r="A35" s="42" t="str">
        <x:v>Stage21</x:v>
      </x:c>
      <x:c r="B35" s="42" t="str">
        <x:v>약 5일 벽</x:v>
      </x:c>
      <x:c r="C35" s="42" t="str">
        <x:v>Stage20까지의 자연성장만으로는 Lv40권에 부족. 무료 성장재화 2,000/일을 약 5일 모으면 핵심3이 권장 하한에 도달.</x:v>
      </x:c>
      <x:c r="E35" s="42" t="str">
        <x:v>Normal21~25</x:v>
      </x:c>
      <x:c r="F35" s="42" t="str">
        <x:v>반복 파밍 1~3회</x:v>
      </x:c>
      <x:c r="G35" s="42" t="str">
        <x:v>Stage21 약 5일 성장벽 후 연속진행</x:v>
      </x:c>
      <x:c r="H35" s="42" t="str">
        <x:v>3~5일은 '주요 벽' 기준</x:v>
      </x:c>
      <x:c r="I35" s="42" t="str">
        <x:v>무료 재화로 해결</x:v>
      </x:c>
      <x:c r="J35" s="42" t="str">
        <x:v>즉시~1~2일로 단축</x:v>
      </x:c>
    </x:row>
    <x:row r="36">
      <x:c r="A36" s="42" t="str">
        <x:v>Stage22~25</x:v>
      </x:c>
      <x:c r="B36" s="42" t="str">
        <x:v>연속 진행권</x:v>
      </x:c>
      <x:c r="C36" s="42" t="str">
        <x:v>Stage21에서 쌓은 재화를 유지한 채 스테이지 보상이 누적되므로 별도의 3~5일 벽을 매 스테이지마다 만들지 않음.</x:v>
      </x:c>
      <x:c r="E36" s="42" t="str">
        <x:v>Normal26~29</x:v>
      </x:c>
      <x:c r="F36" s="42" t="str">
        <x:v>반복 파밍 1~3회</x:v>
      </x:c>
      <x:c r="G36" s="42" t="str">
        <x:v>Stage26 약 5일 성장벽 후 연속진행</x:v>
      </x:c>
      <x:c r="H36" s="42" t="str">
        <x:v>지역 전환 성장 체크</x:v>
      </x:c>
      <x:c r="I36" s="42" t="str">
        <x:v>무료 재화로 해결</x:v>
      </x:c>
      <x:c r="J36" s="42" t="str">
        <x:v>시간 단축</x:v>
      </x:c>
      <x:c r="L36" t="str">
        <x:v>Stage</x:v>
      </x:c>
      <x:c r="M36" t="str">
        <x:v>권장전투력</x:v>
      </x:c>
      <x:c r="N36" t="str">
        <x:v>압박 상대지수(21=1152)</x:v>
      </x:c>
    </x:row>
    <x:row r="37">
      <x:c r="A37" s="42" t="str">
        <x:v>Stage26</x:v>
      </x:c>
      <x:c r="B37" s="42" t="str">
        <x:v>약 5일 벽</x:v>
      </x:c>
      <x:c r="C37" s="42" t="str">
        <x:v>Stage21 대기재화와 Stage21~25 보상을 모두 누적해도 Lv50권에는 부족하여 추가 약 5일 성장 후 상드라크 진입.</x:v>
      </x:c>
      <x:c r="E37" s="42" t="str">
        <x:v>Normal30</x:v>
      </x:c>
      <x:c r="F37" s="42" t="str">
        <x:v>반복 파밍 1~3회</x:v>
      </x:c>
      <x:c r="G37" s="42" t="str">
        <x:v>Stage30 약 5일 최종 성장벽</x:v>
      </x:c>
      <x:c r="H37" s="42" t="str">
        <x:v>Hard 전 마지막 육성 유도</x:v>
      </x:c>
      <x:c r="I37" s="42" t="str">
        <x:v>무과금 완주</x:v>
      </x:c>
      <x:c r="J37" s="42" t="str">
        <x:v>시간 단축</x:v>
      </x:c>
      <x:c r="L37" t="n">
        <x:v>21</x:v>
      </x:c>
      <x:c r="M37" t="n">
        <x:v>1152</x:v>
      </x:c>
      <x:c r="N37" t="n">
        <x:v>1152</x:v>
      </x:c>
    </x:row>
    <x:row r="38">
      <x:c r="A38" s="42" t="str">
        <x:v>Stage27~29</x:v>
      </x:c>
      <x:c r="B38" s="42" t="str">
        <x:v>연속 진행권</x:v>
      </x:c>
      <x:c r="C38" s="42" t="str">
        <x:v>한계돌파 II와 4번째 코어를 활용하며 진행. 배치/조합에 따라 소규모 재도전은 가능.</x:v>
      </x:c>
      <x:c r="L38" t="n">
        <x:v>22</x:v>
      </x:c>
      <x:c r="M38" t="n">
        <x:v>1302</x:v>
      </x:c>
      <x:c r="N38" t="n">
        <x:v>1176.6439135400728</x:v>
      </x:c>
    </x:row>
    <x:row r="39">
      <x:c r="A39" s="42" t="str">
        <x:v>Stage30</x:v>
      </x:c>
      <x:c r="B39" s="42" t="str">
        <x:v>약 5일 벽</x:v>
      </x:c>
      <x:c r="C39" s="42" t="str">
        <x:v>Normal 최종보스 안정 목표를 Lv58로 잡으면 Stage29 이후 추가 약 5일 무료 성장으로 안정권.</x:v>
      </x:c>
      <x:c r="L39" t="n">
        <x:v>23</x:v>
      </x:c>
      <x:c r="M39" t="n">
        <x:v>1471</x:v>
      </x:c>
      <x:c r="N39" t="n">
        <x:v>1272.4205406048795</x:v>
      </x:c>
    </x:row>
    <x:row r="40">
      <x:c r="A40" s="42" t="str">
        <x:v>전체</x:v>
      </x:c>
      <x:c r="B40" s="42" t="str">
        <x:v>의도 일치</x:v>
      </x:c>
      <x:c r="C40" s="42" t="str">
        <x:v>Normal 21~30 전체가 매 스테이지 3~5일 막히는 것이 아니라, 21·26·30의 주요 벽에서 3~5일씩 성장하고 사이 스테이지는 진행하는 구조.</x:v>
      </x:c>
      <x:c r="L40" t="n">
        <x:v>24</x:v>
      </x:c>
      <x:c r="M40" t="n">
        <x:v>1663</x:v>
      </x:c>
      <x:c r="N40" t="n">
        <x:v>1434.227047241715</x:v>
      </x:c>
    </x:row>
    <x:row r="41">
      <x:c r="E41" s="340" t="str">
        <x:v>핵심벽</x:v>
      </x:c>
      <x:c r="F41" s="340" t="str">
        <x:v>대기일</x:v>
      </x:c>
      <x:c r="G41" s="340" t="str">
        <x:v>누적 무료대기일</x:v>
      </x:c>
      <x:c r="H41" s="340" t="str">
        <x:v>진입 핵심3 Lv</x:v>
      </x:c>
      <x:c r="I41" s="340" t="str">
        <x:v>권장 목표</x:v>
      </x:c>
      <x:c r="J41" s="340" t="str">
        <x:v>결론</x:v>
      </x:c>
      <x:c r="L41" t="n">
        <x:v>25</x:v>
      </x:c>
      <x:c r="M41" t="n">
        <x:v>1879</x:v>
      </x:c>
      <x:c r="N41" t="n">
        <x:v>1464.0555518633932</x:v>
      </x:c>
    </x:row>
    <x:row r="42">
      <x:c r="E42" t="str">
        <x:v>21</x:v>
      </x:c>
      <x:c r="F42" t="n">
        <x:v>5</x:v>
      </x:c>
      <x:c r="G42" t="n">
        <x:v>5</x:v>
      </x:c>
      <x:c r="H42" t="n">
        <x:v>40</x:v>
      </x:c>
      <x:c r="I42" t="str">
        <x:v>Lv40</x:v>
      </x:c>
      <x:c r="J42" t="str">
        <x:v>정확히 목표권</x:v>
      </x:c>
      <x:c r="L42" t="n">
        <x:v>26</x:v>
      </x:c>
      <x:c r="M42" t="n">
        <x:v>2123</x:v>
      </x:c>
      <x:c r="N42" t="n">
        <x:v>1716.0539254719577</x:v>
      </x:c>
    </x:row>
    <x:row r="43">
      <x:c r="E43" t="str">
        <x:v>26</x:v>
      </x:c>
      <x:c r="F43" t="n">
        <x:v>5</x:v>
      </x:c>
      <x:c r="G43" t="n">
        <x:v>10</x:v>
      </x:c>
      <x:c r="H43" t="n">
        <x:v>50</x:v>
      </x:c>
      <x:c r="I43" t="str">
        <x:v>Lv50</x:v>
      </x:c>
      <x:c r="J43" t="str">
        <x:v>정확히 목표권</x:v>
      </x:c>
      <x:c r="L43" t="n">
        <x:v>27</x:v>
      </x:c>
      <x:c r="M43" t="n">
        <x:v>2399</x:v>
      </x:c>
      <x:c r="N43" t="n">
        <x:v>1770.1530918863878</x:v>
      </x:c>
    </x:row>
    <x:row r="44">
      <x:c r="E44" t="str">
        <x:v>30</x:v>
      </x:c>
      <x:c r="F44" t="n">
        <x:v>5</x:v>
      </x:c>
      <x:c r="G44" t="n">
        <x:v>15</x:v>
      </x:c>
      <x:c r="H44" t="n">
        <x:v>58</x:v>
      </x:c>
      <x:c r="I44" t="str">
        <x:v>Lv58</x:v>
      </x:c>
      <x:c r="J44" t="str">
        <x:v>Normal 최종 안정권</x:v>
      </x:c>
      <x:c r="L44" t="n">
        <x:v>28</x:v>
      </x:c>
      <x:c r="M44" t="n">
        <x:v>2711</x:v>
      </x:c>
      <x:c r="N44" t="n">
        <x:v>1988.0851250685314</x:v>
      </x:c>
    </x:row>
    <x:row r="45">
      <x:c r="L45" t="n">
        <x:v>29</x:v>
      </x:c>
      <x:c r="M45" t="n">
        <x:v>3063</x:v>
      </x:c>
      <x:c r="N45" t="n">
        <x:v>2190.0210869958723</x:v>
      </x:c>
    </x:row>
    <x:row r="46">
      <x:c r="L46" t="n">
        <x:v>30</x:v>
      </x:c>
      <x:c r="M46" t="n">
        <x:v>3462</x:v>
      </x:c>
      <x:c r="N46" t="n">
        <x:v>2375.2514340690877</x:v>
      </x:c>
    </x:row>
  </x:sheetData>
  <x:mergeCells>
    <x:mergeCell ref="A1:T1"/>
    <x:mergeCell ref="A25:T25"/>
    <x:mergeCell ref="A33:J33"/>
  </x:mergeCells>
  <x:conditionalFormatting sqref="T13:T2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fa966bd7e65f43c8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2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26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4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6" hidden="0" customWidth="1"/>
    <x:col min="20" max="20" width="38" hidden="0" customWidth="1"/>
  </x:cols>
  <x:sheetData>
    <x:row r="1">
      <x:c r="A1" s="343" t="str">
        <x:v>HARD Stage 31~36 — 무과금 1주 성장벽 시뮬레이션 V2.3</x:v>
      </x:c>
      <x:c r="B1" s="343"/>
      <x:c r="C1" s="343"/>
      <x:c r="D1" s="343"/>
      <x:c r="E1" s="343"/>
      <x:c r="F1" s="343"/>
      <x:c r="G1" s="343"/>
      <x:c r="H1" s="343"/>
      <x:c r="I1" s="343"/>
      <x:c r="J1" s="343"/>
      <x:c r="K1" s="343"/>
      <x:c r="L1" s="343"/>
      <x:c r="M1" s="343"/>
      <x:c r="N1" s="343"/>
      <x:c r="O1" s="343"/>
      <x:c r="P1" s="343"/>
      <x:c r="Q1" s="343"/>
      <x:c r="R1" s="343"/>
      <x:c r="S1" s="343"/>
      <x:c r="T1" s="343"/>
    </x:row>
    <x:row r="3">
      <x:c r="A3" s="347" t="str">
        <x:v>항목</x:v>
      </x:c>
      <x:c r="B3" s="347" t="str">
        <x:v>권장 후보</x:v>
      </x:c>
      <x:c r="C3" s="347" t="str">
        <x:v>성격</x:v>
      </x:c>
      <x:c r="D3" s="347" t="str">
        <x:v>적용</x:v>
      </x:c>
      <x:c r="E3" s="347" t="str">
        <x:v>목적</x:v>
      </x:c>
      <x:c r="F3" s="347" t="str">
        <x:v>비고</x:v>
      </x:c>
    </x:row>
    <x:row r="4">
      <x:c r="A4" s="42" t="str">
        <x:v>Hard31 시작 성장재화</x:v>
      </x:c>
      <x:c r="B4" s="42" t="str">
        <x:v>57,470</x:v>
      </x:c>
      <x:c r="C4" s="42" t="str">
        <x:v>V2.2 이월</x:v>
      </x:c>
      <x:c r="D4" s="42" t="str">
        <x:v>Stage30 클리어 후</x:v>
      </x:c>
      <x:c r="E4" s="42" t="str">
        <x:v>Normal 성장 누적 연속</x:v>
      </x:c>
      <x:c r="F4" s="42" t="str">
        <x:v>Stage30 보상 2,300 포함</x:v>
      </x:c>
    </x:row>
    <x:row r="5">
      <x:c r="A5" s="42" t="str">
        <x:v>Hard 무료 일일 성장재화</x:v>
      </x:c>
      <x:c r="B5" s="42" t="str">
        <x:v>3,000/일</x:v>
      </x:c>
      <x:c r="C5" s="42" t="str">
        <x:v>V2.3 후보</x:v>
      </x:c>
      <x:c r="D5" s="42" t="str">
        <x:v>Hard 막힘 시</x:v>
      </x:c>
      <x:c r="E5" s="42" t="str">
        <x:v>주요 벽 약 1주</x:v>
      </x:c>
      <x:c r="F5" s="42" t="str">
        <x:v>Normal 후반 2,000/일보다 상위 무료 콘텐츠 보상 증가</x:v>
      </x:c>
    </x:row>
    <x:row r="6">
      <x:c r="A6" s="42" t="str">
        <x:v>한계돌파 III</x:v>
      </x:c>
      <x:c r="B6" s="42" t="str">
        <x:v>1,500 + 코어 III 1</x:v>
      </x:c>
      <x:c r="C6" s="42" t="str">
        <x:v>V2.3 후보</x:v>
      </x:c>
      <x:c r="D6" s="42" t="str">
        <x:v>Lv60 후</x:v>
      </x:c>
      <x:c r="E6" s="42" t="str">
        <x:v>Lv60~80 진입</x:v>
      </x:c>
      <x:c r="F6" s="42" t="str">
        <x:v>기본스탯 +6%, Skill3(필살기) 해금</x:v>
      </x:c>
    </x:row>
    <x:row r="7">
      <x:c r="A7" s="42" t="str">
        <x:v>코어 III 지급</x:v>
      </x:c>
      <x:c r="B7" s="42" t="str">
        <x:v>Stage30 3 / Stage33 +1 / Stage36 +1</x:v>
      </x:c>
      <x:c r="C7" s="42" t="str">
        <x:v>V2.3 후보</x:v>
      </x:c>
      <x:c r="D7" s="42" t="str">
        <x:v>Hard 지역 마감</x:v>
      </x:c>
      <x:c r="E7" s="42" t="str">
        <x:v>주력3→4→5 확장</x:v>
      </x:c>
      <x:c r="F7" s="42" t="str">
        <x:v>무과금으로 5인 최종 확보</x:v>
      </x:c>
    </x:row>
    <x:row r="8">
      <x:c r="A8" s="42" t="str">
        <x:v>Lv60~80 비용</x:v>
      </x:c>
      <x:c r="B8" s="42" t="str">
        <x:v>900 + 35×(현재Lv-60)</x:v>
      </x:c>
      <x:c r="C8" s="42" t="str">
        <x:v>V2.3 후보</x:v>
      </x:c>
      <x:c r="D8" s="42" t="str">
        <x:v>한계돌파 III 이후</x:v>
      </x:c>
      <x:c r="E8" s="42" t="str">
        <x:v>Hard 성장속도 제어</x:v>
      </x:c>
      <x:c r="F8" s="42" t="str">
        <x:v>1주 성장 체감 확보</x:v>
      </x:c>
    </x:row>
    <x:row r="9">
      <x:c r="A9" s="42" t="str">
        <x:v>Hard31~36 스테이지 성장재화</x:v>
      </x:c>
      <x:c r="B9" s="42" t="str">
        <x:v>17,400</x:v>
      </x:c>
      <x:c r="C9" s="42" t="str">
        <x:v>V2.3 후보</x:v>
      </x:c>
      <x:c r="D9" s="42" t="str">
        <x:v>최초 클리어</x:v>
      </x:c>
      <x:c r="E9" s="42" t="str">
        <x:v>벽 사이 진행 보조</x:v>
      </x:c>
      <x:c r="F9" s="42" t="str">
        <x:v>일일 무료재화와 별도</x:v>
      </x:c>
    </x:row>
    <x:row r="12">
      <x:c r="A12" s="351" t="str">
        <x:v>Stage</x:v>
      </x:c>
      <x:c r="B12" s="351" t="str">
        <x:v>지역</x:v>
      </x:c>
      <x:c r="C12" s="351" t="str">
        <x:v>클리어 성장재화</x:v>
      </x:c>
      <x:c r="D12" s="351" t="str">
        <x:v>코어III</x:v>
      </x:c>
      <x:c r="E12" s="351" t="str">
        <x:v>누적 스테이지재화</x:v>
      </x:c>
      <x:c r="F12" s="351" t="str">
        <x:v>총 재화(대기 제외)</x:v>
      </x:c>
      <x:c r="G12" s="351" t="str">
        <x:v>권장전투력</x:v>
      </x:c>
      <x:c r="H12" s="351" t="str">
        <x:v>권장Lv</x:v>
      </x:c>
      <x:c r="I12" s="351" t="str">
        <x:v>보스</x:v>
      </x:c>
      <x:c r="J12" s="351" t="str">
        <x:v>보스HP</x:v>
      </x:c>
      <x:c r="K12" s="351" t="str">
        <x:v>보스DEF</x:v>
      </x:c>
      <x:c r="L12" s="351" t="str">
        <x:v>평균 압박</x:v>
      </x:c>
      <x:c r="M12" s="351" t="str">
        <x:v>전Stage 대비</x:v>
      </x:c>
      <x:c r="N12" s="351" t="str">
        <x:v>코어III 누적</x:v>
      </x:c>
      <x:c r="O12" s="351" t="str">
        <x:v>3인 자연Lv</x:v>
      </x:c>
      <x:c r="P12" s="351" t="str">
        <x:v>4인 자연Lv</x:v>
      </x:c>
      <x:c r="Q12" s="351" t="str">
        <x:v>5인 자연Lv</x:v>
      </x:c>
      <x:c r="R12" s="351" t="str">
        <x:v>구간 추가 대기일</x:v>
      </x:c>
      <x:c r="S12" s="351" t="str">
        <x:v>체감</x:v>
      </x:c>
      <x:c r="T12" s="351" t="str">
        <x:v>설계 메모</x:v>
      </x:c>
    </x:row>
    <x:row r="13">
      <x:c r="A13" s="42" t="n">
        <x:v>31</x:v>
      </x:c>
      <x:c r="B13" s="42" t="str">
        <x:v>타락한 서부</x:v>
      </x:c>
      <x:c r="C13" s="42" t="n">
        <x:v>2300</x:v>
      </x:c>
      <x:c r="D13" s="42" t="n">
        <x:v>0</x:v>
      </x:c>
      <x:c r="E13" s="42" t="n">
        <x:v>2300</x:v>
      </x:c>
      <x:c r="F13" s="42" t="n">
        <x:v>59770</x:v>
      </x:c>
      <x:c r="G13" s="42" t="n">
        <x:v>5200</x:v>
      </x:c>
      <x:c r="H13" s="42" t="str">
        <x:v>Lv60~70</x:v>
      </x:c>
      <x:c r="I13" s="42" t="str">
        <x:v>타락한 철각왕 브라움</x:v>
      </x:c>
      <x:c r="J13" s="42" t="n">
        <x:v>62000</x:v>
      </x:c>
      <x:c r="K13" s="42" t="n">
        <x:v>95</x:v>
      </x:c>
      <x:c r="L13" s="42" t="n">
        <x:v>49048</x:v>
      </x:c>
      <x:c r="M13" s="246" t="n">
        <x:v>0</x:v>
      </x:c>
      <x:c r="N13" s="42" t="n">
        <x:v>3</x:v>
      </x:c>
      <x:c r="O13" s="42" t="n">
        <x:v>60</x:v>
      </x:c>
      <x:c r="P13" s="42" t="n">
        <x:v>53</x:v>
      </x:c>
      <x:c r="Q13" s="42" t="n">
        <x:v>48</x:v>
      </x:c>
      <x:c r="R13" s="42" t="n">
        <x:v>7</x:v>
      </x:c>
      <x:c r="S13" s="42" t="str">
        <x:v>1주 성장벽</x:v>
      </x:c>
      <x:c r="T13" s="42" t="str">
        <x:v>Hard 첫 진입: 핵심3 Lv65 안정권 목표</x:v>
      </x:c>
    </x:row>
    <x:row r="14">
      <x:c r="A14" s="42" t="n">
        <x:v>32</x:v>
      </x:c>
      <x:c r="B14" s="42" t="str">
        <x:v>타락한 서부</x:v>
      </x:c>
      <x:c r="C14" s="42" t="n">
        <x:v>2500</x:v>
      </x:c>
      <x:c r="D14" s="42" t="n">
        <x:v>0</x:v>
      </x:c>
      <x:c r="E14" s="42" t="n">
        <x:v>4800</x:v>
      </x:c>
      <x:c r="F14" s="42" t="n">
        <x:v>62270</x:v>
      </x:c>
      <x:c r="G14" s="42" t="n">
        <x:v>5590</x:v>
      </x:c>
      <x:c r="H14" s="42" t="str">
        <x:v>Lv60~70</x:v>
      </x:c>
      <x:c r="I14" s="42" t="str">
        <x:v>침식된 광산왕 모르겐</x:v>
      </x:c>
      <x:c r="J14" s="42" t="n">
        <x:v>68510</x:v>
      </x:c>
      <x:c r="K14" s="42" t="n">
        <x:v>100</x:v>
      </x:c>
      <x:c r="L14" s="42" t="n">
        <x:v>55421</x:v>
      </x:c>
      <x:c r="M14" s="246" t="n">
        <x:v>0.12993886658088494</x:v>
      </x:c>
      <x:c r="N14" s="42" t="n">
        <x:v>3</x:v>
      </x:c>
      <x:c r="O14" s="42" t="n">
        <x:v>60</x:v>
      </x:c>
      <x:c r="P14" s="42" t="n">
        <x:v>54</x:v>
      </x:c>
      <x:c r="Q14" s="42" t="n">
        <x:v>49</x:v>
      </x:c>
      <x:c r="R14" s="42" t="n">
        <x:v>0</x:v>
      </x:c>
      <x:c r="S14" s="42" t="str">
        <x:v>진행 구간</x:v>
      </x:c>
      <x:c r="T14" s="42" t="str">
        <x:v>이전 성장벽에서 확보한 전력으로 연속 진행</x:v>
      </x:c>
    </x:row>
    <x:row r="15">
      <x:c r="A15" s="42" t="n">
        <x:v>33</x:v>
      </x:c>
      <x:c r="B15" s="42" t="str">
        <x:v>타락한 서부</x:v>
      </x:c>
      <x:c r="C15" s="42" t="n">
        <x:v>3200</x:v>
      </x:c>
      <x:c r="D15" s="42" t="n">
        <x:v>1</x:v>
      </x:c>
      <x:c r="E15" s="42" t="n">
        <x:v>8000</x:v>
      </x:c>
      <x:c r="F15" s="42" t="n">
        <x:v>65470</x:v>
      </x:c>
      <x:c r="G15" s="42" t="n">
        <x:v>6009</x:v>
      </x:c>
      <x:c r="H15" s="42" t="str">
        <x:v>Lv60~70</x:v>
      </x:c>
      <x:c r="I15" s="42" t="str">
        <x:v>침식에 물들은 서부의 설화</x:v>
      </x:c>
      <x:c r="J15" s="42" t="n">
        <x:v>75704</x:v>
      </x:c>
      <x:c r="K15" s="42" t="n">
        <x:v>105</x:v>
      </x:c>
      <x:c r="L15" s="42" t="n">
        <x:v>63539</x:v>
      </x:c>
      <x:c r="M15" s="246" t="n">
        <x:v>0.14648702347095544</x:v>
      </x:c>
      <x:c r="N15" s="42" t="n">
        <x:v>4</x:v>
      </x:c>
      <x:c r="O15" s="42" t="n">
        <x:v>60</x:v>
      </x:c>
      <x:c r="P15" s="42" t="n">
        <x:v>55</x:v>
      </x:c>
      <x:c r="Q15" s="42" t="n">
        <x:v>50</x:v>
      </x:c>
      <x:c r="R15" s="42" t="n">
        <x:v>0</x:v>
      </x:c>
      <x:c r="S15" s="42" t="str">
        <x:v>진행 구간</x:v>
      </x:c>
      <x:c r="T15" s="42" t="str">
        <x:v>이전 성장벽에서 확보한 전력으로 연속 진행</x:v>
      </x:c>
    </x:row>
    <x:row r="16">
      <x:c r="A16" s="42" t="n">
        <x:v>34</x:v>
      </x:c>
      <x:c r="B16" s="42" t="str">
        <x:v>타락한 북부</x:v>
      </x:c>
      <x:c r="C16" s="42" t="n">
        <x:v>2700</x:v>
      </x:c>
      <x:c r="D16" s="42" t="n">
        <x:v>0</x:v>
      </x:c>
      <x:c r="E16" s="42" t="n">
        <x:v>10700</x:v>
      </x:c>
      <x:c r="F16" s="42" t="n">
        <x:v>68170</x:v>
      </x:c>
      <x:c r="G16" s="42" t="n">
        <x:v>6460</x:v>
      </x:c>
      <x:c r="H16" s="42" t="str">
        <x:v>Lv60~70</x:v>
      </x:c>
      <x:c r="I16" s="42" t="str">
        <x:v>침식된 백야왕 펜리르</x:v>
      </x:c>
      <x:c r="J16" s="42" t="n">
        <x:v>83652</x:v>
      </x:c>
      <x:c r="K16" s="42" t="n">
        <x:v>110</x:v>
      </x:c>
      <x:c r="L16" s="42" t="n">
        <x:v>89449</x:v>
      </x:c>
      <x:c r="M16" s="246" t="n">
        <x:v>0.4077767759104278</x:v>
      </x:c>
      <x:c r="N16" s="42" t="n">
        <x:v>4</x:v>
      </x:c>
      <x:c r="O16" s="42" t="n">
        <x:v>61</x:v>
      </x:c>
      <x:c r="P16" s="42" t="n">
        <x:v>56</x:v>
      </x:c>
      <x:c r="Q16" s="42" t="n">
        <x:v>51</x:v>
      </x:c>
      <x:c r="R16" s="42" t="n">
        <x:v>6</x:v>
      </x:c>
      <x:c r="S16" s="42" t="str">
        <x:v>1주 성장벽</x:v>
      </x:c>
      <x:c r="T16" s="42" t="str">
        <x:v>4번째 코어 확보 후 4인 파티 Lv65권 목표</x:v>
      </x:c>
    </x:row>
    <x:row r="17">
      <x:c r="A17" s="42" t="n">
        <x:v>35</x:v>
      </x:c>
      <x:c r="B17" s="42" t="str">
        <x:v>타락한 북부</x:v>
      </x:c>
      <x:c r="C17" s="42" t="n">
        <x:v>2900</x:v>
      </x:c>
      <x:c r="D17" s="42" t="n">
        <x:v>0</x:v>
      </x:c>
      <x:c r="E17" s="42" t="n">
        <x:v>13600</x:v>
      </x:c>
      <x:c r="F17" s="42" t="n">
        <x:v>71070</x:v>
      </x:c>
      <x:c r="G17" s="42" t="n">
        <x:v>6944</x:v>
      </x:c>
      <x:c r="H17" s="42" t="str">
        <x:v>Lv60~70</x:v>
      </x:c>
      <x:c r="I17" s="42" t="str">
        <x:v>검은 빙벽거인 요툰</x:v>
      </x:c>
      <x:c r="J17" s="42" t="n">
        <x:v>92436</x:v>
      </x:c>
      <x:c r="K17" s="42" t="n">
        <x:v>115</x:v>
      </x:c>
      <x:c r="L17" s="42" t="n">
        <x:v>100243</x:v>
      </x:c>
      <x:c r="M17" s="246" t="n">
        <x:v>0.1206721508540951</x:v>
      </x:c>
      <x:c r="N17" s="42" t="n">
        <x:v>4</x:v>
      </x:c>
      <x:c r="O17" s="42" t="n">
        <x:v>62</x:v>
      </x:c>
      <x:c r="P17" s="42" t="n">
        <x:v>57</x:v>
      </x:c>
      <x:c r="Q17" s="42" t="n">
        <x:v>52</x:v>
      </x:c>
      <x:c r="R17" s="42" t="n">
        <x:v>0</x:v>
      </x:c>
      <x:c r="S17" s="42" t="str">
        <x:v>진행 구간</x:v>
      </x:c>
      <x:c r="T17" s="42" t="str">
        <x:v>이전 성장벽에서 확보한 전력으로 연속 진행</x:v>
      </x:c>
    </x:row>
    <x:row r="18">
      <x:c r="A18" s="42" t="n">
        <x:v>36</x:v>
      </x:c>
      <x:c r="B18" s="42" t="str">
        <x:v>타락한 북부</x:v>
      </x:c>
      <x:c r="C18" s="42" t="n">
        <x:v>3800</x:v>
      </x:c>
      <x:c r="D18" s="42" t="n">
        <x:v>1</x:v>
      </x:c>
      <x:c r="E18" s="42" t="n">
        <x:v>17400</x:v>
      </x:c>
      <x:c r="F18" s="42" t="n">
        <x:v>74870</x:v>
      </x:c>
      <x:c r="G18" s="42" t="n">
        <x:v>7465</x:v>
      </x:c>
      <x:c r="H18" s="42" t="str">
        <x:v>Lv60~70</x:v>
      </x:c>
      <x:c r="I18" s="42" t="str">
        <x:v>침식에 물들은 북부의 설화</x:v>
      </x:c>
      <x:c r="J18" s="42" t="n">
        <x:v>102142</x:v>
      </x:c>
      <x:c r="K18" s="42" t="n">
        <x:v>120</x:v>
      </x:c>
      <x:c r="L18" s="42" t="n">
        <x:v>112890</x:v>
      </x:c>
      <x:c r="M18" s="246" t="n">
        <x:v>0.12615919372798534</x:v>
      </x:c>
      <x:c r="N18" s="42" t="n">
        <x:v>5</x:v>
      </x:c>
      <x:c r="O18" s="42" t="n">
        <x:v>63</x:v>
      </x:c>
      <x:c r="P18" s="42" t="n">
        <x:v>58</x:v>
      </x:c>
      <x:c r="Q18" s="42" t="n">
        <x:v>53</x:v>
      </x:c>
      <x:c r="R18" s="42" t="n">
        <x:v>3</x:v>
      </x:c>
      <x:c r="S18" s="42" t="str">
        <x:v>보조 체크</x:v>
      </x:c>
      <x:c r="T18" s="42" t="str">
        <x:v>지역 보스 안정 목표 Lv68</x:v>
      </x:c>
    </x:row>
    <x:row r="21">
      <x:c r="A21" s="354" t="str">
        <x:v>주요 성장벽 순차 검증</x:v>
      </x:c>
      <x:c r="B21" s="354"/>
      <x:c r="C21" s="354"/>
      <x:c r="D21" s="354"/>
      <x:c r="E21" s="354"/>
      <x:c r="F21" s="354"/>
      <x:c r="G21" s="354"/>
      <x:c r="H21" s="354"/>
      <x:c r="I21" s="354"/>
      <x:c r="J21" s="354"/>
      <x:c r="K21" s="354"/>
      <x:c r="L21" s="354"/>
      <x:c r="M21" s="354"/>
      <x:c r="N21" s="354"/>
      <x:c r="O21" s="354"/>
      <x:c r="P21" s="354"/>
      <x:c r="Q21" s="354"/>
      <x:c r="R21" s="354"/>
      <x:c r="S21" s="354"/>
      <x:c r="T21" s="354"/>
    </x:row>
    <x:row r="22">
      <x:c r="A22" s="357" t="str">
        <x:v>벽</x:v>
      </x:c>
      <x:c r="B22" s="357" t="str">
        <x:v>진입 재화</x:v>
      </x:c>
      <x:c r="C22" s="357" t="str">
        <x:v>목표</x:v>
      </x:c>
      <x:c r="D22" s="357" t="str">
        <x:v>필요 재화</x:v>
      </x:c>
      <x:c r="E22" s="357" t="str">
        <x:v>부족분</x:v>
      </x:c>
      <x:c r="F22" s="357" t="str">
        <x:v>무료 일일재화</x:v>
      </x:c>
      <x:c r="G22" s="357" t="str">
        <x:v>대기일</x:v>
      </x:c>
      <x:c r="H22" s="357" t="str">
        <x:v>대기 후 재화</x:v>
      </x:c>
      <x:c r="I22" s="357" t="str">
        <x:v>판정</x:v>
      </x:c>
      <x:c r="J22" s="357" t="str">
        <x:v>의도</x:v>
      </x:c>
      <x:c r="L22" s="361" t="str">
        <x:v>진행 지점</x:v>
      </x:c>
      <x:c r="M22" s="361" t="str">
        <x:v>추가 대기일</x:v>
      </x:c>
      <x:c r="N22" s="361" t="str">
        <x:v>누적 대기일</x:v>
      </x:c>
      <x:c r="O22" s="361" t="str">
        <x:v>클리어 보상 누적</x:v>
      </x:c>
      <x:c r="P22" s="361" t="str">
        <x:v>총 재화</x:v>
      </x:c>
      <x:c r="Q22" s="361" t="str">
        <x:v>주력 인원</x:v>
      </x:c>
      <x:c r="R22" s="361" t="str">
        <x:v>평균Lv</x:v>
      </x:c>
      <x:c r="S22" s="361" t="str">
        <x:v>목표</x:v>
      </x:c>
      <x:c r="T22" s="361" t="str">
        <x:v>판정</x:v>
      </x:c>
    </x:row>
    <x:row r="23">
      <x:c r="A23" s="42" t="str">
        <x:v>Stage30→31</x:v>
      </x:c>
      <x:c r="B23" s="42" t="n">
        <x:v>57470</x:v>
      </x:c>
      <x:c r="C23" s="42" t="str">
        <x:v>핵심3 평균 Lv65</x:v>
      </x:c>
      <x:c r="D23" s="42" t="n">
        <x:v>78350</x:v>
      </x:c>
      <x:c r="E23" s="42" t="n">
        <x:v>20880</x:v>
      </x:c>
      <x:c r="F23" s="42" t="n">
        <x:v>3000</x:v>
      </x:c>
      <x:c r="G23" s="42" t="n">
        <x:v>7</x:v>
      </x:c>
      <x:c r="H23" s="42" t="n">
        <x:v>78470</x:v>
      </x:c>
      <x:c r="I23" s="42" t="str">
        <x:v>약 1주</x:v>
      </x:c>
      <x:c r="J23" s="42" t="str">
        <x:v>Hard 첫 명확한 성장벽</x:v>
      </x:c>
      <x:c r="L23" s="42" t="str">
        <x:v>Stage30 직후</x:v>
      </x:c>
      <x:c r="M23" s="42" t="n">
        <x:v>0</x:v>
      </x:c>
      <x:c r="N23" s="42" t="n">
        <x:v>0</x:v>
      </x:c>
      <x:c r="O23" s="42" t="n">
        <x:v>0</x:v>
      </x:c>
      <x:c r="P23" s="42" t="n">
        <x:v>57470</x:v>
      </x:c>
      <x:c r="Q23" s="42" t="n">
        <x:v>3</x:v>
      </x:c>
      <x:c r="R23" s="42" t="n">
        <x:v>59</x:v>
      </x:c>
      <x:c r="S23" s="42" t="str">
        <x:v>Lv65</x:v>
      </x:c>
      <x:c r="T23" s="42" t="str">
        <x:v>부족</x:v>
      </x:c>
    </x:row>
    <x:row r="24">
      <x:c r="A24" s="42" t="str">
        <x:v>Stage33→34</x:v>
      </x:c>
      <x:c r="B24" s="42" t="n">
        <x:v>86470</x:v>
      </x:c>
      <x:c r="C24" s="42" t="str">
        <x:v>핵심4 평균 Lv65</x:v>
      </x:c>
      <x:c r="D24" s="42" t="n">
        <x:v>104460</x:v>
      </x:c>
      <x:c r="E24" s="42" t="n">
        <x:v>17990</x:v>
      </x:c>
      <x:c r="F24" s="42" t="n">
        <x:v>3000</x:v>
      </x:c>
      <x:c r="G24" s="42" t="n">
        <x:v>6</x:v>
      </x:c>
      <x:c r="H24" s="42" t="n">
        <x:v>104470</x:v>
      </x:c>
      <x:c r="I24" s="42" t="str">
        <x:v>약 1주</x:v>
      </x:c>
      <x:c r="J24" s="42" t="str">
        <x:v>4번째 코어 활용/북부 진입벽</x:v>
      </x:c>
      <x:c r="L24" s="42" t="str">
        <x:v>Stage31 진입</x:v>
      </x:c>
      <x:c r="M24" s="42" t="n">
        <x:v>7</x:v>
      </x:c>
      <x:c r="N24" s="42" t="n">
        <x:v>7</x:v>
      </x:c>
      <x:c r="O24" s="42" t="n">
        <x:v>0</x:v>
      </x:c>
      <x:c r="P24" s="42" t="n">
        <x:v>78470</x:v>
      </x:c>
      <x:c r="Q24" s="42" t="n">
        <x:v>3</x:v>
      </x:c>
      <x:c r="R24" s="42" t="n">
        <x:v>65</x:v>
      </x:c>
      <x:c r="S24" s="42" t="str">
        <x:v>Lv65</x:v>
      </x:c>
      <x:c r="T24" s="42" t="str">
        <x:v>권장권</x:v>
      </x:c>
    </x:row>
    <x:row r="25">
      <x:c r="A25" s="42" t="str">
        <x:v>Stage35→36</x:v>
      </x:c>
      <x:c r="B25" s="42" t="n">
        <x:v>110070</x:v>
      </x:c>
      <x:c r="C25" s="42" t="str">
        <x:v>핵심4 평균 Lv68</x:v>
      </x:c>
      <x:c r="D25" s="42" t="n">
        <x:v>117780</x:v>
      </x:c>
      <x:c r="E25" s="42" t="n">
        <x:v>7710</x:v>
      </x:c>
      <x:c r="F25" s="42" t="n">
        <x:v>3000</x:v>
      </x:c>
      <x:c r="G25" s="42" t="n">
        <x:v>3</x:v>
      </x:c>
      <x:c r="H25" s="42" t="n">
        <x:v>119070</x:v>
      </x:c>
      <x:c r="I25" s="42" t="str">
        <x:v>보조 체크</x:v>
      </x:c>
      <x:c r="J25" s="42" t="str">
        <x:v>북부 지역보스 전 미세 성장</x:v>
      </x:c>
      <x:c r="L25" s="42" t="str">
        <x:v>Stage33 클리어</x:v>
      </x:c>
      <x:c r="M25" s="42" t="n">
        <x:v>0</x:v>
      </x:c>
      <x:c r="N25" s="42" t="n">
        <x:v>7</x:v>
      </x:c>
      <x:c r="O25" s="42" t="n">
        <x:v>8000</x:v>
      </x:c>
      <x:c r="P25" s="42" t="n">
        <x:v>86470</x:v>
      </x:c>
      <x:c r="Q25" s="42" t="n">
        <x:v>4</x:v>
      </x:c>
      <x:c r="R25" s="42" t="n">
        <x:v>60</x:v>
      </x:c>
      <x:c r="S25" s="42" t="str">
        <x:v>Lv65</x:v>
      </x:c>
      <x:c r="T25" s="42" t="str">
        <x:v>다음 벽</x:v>
      </x:c>
    </x:row>
    <x:row r="26">
      <x:c r="L26" s="42" t="str">
        <x:v>Stage34 진입</x:v>
      </x:c>
      <x:c r="M26" s="42" t="n">
        <x:v>6</x:v>
      </x:c>
      <x:c r="N26" s="42" t="n">
        <x:v>13</x:v>
      </x:c>
      <x:c r="O26" s="42" t="n">
        <x:v>8000</x:v>
      </x:c>
      <x:c r="P26" s="42" t="n">
        <x:v>104470</x:v>
      </x:c>
      <x:c r="Q26" s="42" t="n">
        <x:v>4</x:v>
      </x:c>
      <x:c r="R26" s="42" t="n">
        <x:v>65</x:v>
      </x:c>
      <x:c r="S26" s="42" t="str">
        <x:v>Lv65</x:v>
      </x:c>
      <x:c r="T26" s="42" t="str">
        <x:v>권장권</x:v>
      </x:c>
    </x:row>
    <x:row r="27">
      <x:c r="L27" s="42" t="str">
        <x:v>Stage35 클리어</x:v>
      </x:c>
      <x:c r="M27" s="42" t="n">
        <x:v>0</x:v>
      </x:c>
      <x:c r="N27" s="42" t="n">
        <x:v>13</x:v>
      </x:c>
      <x:c r="O27" s="42" t="n">
        <x:v>13600</x:v>
      </x:c>
      <x:c r="P27" s="42" t="n">
        <x:v>110070</x:v>
      </x:c>
      <x:c r="Q27" s="42" t="n">
        <x:v>4</x:v>
      </x:c>
      <x:c r="R27" s="42" t="n">
        <x:v>66</x:v>
      </x:c>
      <x:c r="S27" s="42" t="str">
        <x:v>Lv68</x:v>
      </x:c>
      <x:c r="T27" s="42" t="str">
        <x:v>다음 체크</x:v>
      </x:c>
    </x:row>
    <x:row r="28">
      <x:c r="L28" s="42" t="str">
        <x:v>Stage36 진입</x:v>
      </x:c>
      <x:c r="M28" s="42" t="n">
        <x:v>3</x:v>
      </x:c>
      <x:c r="N28" s="42" t="n">
        <x:v>16</x:v>
      </x:c>
      <x:c r="O28" s="42" t="n">
        <x:v>13600</x:v>
      </x:c>
      <x:c r="P28" s="42" t="n">
        <x:v>119070</x:v>
      </x:c>
      <x:c r="Q28" s="42" t="n">
        <x:v>4</x:v>
      </x:c>
      <x:c r="R28" s="42" t="n">
        <x:v>68</x:v>
      </x:c>
      <x:c r="S28" s="42" t="str">
        <x:v>Lv68</x:v>
      </x:c>
      <x:c r="T28" s="42" t="str">
        <x:v>권장권</x:v>
      </x:c>
    </x:row>
    <x:row r="29">
      <x:c r="A29" s="364" t="str">
        <x:v>HARD 31~36 판정</x:v>
      </x:c>
      <x:c r="B29" s="364"/>
      <x:c r="C29" s="364"/>
      <x:c r="D29" s="364"/>
      <x:c r="E29" s="364"/>
      <x:c r="F29" s="364"/>
      <x:c r="G29" s="364"/>
      <x:c r="H29" s="364"/>
      <x:c r="I29" s="364"/>
      <x:c r="J29" s="364"/>
    </x:row>
    <x:row r="30">
      <x:c r="A30" s="366" t="str">
        <x:v>구간</x:v>
      </x:c>
      <x:c r="B30" s="366" t="str">
        <x:v>판정</x:v>
      </x:c>
      <x:c r="C30" s="366" t="str">
        <x:v>설명</x:v>
      </x:c>
      <x:c r="E30" s="366" t="str">
        <x:v>구간</x:v>
      </x:c>
      <x:c r="F30" s="366" t="str">
        <x:v>권장전투력</x:v>
      </x:c>
      <x:c r="G30" s="366" t="str">
        <x:v>적 압박</x:v>
      </x:c>
      <x:c r="H30" s="366" t="str">
        <x:v>증가 특성</x:v>
      </x:c>
      <x:c r="I30" s="366" t="str">
        <x:v>성장 대응</x:v>
      </x:c>
      <x:c r="J30" s="366" t="str">
        <x:v>판정</x:v>
      </x:c>
    </x:row>
    <x:row r="31">
      <x:c r="A31" s="42" t="str">
        <x:v>Stage31</x:v>
      </x:c>
      <x:c r="B31" s="42" t="str">
        <x:v>약 7일 성장벽</x:v>
      </x:c>
      <x:c r="C31" s="42" t="str">
        <x:v>Normal30 안정권 Lv58 전후에서 Hard31 안정 목표 Lv65까지 무료 성장 약 7일. 결제 시 즉시/1~3일 단축 가능.</x:v>
      </x:c>
      <x:c r="E31" s="42" t="str">
        <x:v>31→33</x:v>
      </x:c>
      <x:c r="F31" s="42" t="str">
        <x:v>5200→6009 (+15.6%)</x:v>
      </x:c>
      <x:c r="G31" s="42" t="str">
        <x:v>49048→63539 (+29.5%)</x:v>
      </x:c>
      <x:c r="H31" s="42" t="str">
        <x:v>서부 3스테이지 연속상승</x:v>
      </x:c>
      <x:c r="I31" s="42" t="str">
        <x:v>첫 1주 성장 후 진행</x:v>
      </x:c>
      <x:c r="J31" s="42" t="str">
        <x:v>유지</x:v>
      </x:c>
      <x:c r="L31" t="str">
        <x:v>Stage</x:v>
      </x:c>
      <x:c r="M31" t="str">
        <x:v>권장전투력</x:v>
      </x:c>
      <x:c r="N31" t="str">
        <x:v>압박 상대지수(31=5200)</x:v>
      </x:c>
    </x:row>
    <x:row r="32">
      <x:c r="A32" s="42" t="str">
        <x:v>Stage32~33</x:v>
      </x:c>
      <x:c r="B32" s="42" t="str">
        <x:v>진행 구간</x:v>
      </x:c>
      <x:c r="C32" s="42" t="str">
        <x:v>Stage31을 넘긴 전력으로 타락한 서부를 진행. Stage33에서 코어 III 4번째 확보.</x:v>
      </x:c>
      <x:c r="E32" s="42" t="str">
        <x:v>33→34</x:v>
      </x:c>
      <x:c r="F32" s="42" t="str">
        <x:v>6009→6460 (+7.5%)</x:v>
      </x:c>
      <x:c r="G32" s="42" t="str">
        <x:v>63539→89449 (+40.8%)</x:v>
      </x:c>
      <x:c r="H32" s="42" t="str">
        <x:v>지역전환</x:v>
      </x:c>
      <x:c r="I32" s="42" t="str">
        <x:v>4인 Lv65권 1주 성장</x:v>
      </x:c>
      <x:c r="J32" s="42" t="str">
        <x:v>유지</x:v>
      </x:c>
      <x:c r="L32" t="n">
        <x:v>31</x:v>
      </x:c>
      <x:c r="M32" t="n">
        <x:v>5200</x:v>
      </x:c>
      <x:c r="N32" t="n">
        <x:v>5200</x:v>
      </x:c>
    </x:row>
    <x:row r="33">
      <x:c r="A33" s="42" t="str">
        <x:v>Stage34</x:v>
      </x:c>
      <x:c r="B33" s="42" t="str">
        <x:v>약 7일 성장벽</x:v>
      </x:c>
      <x:c r="C33" s="42" t="str">
        <x:v>4인 파티를 Lv65권으로 맞추는 두 번째 의미 있는 벽. 북부 진입 전 성장 투자 유도.</x:v>
      </x:c>
      <x:c r="E33" s="42" t="str">
        <x:v>34→36</x:v>
      </x:c>
      <x:c r="F33" s="42" t="str">
        <x:v>6460→7465 (+15.6%)</x:v>
      </x:c>
      <x:c r="G33" s="42" t="str">
        <x:v>89449→112890 (+26.2%)</x:v>
      </x:c>
      <x:c r="H33" s="42" t="str">
        <x:v>북부 후반상승</x:v>
      </x:c>
      <x:c r="I33" s="42" t="str">
        <x:v>2~4일 보조 성장</x:v>
      </x:c>
      <x:c r="J33" s="42" t="str">
        <x:v>유지</x:v>
      </x:c>
      <x:c r="L33" t="n">
        <x:v>32</x:v>
      </x:c>
      <x:c r="M33" t="n">
        <x:v>5590</x:v>
      </x:c>
      <x:c r="N33" t="n">
        <x:v>5875.682106220602</x:v>
      </x:c>
    </x:row>
    <x:row r="34">
      <x:c r="A34" s="42" t="str">
        <x:v>Stage35</x:v>
      </x:c>
      <x:c r="B34" s="42" t="str">
        <x:v>진행 구간</x:v>
      </x:c>
      <x:c r="C34" s="42" t="str">
        <x:v>Stage34에서 확보한 성장으로 진행 가능.</x:v>
      </x:c>
      <x:c r="L34" t="n">
        <x:v>33</x:v>
      </x:c>
      <x:c r="M34" t="n">
        <x:v>6009</x:v>
      </x:c>
      <x:c r="N34" t="n">
        <x:v>6736.393288822412</x:v>
      </x:c>
    </x:row>
    <x:row r="35">
      <x:c r="A35" s="42" t="str">
        <x:v>Stage36</x:v>
      </x:c>
      <x:c r="B35" s="42" t="str">
        <x:v>2~4일 보조 체크</x:v>
      </x:c>
      <x:c r="C35" s="42" t="str">
        <x:v>핵심4 Lv68 정도를 목표로 북부 지역 보스를 준비. 별도의 1주 벽까지는 요구하지 않음.</x:v>
      </x:c>
      <x:c r="L35" t="n">
        <x:v>34</x:v>
      </x:c>
      <x:c r="M35" t="n">
        <x:v>6460</x:v>
      </x:c>
      <x:c r="N35" t="n">
        <x:v>9483.338025403058</x:v>
      </x:c>
    </x:row>
    <x:row r="36">
      <x:c r="A36" s="42" t="str">
        <x:v>전체</x:v>
      </x:c>
      <x:c r="B36" s="42" t="str">
        <x:v>의도 일치</x:v>
      </x:c>
      <x:c r="C36" s="42" t="str">
        <x:v>Hard31~36의 '주요 성장벽당 약 1주'는 Stage31과 Stage34 두 곳에 배치하고, 사이 스테이지는 실제 플레이 구간으로 둠.</x:v>
      </x:c>
      <x:c r="L36" t="n">
        <x:v>35</x:v>
      </x:c>
      <x:c r="M36" t="n">
        <x:v>6944</x:v>
      </x:c>
      <x:c r="N36" t="n">
        <x:v>10627.712822204872</x:v>
      </x:c>
    </x:row>
    <x:row r="37">
      <x:c r="L37" t="n">
        <x:v>36</x:v>
      </x:c>
      <x:c r="M37" t="n">
        <x:v>7465</x:v>
      </x:c>
      <x:c r="N37" t="n">
        <x:v>11968.496503026812</x:v>
      </x:c>
    </x:row>
  </x:sheetData>
  <x:mergeCells>
    <x:mergeCell ref="A1:T1"/>
    <x:mergeCell ref="A21:T21"/>
    <x:mergeCell ref="A29:J29"/>
  </x:mergeCells>
  <x:conditionalFormatting sqref="R13:R1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1801f55f468a4f9d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2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28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4" hidden="0" customWidth="1"/>
    <x:col min="15" max="15" width="15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40" hidden="0" customWidth="1"/>
  </x:cols>
  <x:sheetData>
    <x:row r="1">
      <x:c r="A1" s="373" t="str">
        <x:v>HARD Stage 37~45 — 7~10일 / 10~14일 성장벽 시뮬레이션 V2.4</x:v>
      </x:c>
      <x:c r="B1" s="373"/>
      <x:c r="C1" s="373"/>
      <x:c r="D1" s="373"/>
      <x:c r="E1" s="373"/>
      <x:c r="F1" s="373"/>
      <x:c r="G1" s="373"/>
      <x:c r="H1" s="373"/>
      <x:c r="I1" s="373"/>
      <x:c r="J1" s="373"/>
      <x:c r="K1" s="373"/>
      <x:c r="L1" s="373"/>
      <x:c r="M1" s="373"/>
      <x:c r="N1" s="373"/>
      <x:c r="O1" s="373"/>
      <x:c r="P1" s="373"/>
      <x:c r="Q1" s="373"/>
      <x:c r="R1" s="373"/>
      <x:c r="S1" s="373"/>
      <x:c r="T1" s="373"/>
    </x:row>
    <x:row r="3">
      <x:c r="A3" s="377" t="str">
        <x:v>항목</x:v>
      </x:c>
      <x:c r="B3" s="377" t="str">
        <x:v>권장 후보</x:v>
      </x:c>
      <x:c r="C3" s="377" t="str">
        <x:v>성격</x:v>
      </x:c>
      <x:c r="D3" s="377" t="str">
        <x:v>적용</x:v>
      </x:c>
      <x:c r="E3" s="377" t="str">
        <x:v>목적</x:v>
      </x:c>
      <x:c r="F3" s="377" t="str">
        <x:v>비고</x:v>
      </x:c>
    </x:row>
    <x:row r="4">
      <x:c r="A4" s="42" t="str">
        <x:v>Stage37 시작 성장재화</x:v>
      </x:c>
      <x:c r="B4" s="42" t="str">
        <x:v>122,870</x:v>
      </x:c>
      <x:c r="C4" s="42" t="str">
        <x:v>V2.3 이월</x:v>
      </x:c>
      <x:c r="D4" s="42" t="str">
        <x:v>Stage36 클리어 후</x:v>
      </x:c>
      <x:c r="E4" s="42" t="str">
        <x:v>Hard 중후반 연속성</x:v>
      </x:c>
      <x:c r="F4" s="42" t="str">
        <x:v>Stage36 클리어 보상 포함</x:v>
      </x:c>
    </x:row>
    <x:row r="5">
      <x:c r="A5" s="42" t="str">
        <x:v>Hard 중후반 무료 일일재화</x:v>
      </x:c>
      <x:c r="B5" s="42" t="str">
        <x:v>4,500/일</x:v>
      </x:c>
      <x:c r="C5" s="42" t="str">
        <x:v>V2.4 후보</x:v>
      </x:c>
      <x:c r="D5" s="42" t="str">
        <x:v>Stage37 이후 막힘 시</x:v>
      </x:c>
      <x:c r="E5" s="42" t="str">
        <x:v>7~14일 벽 형성</x:v>
      </x:c>
      <x:c r="F5" s="42" t="str">
        <x:v>Hard 상위 무료 콘텐츠 확대 반영</x:v>
      </x:c>
    </x:row>
    <x:row r="6">
      <x:c r="A6" s="42" t="str">
        <x:v>한계돌파 IV</x:v>
      </x:c>
      <x:c r="B6" s="42" t="str">
        <x:v>3,000 + 코어 IV 1</x:v>
      </x:c>
      <x:c r="C6" s="42" t="str">
        <x:v>V2.4 후보</x:v>
      </x:c>
      <x:c r="D6" s="42" t="str">
        <x:v>Lv80 후</x:v>
      </x:c>
      <x:c r="E6" s="42" t="str">
        <x:v>Lv80~100 진입</x:v>
      </x:c>
      <x:c r="F6" s="42" t="str">
        <x:v>기본스탯 +6% / 이벤트신2 해금</x:v>
      </x:c>
    </x:row>
    <x:row r="7">
      <x:c r="A7" s="42" t="str">
        <x:v>코어 IV</x:v>
      </x:c>
      <x:c r="B7" s="42" t="str">
        <x:v>Stage36 3 / Stage39 +1 / Stage42 +1</x:v>
      </x:c>
      <x:c r="C7" s="42" t="str">
        <x:v>V2.4 후보</x:v>
      </x:c>
      <x:c r="D7" s="42" t="str">
        <x:v>지역 보스 보상</x:v>
      </x:c>
      <x:c r="E7" s="42" t="str">
        <x:v>주력 3→4→5명 확장</x:v>
      </x:c>
      <x:c r="F7" s="42" t="str">
        <x:v>Stage43부터 5인 전원 IV 가능</x:v>
      </x:c>
    </x:row>
    <x:row r="8">
      <x:c r="A8" s="42" t="str">
        <x:v>Lv80~100 비용</x:v>
      </x:c>
      <x:c r="B8" s="42" t="str">
        <x:v>1,700 + 60×(현재Lv-80)</x:v>
      </x:c>
      <x:c r="C8" s="42" t="str">
        <x:v>V2.4 후보</x:v>
      </x:c>
      <x:c r="D8" s="42" t="str">
        <x:v>한계돌파 IV 후</x:v>
      </x:c>
      <x:c r="E8" s="42" t="str">
        <x:v>Hard 후반 장기 성장</x:v>
      </x:c>
      <x:c r="F8" s="42" t="str">
        <x:v>Lv100 조기도달 억제</x:v>
      </x:c>
    </x:row>
    <x:row r="9">
      <x:c r="A9" s="42" t="str">
        <x:v>Stage37~45 클리어재화</x:v>
      </x:c>
      <x:c r="B9" s="42" t="str">
        <x:v>45,200</x:v>
      </x:c>
      <x:c r="C9" s="42" t="str">
        <x:v>V2.4 후보</x:v>
      </x:c>
      <x:c r="D9" s="42" t="str">
        <x:v>최초 클리어</x:v>
      </x:c>
      <x:c r="E9" s="42" t="str">
        <x:v>벽 사이 전진 보조</x:v>
      </x:c>
      <x:c r="F9" s="42" t="str">
        <x:v>무료 일일재화와 별도</x:v>
      </x:c>
    </x:row>
    <x:row r="12">
      <x:c r="A12" s="381" t="str">
        <x:v>Stage</x:v>
      </x:c>
      <x:c r="B12" s="381" t="str">
        <x:v>지역</x:v>
      </x:c>
      <x:c r="C12" s="381" t="str">
        <x:v>클리어 성장재화</x:v>
      </x:c>
      <x:c r="D12" s="381" t="str">
        <x:v>코어IV</x:v>
      </x:c>
      <x:c r="E12" s="381" t="str">
        <x:v>누적 스테이지재화</x:v>
      </x:c>
      <x:c r="F12" s="381" t="str">
        <x:v>총 재화(대기 제외)</x:v>
      </x:c>
      <x:c r="G12" s="381" t="str">
        <x:v>권장전투력</x:v>
      </x:c>
      <x:c r="H12" s="381" t="str">
        <x:v>권장Lv</x:v>
      </x:c>
      <x:c r="I12" s="381" t="str">
        <x:v>보스</x:v>
      </x:c>
      <x:c r="J12" s="381" t="str">
        <x:v>보스HP</x:v>
      </x:c>
      <x:c r="K12" s="381" t="str">
        <x:v>보스DEF</x:v>
      </x:c>
      <x:c r="L12" s="381" t="str">
        <x:v>평균 압박</x:v>
      </x:c>
      <x:c r="M12" s="381" t="str">
        <x:v>전Stage 대비</x:v>
      </x:c>
      <x:c r="N12" s="381" t="str">
        <x:v>코어IV 누적</x:v>
      </x:c>
      <x:c r="O12" s="381" t="str">
        <x:v>5인 자연Lv</x:v>
      </x:c>
      <x:c r="P12" s="381" t="str">
        <x:v>구간 추가 대기일</x:v>
      </x:c>
      <x:c r="Q12" s="381" t="str">
        <x:v>체감</x:v>
      </x:c>
      <x:c r="R12" s="381" t="str">
        <x:v>성장 목표</x:v>
      </x:c>
      <x:c r="S12" s="381" t="str">
        <x:v>결론</x:v>
      </x:c>
      <x:c r="T12" s="381" t="str">
        <x:v>설계 메모</x:v>
      </x:c>
    </x:row>
    <x:row r="13">
      <x:c r="A13" s="42" t="n">
        <x:v>37</x:v>
      </x:c>
      <x:c r="B13" s="42" t="str">
        <x:v>타락한 아자르</x:v>
      </x:c>
      <x:c r="C13" s="42" t="n">
        <x:v>3500</x:v>
      </x:c>
      <x:c r="D13" s="42" t="n">
        <x:v>0</x:v>
      </x:c>
      <x:c r="E13" s="42" t="n">
        <x:v>3500</x:v>
      </x:c>
      <x:c r="F13" s="42" t="n">
        <x:v>126370</x:v>
      </x:c>
      <x:c r="G13" s="42" t="n">
        <x:v>8025</x:v>
      </x:c>
      <x:c r="H13" s="42" t="str">
        <x:v>Lv70~85</x:v>
      </x:c>
      <x:c r="I13" s="42" t="str">
        <x:v>타락한 사구왕 자하르</x:v>
      </x:c>
      <x:c r="J13" s="42" t="n">
        <x:v>112867</x:v>
      </x:c>
      <x:c r="K13" s="42" t="n">
        <x:v>125</x:v>
      </x:c>
      <x:c r="L13" s="42" t="n">
        <x:v>101788</x:v>
      </x:c>
      <x:c r="M13" s="246" t="n">
        <x:v>0</x:v>
      </x:c>
      <x:c r="N13" s="42" t="n">
        <x:v>3</x:v>
      </x:c>
      <x:c r="O13" s="42" t="n">
        <x:v>64</x:v>
      </x:c>
      <x:c r="P13" s="42" t="n">
        <x:v>9</x:v>
      </x:c>
      <x:c r="Q13" s="42" t="str">
        <x:v>7~10일 성장벽</x:v>
      </x:c>
      <x:c r="R13" s="42" t="str">
        <x:v>5인 Lv70</x:v>
      </x:c>
      <x:c r="S13" s="42" t="str">
        <x:v>Hard 중후반 진입벽</x:v>
      </x:c>
      <x:c r="T13" s="42" t="str"/>
    </x:row>
    <x:row r="14">
      <x:c r="A14" s="42" t="n">
        <x:v>38</x:v>
      </x:c>
      <x:c r="B14" s="42" t="str">
        <x:v>타락한 아자르</x:v>
      </x:c>
      <x:c r="C14" s="42" t="n">
        <x:v>3800</x:v>
      </x:c>
      <x:c r="D14" s="42" t="n">
        <x:v>0</x:v>
      </x:c>
      <x:c r="E14" s="42" t="n">
        <x:v>7300</x:v>
      </x:c>
      <x:c r="F14" s="42" t="n">
        <x:v>130170</x:v>
      </x:c>
      <x:c r="G14" s="42" t="n">
        <x:v>8627</x:v>
      </x:c>
      <x:c r="H14" s="42" t="str">
        <x:v>Lv70~85</x:v>
      </x:c>
      <x:c r="I14" s="42" t="str">
        <x:v>침식된 태양먹는 아누라</x:v>
      </x:c>
      <x:c r="J14" s="42" t="n">
        <x:v>124718</x:v>
      </x:c>
      <x:c r="K14" s="42" t="n">
        <x:v>130</x:v>
      </x:c>
      <x:c r="L14" s="42" t="n">
        <x:v>115779</x:v>
      </x:c>
      <x:c r="M14" s="246" t="n">
        <x:v>0.13745370711408267</x:v>
      </x:c>
      <x:c r="N14" s="42" t="n">
        <x:v>3</x:v>
      </x:c>
      <x:c r="O14" s="42" t="n">
        <x:v>64</x:v>
      </x:c>
      <x:c r="P14" s="42" t="n">
        <x:v>0</x:v>
      </x:c>
      <x:c r="Q14" s="42" t="str">
        <x:v>진행 구간</x:v>
      </x:c>
      <x:c r="R14" s="42" t="str">
        <x:v>-</x:v>
      </x:c>
      <x:c r="S14" s="42" t="str">
        <x:v>이전 성장벽 전력으로 진행</x:v>
      </x:c>
      <x:c r="T14" s="42" t="str"/>
    </x:row>
    <x:row r="15">
      <x:c r="A15" s="42" t="n">
        <x:v>39</x:v>
      </x:c>
      <x:c r="B15" s="42" t="str">
        <x:v>타락한 아자르</x:v>
      </x:c>
      <x:c r="C15" s="42" t="n">
        <x:v>4800</x:v>
      </x:c>
      <x:c r="D15" s="42" t="n">
        <x:v>1</x:v>
      </x:c>
      <x:c r="E15" s="42" t="n">
        <x:v>12100</x:v>
      </x:c>
      <x:c r="F15" s="42" t="n">
        <x:v>134970</x:v>
      </x:c>
      <x:c r="G15" s="42" t="n">
        <x:v>9274</x:v>
      </x:c>
      <x:c r="H15" s="42" t="str">
        <x:v>Lv70~85</x:v>
      </x:c>
      <x:c r="I15" s="42" t="str">
        <x:v>침식에 물들은 남부의 설화</x:v>
      </x:c>
      <x:c r="J15" s="42" t="n">
        <x:v>137813</x:v>
      </x:c>
      <x:c r="K15" s="42" t="n">
        <x:v>135</x:v>
      </x:c>
      <x:c r="L15" s="42" t="n">
        <x:v>133299</x:v>
      </x:c>
      <x:c r="M15" s="246" t="n">
        <x:v>0.15132723256137748</x:v>
      </x:c>
      <x:c r="N15" s="42" t="n">
        <x:v>4</x:v>
      </x:c>
      <x:c r="O15" s="42" t="n">
        <x:v>65</x:v>
      </x:c>
      <x:c r="P15" s="42" t="n">
        <x:v>0</x:v>
      </x:c>
      <x:c r="Q15" s="42" t="str">
        <x:v>진행 구간</x:v>
      </x:c>
      <x:c r="R15" s="42" t="str">
        <x:v>-</x:v>
      </x:c>
      <x:c r="S15" s="42" t="str">
        <x:v>이전 성장벽 전력으로 진행</x:v>
      </x:c>
      <x:c r="T15" s="42" t="str">
        <x:v>동일 세계관 연계 보스는 기존 설정 유지</x:v>
      </x:c>
    </x:row>
    <x:row r="16">
      <x:c r="A16" s="42" t="n">
        <x:v>40</x:v>
      </x:c>
      <x:c r="B16" s="42" t="str">
        <x:v>타락한 해륜</x:v>
      </x:c>
      <x:c r="C16" s="42" t="n">
        <x:v>4200</x:v>
      </x:c>
      <x:c r="D16" s="42" t="n">
        <x:v>0</x:v>
      </x:c>
      <x:c r="E16" s="42" t="n">
        <x:v>16300</x:v>
      </x:c>
      <x:c r="F16" s="42" t="n">
        <x:v>139170</x:v>
      </x:c>
      <x:c r="G16" s="42" t="n">
        <x:v>9970</x:v>
      </x:c>
      <x:c r="H16" s="42" t="str">
        <x:v>Lv70~85</x:v>
      </x:c>
      <x:c r="I16" s="42" t="str">
        <x:v>침식된 해적왕 쿠로가네</x:v>
      </x:c>
      <x:c r="J16" s="42" t="n">
        <x:v>152283</x:v>
      </x:c>
      <x:c r="K16" s="42" t="n">
        <x:v>140</x:v>
      </x:c>
      <x:c r="L16" s="42" t="n">
        <x:v>160002</x:v>
      </x:c>
      <x:c r="M16" s="246" t="n">
        <x:v>0.20032472386088207</x:v>
      </x:c>
      <x:c r="N16" s="42" t="n">
        <x:v>4</x:v>
      </x:c>
      <x:c r="O16" s="42" t="n">
        <x:v>66</x:v>
      </x:c>
      <x:c r="P16" s="42" t="n">
        <x:v>9</x:v>
      </x:c>
      <x:c r="Q16" s="42" t="str">
        <x:v>7~10일 성장벽</x:v>
      </x:c>
      <x:c r="R16" s="42" t="str">
        <x:v>5인 Lv78</x:v>
      </x:c>
      <x:c r="S16" s="42" t="str">
        <x:v>해륜 진입벽</x:v>
      </x:c>
      <x:c r="T16" s="42" t="str"/>
    </x:row>
    <x:row r="17">
      <x:c r="A17" s="42" t="n">
        <x:v>41</x:v>
      </x:c>
      <x:c r="B17" s="42" t="str">
        <x:v>타락한 해륜</x:v>
      </x:c>
      <x:c r="C17" s="42" t="n">
        <x:v>4500</x:v>
      </x:c>
      <x:c r="D17" s="42" t="n">
        <x:v>0</x:v>
      </x:c>
      <x:c r="E17" s="42" t="n">
        <x:v>20800</x:v>
      </x:c>
      <x:c r="F17" s="42" t="n">
        <x:v>143670</x:v>
      </x:c>
      <x:c r="G17" s="42" t="n">
        <x:v>10717</x:v>
      </x:c>
      <x:c r="H17" s="42" t="str">
        <x:v>Lv70~85</x:v>
      </x:c>
      <x:c r="I17" s="42" t="str">
        <x:v>심연해룡 류가</x:v>
      </x:c>
      <x:c r="J17" s="42" t="n">
        <x:v>168273</x:v>
      </x:c>
      <x:c r="K17" s="42" t="n">
        <x:v>145</x:v>
      </x:c>
      <x:c r="L17" s="42" t="n">
        <x:v>182475</x:v>
      </x:c>
      <x:c r="M17" s="246" t="n">
        <x:v>0.14045426911636127</x:v>
      </x:c>
      <x:c r="N17" s="42" t="n">
        <x:v>4</x:v>
      </x:c>
      <x:c r="O17" s="42" t="n">
        <x:v>67</x:v>
      </x:c>
      <x:c r="P17" s="42" t="n">
        <x:v>0</x:v>
      </x:c>
      <x:c r="Q17" s="42" t="str">
        <x:v>진행 구간</x:v>
      </x:c>
      <x:c r="R17" s="42" t="str">
        <x:v>-</x:v>
      </x:c>
      <x:c r="S17" s="42" t="str">
        <x:v>이전 성장벽 전력으로 진행</x:v>
      </x:c>
      <x:c r="T17" s="42" t="str"/>
    </x:row>
    <x:row r="18">
      <x:c r="A18" s="42" t="n">
        <x:v>42</x:v>
      </x:c>
      <x:c r="B18" s="42" t="str">
        <x:v>타락한 해륜</x:v>
      </x:c>
      <x:c r="C18" s="42" t="n">
        <x:v>6000</x:v>
      </x:c>
      <x:c r="D18" s="42" t="n">
        <x:v>1</x:v>
      </x:c>
      <x:c r="E18" s="42" t="n">
        <x:v>26800</x:v>
      </x:c>
      <x:c r="F18" s="42" t="n">
        <x:v>149670</x:v>
      </x:c>
      <x:c r="G18" s="42" t="n">
        <x:v>11521</x:v>
      </x:c>
      <x:c r="H18" s="42" t="str">
        <x:v>Lv70~85</x:v>
      </x:c>
      <x:c r="I18" s="42" t="str">
        <x:v>침식에 물들은 동부의 설화</x:v>
      </x:c>
      <x:c r="J18" s="42" t="n">
        <x:v>185942</x:v>
      </x:c>
      <x:c r="K18" s="42" t="n">
        <x:v>150</x:v>
      </x:c>
      <x:c r="L18" s="42" t="n">
        <x:v>209779</x:v>
      </x:c>
      <x:c r="M18" s="246" t="n">
        <x:v>0.14962872970751984</x:v>
      </x:c>
      <x:c r="N18" s="42" t="n">
        <x:v>5</x:v>
      </x:c>
      <x:c r="O18" s="42" t="n">
        <x:v>68</x:v>
      </x:c>
      <x:c r="P18" s="42" t="n">
        <x:v>0</x:v>
      </x:c>
      <x:c r="Q18" s="42" t="str">
        <x:v>진행 구간</x:v>
      </x:c>
      <x:c r="R18" s="42" t="str">
        <x:v>-</x:v>
      </x:c>
      <x:c r="S18" s="42" t="str">
        <x:v>이전 성장벽 전력으로 진행</x:v>
      </x:c>
      <x:c r="T18" s="42" t="str">
        <x:v>동일 세계관 연계 보스는 기존 설정 유지</x:v>
      </x:c>
    </x:row>
    <x:row r="19">
      <x:c r="A19" s="42" t="n">
        <x:v>43</x:v>
      </x:c>
      <x:c r="B19" s="42" t="str">
        <x:v>암운 교황령</x:v>
      </x:c>
      <x:c r="C19" s="42" t="n">
        <x:v>5200</x:v>
      </x:c>
      <x:c r="D19" s="42" t="n">
        <x:v>0</x:v>
      </x:c>
      <x:c r="E19" s="42" t="n">
        <x:v>32000</x:v>
      </x:c>
      <x:c r="F19" s="42" t="n">
        <x:v>154870</x:v>
      </x:c>
      <x:c r="G19" s="42" t="n">
        <x:v>12385</x:v>
      </x:c>
      <x:c r="H19" s="42" t="str">
        <x:v>Lv70~85</x:v>
      </x:c>
      <x:c r="I19" s="42" t="str">
        <x:v>검은대주교 말키엘</x:v>
      </x:c>
      <x:c r="J19" s="42" t="n">
        <x:v>205466</x:v>
      </x:c>
      <x:c r="K19" s="42" t="n">
        <x:v>155</x:v>
      </x:c>
      <x:c r="L19" s="42" t="n">
        <x:v>278592</x:v>
      </x:c>
      <x:c r="M19" s="246" t="n">
        <x:v>0.3280291126843724</x:v>
      </x:c>
      <x:c r="N19" s="42" t="n">
        <x:v>5</x:v>
      </x:c>
      <x:c r="O19" s="42" t="n">
        <x:v>69</x:v>
      </x:c>
      <x:c r="P19" s="42" t="n">
        <x:v>14</x:v>
      </x:c>
      <x:c r="Q19" s="42" t="str">
        <x:v>10~14일 성장벽</x:v>
      </x:c>
      <x:c r="R19" s="42" t="str">
        <x:v>5인 Lv85</x:v>
      </x:c>
      <x:c r="S19" s="42" t="str">
        <x:v>후반 장기 성장벽</x:v>
      </x:c>
      <x:c r="T19" s="42" t="str"/>
    </x:row>
    <x:row r="20">
      <x:c r="A20" s="42" t="n">
        <x:v>44</x:v>
      </x:c>
      <x:c r="B20" s="42" t="str">
        <x:v>암운 교황령</x:v>
      </x:c>
      <x:c r="C20" s="42" t="n">
        <x:v>5600</x:v>
      </x:c>
      <x:c r="D20" s="42" t="n">
        <x:v>0</x:v>
      </x:c>
      <x:c r="E20" s="42" t="n">
        <x:v>37600</x:v>
      </x:c>
      <x:c r="F20" s="42" t="n">
        <x:v>160470</x:v>
      </x:c>
      <x:c r="G20" s="42" t="n">
        <x:v>13314</x:v>
      </x:c>
      <x:c r="H20" s="42" t="str">
        <x:v>Lv70~85</x:v>
      </x:c>
      <x:c r="I20" s="42" t="str">
        <x:v>사룡숭배 대성상</x:v>
      </x:c>
      <x:c r="J20" s="42" t="n">
        <x:v>227039</x:v>
      </x:c>
      <x:c r="K20" s="42" t="n">
        <x:v>160</x:v>
      </x:c>
      <x:c r="L20" s="42" t="n">
        <x:v>303988</x:v>
      </x:c>
      <x:c r="M20" s="246" t="n">
        <x:v>0.09115771431053443</x:v>
      </x:c>
      <x:c r="N20" s="42" t="n">
        <x:v>5</x:v>
      </x:c>
      <x:c r="O20" s="42" t="n">
        <x:v>70</x:v>
      </x:c>
      <x:c r="P20" s="42" t="n">
        <x:v>0</x:v>
      </x:c>
      <x:c r="Q20" s="42" t="str">
        <x:v>진행 구간</x:v>
      </x:c>
      <x:c r="R20" s="42" t="str">
        <x:v>-</x:v>
      </x:c>
      <x:c r="S20" s="42" t="str">
        <x:v>이전 성장벽 전력으로 진행</x:v>
      </x:c>
      <x:c r="T20" s="42" t="str"/>
    </x:row>
    <x:row r="21">
      <x:c r="A21" s="42" t="n">
        <x:v>45</x:v>
      </x:c>
      <x:c r="B21" s="42" t="str">
        <x:v>암운 교황령</x:v>
      </x:c>
      <x:c r="C21" s="42" t="n">
        <x:v>7600</x:v>
      </x:c>
      <x:c r="D21" s="42" t="n">
        <x:v>0</x:v>
      </x:c>
      <x:c r="E21" s="42" t="n">
        <x:v>45200</x:v>
      </x:c>
      <x:c r="F21" s="42" t="n">
        <x:v>168070</x:v>
      </x:c>
      <x:c r="G21" s="42" t="n">
        <x:v>14313</x:v>
      </x:c>
      <x:c r="H21" s="42" t="str">
        <x:v>Lv70~85</x:v>
      </x:c>
      <x:c r="I21" s="42" t="str">
        <x:v>침식에 물들은 용살자의 설화</x:v>
      </x:c>
      <x:c r="J21" s="42" t="n">
        <x:v>250879</x:v>
      </x:c>
      <x:c r="K21" s="42" t="n">
        <x:v>165</x:v>
      </x:c>
      <x:c r="L21" s="42" t="n">
        <x:v>350027</x:v>
      </x:c>
      <x:c r="M21" s="246" t="n">
        <x:v>0.15144895437343409</x:v>
      </x:c>
      <x:c r="N21" s="42" t="n">
        <x:v>5</x:v>
      </x:c>
      <x:c r="O21" s="42" t="n">
        <x:v>71</x:v>
      </x:c>
      <x:c r="P21" s="42" t="n">
        <x:v>2</x:v>
      </x:c>
      <x:c r="Q21" s="42" t="str">
        <x:v>보조 최종 체크</x:v>
      </x:c>
      <x:c r="R21" s="42" t="str">
        <x:v>5인 Lv87</x:v>
      </x:c>
      <x:c r="S21" s="42" t="str">
        <x:v>Final 구간 전 준비</x:v>
      </x:c>
      <x:c r="T21" s="42" t="str">
        <x:v>동일 세계관 연계 보스는 기존 설정 유지</x:v>
      </x:c>
    </x:row>
    <x:row r="24">
      <x:c r="A24" s="384" t="str">
        <x:v>주요 성장벽 순차 검증</x:v>
      </x:c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384"/>
      <x:c r="Q24" s="384"/>
      <x:c r="R24" s="384"/>
      <x:c r="S24" s="384"/>
      <x:c r="T24" s="384"/>
    </x:row>
    <x:row r="25">
      <x:c r="A25" s="387" t="str">
        <x:v>벽</x:v>
      </x:c>
      <x:c r="B25" s="387" t="str">
        <x:v>진입 재화</x:v>
      </x:c>
      <x:c r="C25" s="387" t="str">
        <x:v>목표</x:v>
      </x:c>
      <x:c r="D25" s="387" t="str">
        <x:v>필요재화</x:v>
      </x:c>
      <x:c r="E25" s="387" t="str">
        <x:v>부족분</x:v>
      </x:c>
      <x:c r="F25" s="387" t="str">
        <x:v>무료 일일재화</x:v>
      </x:c>
      <x:c r="G25" s="387" t="str">
        <x:v>대기일</x:v>
      </x:c>
      <x:c r="H25" s="387" t="str">
        <x:v>대기 후 재화</x:v>
      </x:c>
      <x:c r="I25" s="387" t="str">
        <x:v>판정</x:v>
      </x:c>
      <x:c r="J25" s="387" t="str">
        <x:v>설계 의도</x:v>
      </x:c>
      <x:c r="L25" s="391" t="str">
        <x:v>진행지점</x:v>
      </x:c>
      <x:c r="M25" s="391" t="str">
        <x:v>추가대기일</x:v>
      </x:c>
      <x:c r="N25" s="391" t="str">
        <x:v>누적대기일</x:v>
      </x:c>
      <x:c r="O25" s="391" t="str">
        <x:v>클리어보상 누적</x:v>
      </x:c>
      <x:c r="P25" s="391" t="str">
        <x:v>총재화</x:v>
      </x:c>
      <x:c r="Q25" s="391" t="str">
        <x:v>5인 평균Lv</x:v>
      </x:c>
      <x:c r="R25" s="391" t="str">
        <x:v>목표</x:v>
      </x:c>
      <x:c r="S25" s="391" t="str">
        <x:v>판정</x:v>
      </x:c>
      <x:c r="T25" s="391" t="str">
        <x:v>의미</x:v>
      </x:c>
    </x:row>
    <x:row r="26">
      <x:c r="A26" s="42" t="str">
        <x:v>Stage36→37</x:v>
      </x:c>
      <x:c r="B26" s="42" t="n">
        <x:v>122870</x:v>
      </x:c>
      <x:c r="C26" s="42" t="str">
        <x:v>5인 평균 Lv70</x:v>
      </x:c>
      <x:c r="D26" s="42" t="n">
        <x:v>159195</x:v>
      </x:c>
      <x:c r="E26" s="42" t="n">
        <x:v>36325</x:v>
      </x:c>
      <x:c r="F26" s="42" t="n">
        <x:v>4500</x:v>
      </x:c>
      <x:c r="G26" s="42" t="n">
        <x:v>9</x:v>
      </x:c>
      <x:c r="H26" s="42" t="n">
        <x:v>163370</x:v>
      </x:c>
      <x:c r="I26" s="42" t="str">
        <x:v>7~10일권</x:v>
      </x:c>
      <x:c r="J26" s="42" t="str">
        <x:v>Hard 중후반 첫 장기 성장벽</x:v>
      </x:c>
      <x:c r="L26" s="42" t="str">
        <x:v>Stage36 직후</x:v>
      </x:c>
      <x:c r="M26" s="42" t="n">
        <x:v>0</x:v>
      </x:c>
      <x:c r="N26" s="42" t="n">
        <x:v>0</x:v>
      </x:c>
      <x:c r="O26" s="42" t="n">
        <x:v>0</x:v>
      </x:c>
      <x:c r="P26" s="42" t="n">
        <x:v>122870</x:v>
      </x:c>
      <x:c r="Q26" s="42" t="n">
        <x:v>63</x:v>
      </x:c>
      <x:c r="R26" s="42" t="str">
        <x:v>Lv70</x:v>
      </x:c>
      <x:c r="S26" s="42" t="str">
        <x:v>부족</x:v>
      </x:c>
      <x:c r="T26" s="42" t="str">
        <x:v>중후반 성장벽 시작</x:v>
      </x:c>
    </x:row>
    <x:row r="27">
      <x:c r="A27" s="42" t="str">
        <x:v>Stage39→40</x:v>
      </x:c>
      <x:c r="B27" s="42" t="n">
        <x:v>175470</x:v>
      </x:c>
      <x:c r="C27" s="42" t="str">
        <x:v>5인 평균 Lv78</x:v>
      </x:c>
      <x:c r="D27" s="42" t="n">
        <x:v>214095</x:v>
      </x:c>
      <x:c r="E27" s="42" t="n">
        <x:v>38625</x:v>
      </x:c>
      <x:c r="F27" s="42" t="n">
        <x:v>4500</x:v>
      </x:c>
      <x:c r="G27" s="42" t="n">
        <x:v>9</x:v>
      </x:c>
      <x:c r="H27" s="42" t="n">
        <x:v>215970</x:v>
      </x:c>
      <x:c r="I27" s="42" t="str">
        <x:v>7~10일권</x:v>
      </x:c>
      <x:c r="J27" s="42" t="str">
        <x:v>해륜 지역 진입 성장벽</x:v>
      </x:c>
      <x:c r="L27" s="42" t="str">
        <x:v>Stage37 진입</x:v>
      </x:c>
      <x:c r="M27" s="42" t="n">
        <x:v>9</x:v>
      </x:c>
      <x:c r="N27" s="42" t="n">
        <x:v>9</x:v>
      </x:c>
      <x:c r="O27" s="42" t="n">
        <x:v>0</x:v>
      </x:c>
      <x:c r="P27" s="42" t="n">
        <x:v>163370</x:v>
      </x:c>
      <x:c r="Q27" s="42" t="n">
        <x:v>70</x:v>
      </x:c>
      <x:c r="R27" s="42" t="str">
        <x:v>Lv70</x:v>
      </x:c>
      <x:c r="S27" s="42" t="str">
        <x:v>권장권</x:v>
      </x:c>
      <x:c r="T27" s="42" t="str">
        <x:v>첫 7~10일 성장</x:v>
      </x:c>
    </x:row>
    <x:row r="28">
      <x:c r="A28" s="42" t="str">
        <x:v>Stage42→43</x:v>
      </x:c>
      <x:c r="B28" s="42" t="n">
        <x:v>230670</x:v>
      </x:c>
      <x:c r="C28" s="42" t="str">
        <x:v>5인 평균 Lv85</x:v>
      </x:c>
      <x:c r="D28" s="42" t="n">
        <x:v>290070</x:v>
      </x:c>
      <x:c r="E28" s="42" t="n">
        <x:v>59400</x:v>
      </x:c>
      <x:c r="F28" s="42" t="n">
        <x:v>4500</x:v>
      </x:c>
      <x:c r="G28" s="42" t="n">
        <x:v>14</x:v>
      </x:c>
      <x:c r="H28" s="42" t="n">
        <x:v>293670</x:v>
      </x:c>
      <x:c r="I28" s="42" t="str">
        <x:v>10~14일권</x:v>
      </x:c>
      <x:c r="J28" s="42" t="str">
        <x:v>암운 교황령 진입 장기벽</x:v>
      </x:c>
      <x:c r="L28" s="42" t="str">
        <x:v>Stage39 클리어</x:v>
      </x:c>
      <x:c r="M28" s="42" t="n">
        <x:v>0</x:v>
      </x:c>
      <x:c r="N28" s="42" t="n">
        <x:v>9</x:v>
      </x:c>
      <x:c r="O28" s="42" t="n">
        <x:v>12100</x:v>
      </x:c>
      <x:c r="P28" s="42" t="n">
        <x:v>175470</x:v>
      </x:c>
      <x:c r="Q28" s="42" t="n">
        <x:v>72</x:v>
      </x:c>
      <x:c r="R28" s="42" t="str">
        <x:v>Lv78</x:v>
      </x:c>
      <x:c r="S28" s="42" t="str">
        <x:v>다음 벽</x:v>
      </x:c>
      <x:c r="T28" s="42" t="str">
        <x:v>코어IV 4번째 확보</x:v>
      </x:c>
    </x:row>
    <x:row r="29">
      <x:c r="A29" s="42" t="str">
        <x:v>Stage44→45</x:v>
      </x:c>
      <x:c r="B29" s="42" t="n">
        <x:v>304470</x:v>
      </x:c>
      <x:c r="C29" s="42" t="str">
        <x:v>5인 평균 Lv87</x:v>
      </x:c>
      <x:c r="D29" s="42" t="n">
        <x:v>310370</x:v>
      </x:c>
      <x:c r="E29" s="42" t="n">
        <x:v>5900</x:v>
      </x:c>
      <x:c r="F29" s="42" t="n">
        <x:v>4500</x:v>
      </x:c>
      <x:c r="G29" s="42" t="n">
        <x:v>2</x:v>
      </x:c>
      <x:c r="H29" s="42" t="n">
        <x:v>313470</x:v>
      </x:c>
      <x:c r="I29" s="42" t="str">
        <x:v>보조 체크</x:v>
      </x:c>
      <x:c r="J29" s="42" t="str">
        <x:v>Hard45 보스 안정권</x:v>
      </x:c>
      <x:c r="L29" s="42" t="str">
        <x:v>Stage40 진입</x:v>
      </x:c>
      <x:c r="M29" s="42" t="n">
        <x:v>9</x:v>
      </x:c>
      <x:c r="N29" s="42" t="n">
        <x:v>18</x:v>
      </x:c>
      <x:c r="O29" s="42" t="n">
        <x:v>12100</x:v>
      </x:c>
      <x:c r="P29" s="42" t="n">
        <x:v>215970</x:v>
      </x:c>
      <x:c r="Q29" s="42" t="n">
        <x:v>78</x:v>
      </x:c>
      <x:c r="R29" s="42" t="str">
        <x:v>Lv78</x:v>
      </x:c>
      <x:c r="S29" s="42" t="str">
        <x:v>권장권</x:v>
      </x:c>
      <x:c r="T29" s="42" t="str">
        <x:v>두 번째 7~10일 성장</x:v>
      </x:c>
    </x:row>
    <x:row r="30">
      <x:c r="L30" s="42" t="str">
        <x:v>Stage42 클리어</x:v>
      </x:c>
      <x:c r="M30" s="42" t="n">
        <x:v>0</x:v>
      </x:c>
      <x:c r="N30" s="42" t="n">
        <x:v>18</x:v>
      </x:c>
      <x:c r="O30" s="42" t="n">
        <x:v>26800</x:v>
      </x:c>
      <x:c r="P30" s="42" t="n">
        <x:v>230670</x:v>
      </x:c>
      <x:c r="Q30" s="42" t="n">
        <x:v>80</x:v>
      </x:c>
      <x:c r="R30" s="42" t="str">
        <x:v>Lv85</x:v>
      </x:c>
      <x:c r="S30" s="42" t="str">
        <x:v>다음 벽</x:v>
      </x:c>
      <x:c r="T30" s="42" t="str">
        <x:v>코어IV 5번째 확보</x:v>
      </x:c>
    </x:row>
    <x:row r="31">
      <x:c r="L31" s="42" t="str">
        <x:v>Stage43 진입</x:v>
      </x:c>
      <x:c r="M31" s="42" t="n">
        <x:v>14</x:v>
      </x:c>
      <x:c r="N31" s="42" t="n">
        <x:v>32</x:v>
      </x:c>
      <x:c r="O31" s="42" t="n">
        <x:v>26800</x:v>
      </x:c>
      <x:c r="P31" s="42" t="n">
        <x:v>293670</x:v>
      </x:c>
      <x:c r="Q31" s="42" t="n">
        <x:v>85</x:v>
      </x:c>
      <x:c r="R31" s="42" t="str">
        <x:v>Lv85</x:v>
      </x:c>
      <x:c r="S31" s="42" t="str">
        <x:v>권장권</x:v>
      </x:c>
      <x:c r="T31" s="42" t="str">
        <x:v>10~14일 장기 성장</x:v>
      </x:c>
    </x:row>
    <x:row r="32">
      <x:c r="L32" s="42" t="str">
        <x:v>Stage44 클리어</x:v>
      </x:c>
      <x:c r="M32" s="42" t="n">
        <x:v>0</x:v>
      </x:c>
      <x:c r="N32" s="42" t="n">
        <x:v>32</x:v>
      </x:c>
      <x:c r="O32" s="42" t="n">
        <x:v>37600</x:v>
      </x:c>
      <x:c r="P32" s="42" t="n">
        <x:v>304470</x:v>
      </x:c>
      <x:c r="Q32" s="42" t="n">
        <x:v>86</x:v>
      </x:c>
      <x:c r="R32" s="42" t="str">
        <x:v>Lv87</x:v>
      </x:c>
      <x:c r="S32" s="42" t="str">
        <x:v>최종 체크</x:v>
      </x:c>
      <x:c r="T32" s="42" t="str">
        <x:v>Hard45 준비</x:v>
      </x:c>
    </x:row>
    <x:row r="33">
      <x:c r="A33" s="394" t="str">
        <x:v>HARD 37~45 판정</x:v>
      </x:c>
      <x:c r="B33" s="394"/>
      <x:c r="C33" s="394"/>
      <x:c r="D33" s="394"/>
      <x:c r="E33" s="394"/>
      <x:c r="F33" s="394"/>
      <x:c r="G33" s="394"/>
      <x:c r="H33" s="394"/>
      <x:c r="I33" s="394"/>
      <x:c r="J33" s="394"/>
      <x:c r="L33" s="42" t="str">
        <x:v>Stage45 안정권</x:v>
      </x:c>
      <x:c r="M33" s="42" t="n">
        <x:v>2</x:v>
      </x:c>
      <x:c r="N33" s="42" t="n">
        <x:v>34</x:v>
      </x:c>
      <x:c r="O33" s="42" t="n">
        <x:v>37600</x:v>
      </x:c>
      <x:c r="P33" s="42" t="n">
        <x:v>313470</x:v>
      </x:c>
      <x:c r="Q33" s="42" t="n">
        <x:v>87</x:v>
      </x:c>
      <x:c r="R33" s="42" t="str">
        <x:v>Lv87</x:v>
      </x:c>
      <x:c r="S33" s="42" t="str">
        <x:v>권장권</x:v>
      </x:c>
      <x:c r="T33" s="42" t="str">
        <x:v>Final 46~50 진입 준비</x:v>
      </x:c>
    </x:row>
    <x:row r="34">
      <x:c r="A34" s="396" t="str">
        <x:v>구간</x:v>
      </x:c>
      <x:c r="B34" s="396" t="str">
        <x:v>판정</x:v>
      </x:c>
      <x:c r="C34" s="396" t="str">
        <x:v>설명</x:v>
      </x:c>
      <x:c r="E34" s="396" t="str">
        <x:v>구간</x:v>
      </x:c>
      <x:c r="F34" s="396" t="str">
        <x:v>권장전투력</x:v>
      </x:c>
      <x:c r="G34" s="396" t="str">
        <x:v>적 압박</x:v>
      </x:c>
      <x:c r="H34" s="396" t="str">
        <x:v>벽 유형</x:v>
      </x:c>
      <x:c r="I34" s="396" t="str">
        <x:v>성장 대응</x:v>
      </x:c>
      <x:c r="J34" s="396" t="str">
        <x:v>판정</x:v>
      </x:c>
    </x:row>
    <x:row r="35">
      <x:c r="A35" s="42" t="str">
        <x:v>Stage37</x:v>
      </x:c>
      <x:c r="B35" s="42" t="str">
        <x:v>약 9일</x:v>
      </x:c>
      <x:c r="C35" s="42" t="str">
        <x:v>Stage36 이후 5인 평균 Lv70을 목표로 첫 7~10일 장기벽 형성.</x:v>
      </x:c>
      <x:c r="E35" s="42" t="str">
        <x:v>37→39</x:v>
      </x:c>
      <x:c r="F35" s="42" t="str">
        <x:v>8025→9274 (+15.6%)</x:v>
      </x:c>
      <x:c r="G35" s="42" t="str">
        <x:v>101788→133299 (+31.0%)</x:v>
      </x:c>
      <x:c r="H35" s="42" t="str">
        <x:v>아자르 3스테이지</x:v>
      </x:c>
      <x:c r="I35" s="42" t="str">
        <x:v>Lv70 장벽 후 진행</x:v>
      </x:c>
      <x:c r="J35" s="42" t="str">
        <x:v>유지</x:v>
      </x:c>
    </x:row>
    <x:row r="36">
      <x:c r="A36" s="42" t="str">
        <x:v>Stage38~39</x:v>
      </x:c>
      <x:c r="B36" s="42" t="str">
        <x:v>진행 구간</x:v>
      </x:c>
      <x:c r="C36" s="42" t="str">
        <x:v>Stage37 성장분으로 아자르 후반 진행. Stage39에서 코어 IV 4번째 확보.</x:v>
      </x:c>
      <x:c r="E36" s="42" t="str">
        <x:v>39→40</x:v>
      </x:c>
      <x:c r="F36" s="42" t="str">
        <x:v>9274→9970 (+7.5%)</x:v>
      </x:c>
      <x:c r="G36" s="42" t="str">
        <x:v>133299→160002 (+20.0%)</x:v>
      </x:c>
      <x:c r="H36" s="42" t="str">
        <x:v>지역 전환</x:v>
      </x:c>
      <x:c r="I36" s="42" t="str">
        <x:v>Lv78 7~10일</x:v>
      </x:c>
      <x:c r="J36" s="42" t="str">
        <x:v>유지</x:v>
      </x:c>
      <x:c r="L36" t="str">
        <x:v>Stage</x:v>
      </x:c>
      <x:c r="M36" t="str">
        <x:v>권장전투력</x:v>
      </x:c>
      <x:c r="N36" t="str">
        <x:v>압박 상대지수(37=8025)</x:v>
      </x:c>
    </x:row>
    <x:row r="37">
      <x:c r="A37" s="42" t="str">
        <x:v>Stage40</x:v>
      </x:c>
      <x:c r="B37" s="42" t="str">
        <x:v>약 9일</x:v>
      </x:c>
      <x:c r="C37" s="42" t="str">
        <x:v>5인 Lv78권까지 다시 성장한 뒤 해륜 진입. 두 번째 7~10일 벽.</x:v>
      </x:c>
      <x:c r="E37" s="42" t="str">
        <x:v>40→42</x:v>
      </x:c>
      <x:c r="F37" s="42" t="str">
        <x:v>9970→11521 (+15.6%)</x:v>
      </x:c>
      <x:c r="G37" s="42" t="str">
        <x:v>160002→209779 (+31.1%)</x:v>
      </x:c>
      <x:c r="H37" s="42" t="str">
        <x:v>해륜 후반</x:v>
      </x:c>
      <x:c r="I37" s="42" t="str">
        <x:v>장벽 후 연속진행</x:v>
      </x:c>
      <x:c r="J37" s="42" t="str">
        <x:v>유지</x:v>
      </x:c>
      <x:c r="L37" t="n">
        <x:v>37</x:v>
      </x:c>
      <x:c r="M37" t="n">
        <x:v>8025</x:v>
      </x:c>
      <x:c r="N37" t="n">
        <x:v>8025</x:v>
      </x:c>
    </x:row>
    <x:row r="38">
      <x:c r="A38" s="42" t="str">
        <x:v>Stage41~42</x:v>
      </x:c>
      <x:c r="B38" s="42" t="str">
        <x:v>진행 구간</x:v>
      </x:c>
      <x:c r="C38" s="42" t="str">
        <x:v>Stage42 클리어 시 코어 IV 5번째 확보, 이후 전원 Lv80+ 육성 가능.</x:v>
      </x:c>
      <x:c r="E38" s="42" t="str">
        <x:v>42→43</x:v>
      </x:c>
      <x:c r="F38" s="42" t="str">
        <x:v>11521→12385 (+7.5%)</x:v>
      </x:c>
      <x:c r="G38" s="42" t="str">
        <x:v>209779→278592 (+32.8%)</x:v>
      </x:c>
      <x:c r="H38" s="42" t="str">
        <x:v>후반 장기벽</x:v>
      </x:c>
      <x:c r="I38" s="42" t="str">
        <x:v>Lv85 10~14일</x:v>
      </x:c>
      <x:c r="J38" s="42" t="str">
        <x:v>유지</x:v>
      </x:c>
      <x:c r="L38" t="n">
        <x:v>38</x:v>
      </x:c>
      <x:c r="M38" t="n">
        <x:v>8627</x:v>
      </x:c>
      <x:c r="N38" t="n">
        <x:v>9128.065999590513</x:v>
      </x:c>
    </x:row>
    <x:row r="39">
      <x:c r="A39" s="42" t="str">
        <x:v>Stage43</x:v>
      </x:c>
      <x:c r="B39" s="42" t="str">
        <x:v>약 14일</x:v>
      </x:c>
      <x:c r="C39" s="42" t="str">
        <x:v>5인 Lv85 안정권을 목표로 10~14일 장기벽. Hard 후반 과금 유혹이 가장 강해지는 첫 구간.</x:v>
      </x:c>
      <x:c r="E39" s="42" t="str">
        <x:v>43→45</x:v>
      </x:c>
      <x:c r="F39" s="42" t="str">
        <x:v>12385→14313 (+15.6%)</x:v>
      </x:c>
      <x:c r="G39" s="42" t="str">
        <x:v>278592→350027 (+25.6%)</x:v>
      </x:c>
      <x:c r="H39" s="42" t="str">
        <x:v>최종 Hard 구간</x:v>
      </x:c>
      <x:c r="I39" s="42" t="str">
        <x:v>Lv87 보조체크</x:v>
      </x:c>
      <x:c r="J39" s="42" t="str">
        <x:v>유지</x:v>
      </x:c>
      <x:c r="L39" t="n">
        <x:v>39</x:v>
      </x:c>
      <x:c r="M39" t="n">
        <x:v>9274</x:v>
      </x:c>
      <x:c r="N39" t="n">
        <x:v>10509.390965946148</x:v>
      </x:c>
    </x:row>
    <x:row r="40">
      <x:c r="A40" s="42" t="str">
        <x:v>Stage44</x:v>
      </x:c>
      <x:c r="B40" s="42" t="str">
        <x:v>진행 구간</x:v>
      </x:c>
      <x:c r="C40" s="42" t="str">
        <x:v>Stage43에서 확보한 전력으로 진행.</x:v>
      </x:c>
      <x:c r="L40" t="n">
        <x:v>40</x:v>
      </x:c>
      <x:c r="M40" t="n">
        <x:v>9970</x:v>
      </x:c>
      <x:c r="N40" t="n">
        <x:v>12614.681809145359</x:v>
      </x:c>
    </x:row>
    <x:row r="41">
      <x:c r="A41" s="42" t="str">
        <x:v>Stage45</x:v>
      </x:c>
      <x:c r="B41" s="42" t="str">
        <x:v>약 3~5일 보조 체크</x:v>
      </x:c>
      <x:c r="C41" s="42" t="str">
        <x:v>5인 Lv87권으로 용살자의 설화 보스 준비. 별도 10~14일 벽까지는 요구하지 않음.</x:v>
      </x:c>
      <x:c r="L41" t="n">
        <x:v>41</x:v>
      </x:c>
      <x:c r="M41" t="n">
        <x:v>10717</x:v>
      </x:c>
      <x:c r="N41" t="n">
        <x:v>14386.46772278433</x:v>
      </x:c>
    </x:row>
    <x:row r="42">
      <x:c r="A42" s="42" t="str">
        <x:v>전체</x:v>
      </x:c>
      <x:c r="B42" s="42" t="str">
        <x:v>의도 일치</x:v>
      </x:c>
      <x:c r="C42" s="42" t="str">
        <x:v>Hard37~42는 주요 벽 7~10일, Hard43~45는 핵심 벽 10~14일. 사이 스테이지는 실제 플레이 구간으로 유지.</x:v>
      </x:c>
      <x:c r="L42" t="n">
        <x:v>42</x:v>
      </x:c>
      <x:c r="M42" t="n">
        <x:v>11521</x:v>
      </x:c>
      <x:c r="N42" t="n">
        <x:v>16539.096613122783</x:v>
      </x:c>
    </x:row>
    <x:row r="43">
      <x:c r="L43" t="n">
        <x:v>43</x:v>
      </x:c>
      <x:c r="M43" t="n">
        <x:v>12385</x:v>
      </x:c>
      <x:c r="N43" t="n">
        <x:v>21964.401799726555</x:v>
      </x:c>
    </x:row>
    <x:row r="44">
      <x:c r="L44" t="n">
        <x:v>44</x:v>
      </x:c>
      <x:c r="M44" t="n">
        <x:v>13314</x:v>
      </x:c>
      <x:c r="N44" t="n">
        <x:v>23966.62646398782</x:v>
      </x:c>
    </x:row>
    <x:row r="45">
      <x:c r="L45" t="n">
        <x:v>45</x:v>
      </x:c>
      <x:c r="M45" t="n">
        <x:v>14313</x:v>
      </x:c>
      <x:c r="N45" t="n">
        <x:v>27596.34698181745</x:v>
      </x:c>
    </x:row>
  </x:sheetData>
  <x:mergeCells>
    <x:mergeCell ref="A1:T1"/>
    <x:mergeCell ref="A24:T24"/>
    <x:mergeCell ref="A33:J33"/>
  </x:mergeCells>
  <x:conditionalFormatting sqref="P13:P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a9056a6789f5422a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28" hidden="0" customWidth="1"/>
    <x:col min="9" max="9" width="14" hidden="0" customWidth="1"/>
    <x:col min="10" max="10" width="12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18" hidden="0" customWidth="1"/>
    <x:col min="16" max="16" width="16" hidden="0" customWidth="1"/>
    <x:col min="17" max="17" width="18" hidden="0" customWidth="1"/>
    <x:col min="18" max="18" width="24" hidden="0" customWidth="1"/>
    <x:col min="19" max="19" width="18" hidden="0" customWidth="1"/>
    <x:col min="20" max="20" width="42" hidden="0" customWidth="1"/>
  </x:cols>
  <x:sheetData>
    <x:row r="1">
      <x:c r="A1" s="403" t="str">
        <x:v>HARD Stage 46~50 — 최종 10~14일+ 성장벽 시뮬레이션 V2.5</x:v>
      </x:c>
      <x:c r="B1" s="403"/>
      <x:c r="C1" s="403"/>
      <x:c r="D1" s="403"/>
      <x:c r="E1" s="403"/>
      <x:c r="F1" s="403"/>
      <x:c r="G1" s="403"/>
      <x:c r="H1" s="403"/>
      <x:c r="I1" s="403"/>
      <x:c r="J1" s="403"/>
      <x:c r="K1" s="403"/>
      <x:c r="L1" s="403"/>
      <x:c r="M1" s="403"/>
      <x:c r="N1" s="403"/>
      <x:c r="O1" s="403"/>
      <x:c r="P1" s="403"/>
      <x:c r="Q1" s="403"/>
      <x:c r="R1" s="403"/>
      <x:c r="S1" s="403"/>
      <x:c r="T1" s="403"/>
    </x:row>
    <x:row r="3">
      <x:c r="A3" s="407" t="str">
        <x:v>항목</x:v>
      </x:c>
      <x:c r="B3" s="407" t="str">
        <x:v>권장 후보</x:v>
      </x:c>
      <x:c r="C3" s="407" t="str">
        <x:v>성격</x:v>
      </x:c>
      <x:c r="D3" s="407" t="str">
        <x:v>적용</x:v>
      </x:c>
      <x:c r="E3" s="407" t="str">
        <x:v>목적</x:v>
      </x:c>
      <x:c r="F3" s="407" t="str">
        <x:v>비고</x:v>
      </x:c>
    </x:row>
    <x:row r="4">
      <x:c r="A4" s="42" t="str">
        <x:v>Stage46 시작 성장재화</x:v>
      </x:c>
      <x:c r="B4" s="42" t="str">
        <x:v>321,070</x:v>
      </x:c>
      <x:c r="C4" s="42" t="str">
        <x:v>V2.4 이월</x:v>
      </x:c>
      <x:c r="D4" s="42" t="str">
        <x:v>Stage45 클리어 후</x:v>
      </x:c>
      <x:c r="E4" s="42" t="str">
        <x:v>최종 구간 연속성</x:v>
      </x:c>
      <x:c r="F4" s="42" t="str">
        <x:v>Stage45 안정권 재화 + 클리어보상 포함</x:v>
      </x:c>
    </x:row>
    <x:row r="5">
      <x:c r="A5" s="42" t="str">
        <x:v>최종 구간 무료 일일재화</x:v>
      </x:c>
      <x:c r="B5" s="42" t="str">
        <x:v>5,500/일</x:v>
      </x:c>
      <x:c r="C5" s="42" t="str">
        <x:v>V2.5 후보</x:v>
      </x:c>
      <x:c r="D5" s="42" t="str">
        <x:v>Stage46 이후 막힘 시</x:v>
      </x:c>
      <x:c r="E5" s="42" t="str">
        <x:v>10~14일+ 최종 성장벽</x:v>
      </x:c>
      <x:c r="F5" s="42" t="str">
        <x:v>최종 무료 루틴/주간 보상 평균화 개념</x:v>
      </x:c>
    </x:row>
    <x:row r="6">
      <x:c r="A6" s="42" t="str">
        <x:v>Stage46 진입 목표</x:v>
      </x:c>
      <x:c r="B6" s="42" t="str">
        <x:v>5인 평균 Lv94</x:v>
      </x:c>
      <x:c r="C6" s="42" t="str">
        <x:v>V2.5 후보</x:v>
      </x:c>
      <x:c r="D6" s="42" t="str">
        <x:v>최종지역 진입</x:v>
      </x:c>
      <x:c r="E6" s="42" t="str">
        <x:v>첫 최종 장기벽</x:v>
      </x:c>
      <x:c r="F6" s="42" t="str">
        <x:v>Lv87→94 성장</x:v>
      </x:c>
    </x:row>
    <x:row r="7">
      <x:c r="A7" s="42" t="str">
        <x:v>Stage48 중간 체크</x:v>
      </x:c>
      <x:c r="B7" s="42" t="str">
        <x:v>5인 평균 Lv96</x:v>
      </x:c>
      <x:c r="C7" s="42" t="str">
        <x:v>V2.5 후보</x:v>
      </x:c>
      <x:c r="D7" s="42" t="str">
        <x:v>중간 스펙 체크</x:v>
      </x:c>
      <x:c r="E7" s="42" t="str">
        <x:v>장기벽 사이 성장 확인</x:v>
      </x:c>
      <x:c r="F7" s="42" t="str">
        <x:v>추가 약 2~4일</x:v>
      </x:c>
    </x:row>
    <x:row r="8">
      <x:c r="A8" s="42" t="str">
        <x:v>Stage50 안정 목표</x:v>
      </x:c>
      <x:c r="B8" s="42" t="str">
        <x:v>5인 평균 Lv100</x:v>
      </x:c>
      <x:c r="C8" s="42" t="str">
        <x:v>V2.5 후보</x:v>
      </x:c>
      <x:c r="D8" s="42" t="str">
        <x:v>최종보스 발테리옹</x:v>
      </x:c>
      <x:c r="E8" s="42" t="str">
        <x:v>엔드게임 만렙 체크</x:v>
      </x:c>
      <x:c r="F8" s="42" t="str">
        <x:v>추가 약 10일</x:v>
      </x:c>
    </x:row>
    <x:row r="9">
      <x:c r="A9" s="42" t="str">
        <x:v>Stage46~50 클리어재화</x:v>
      </x:c>
      <x:c r="B9" s="42" t="str">
        <x:v>36,000</x:v>
      </x:c>
      <x:c r="C9" s="42" t="str">
        <x:v>V2.5 후보</x:v>
      </x:c>
      <x:c r="D9" s="42" t="str">
        <x:v>최초 클리어</x:v>
      </x:c>
      <x:c r="E9" s="42" t="str">
        <x:v>최종구간 진행 보조</x:v>
      </x:c>
      <x:c r="F9" s="42" t="str">
        <x:v>Stage50 보상은 클리어 후 엔드게임용</x:v>
      </x:c>
    </x:row>
    <x:row r="12">
      <x:c r="A12" s="411" t="str">
        <x:v>Stage</x:v>
      </x:c>
      <x:c r="B12" s="411" t="str">
        <x:v>지역</x:v>
      </x:c>
      <x:c r="C12" s="411" t="str">
        <x:v>클리어 성장재화</x:v>
      </x:c>
      <x:c r="D12" s="411" t="str">
        <x:v>누적 스테이지재화</x:v>
      </x:c>
      <x:c r="E12" s="411" t="str">
        <x:v>총재화(대기 제외)</x:v>
      </x:c>
      <x:c r="F12" s="411" t="str">
        <x:v>권장전투력</x:v>
      </x:c>
      <x:c r="G12" s="411" t="str">
        <x:v>권장Lv</x:v>
      </x:c>
      <x:c r="H12" s="411" t="str">
        <x:v>보스</x:v>
      </x:c>
      <x:c r="I12" s="411" t="str">
        <x:v>보스HP</x:v>
      </x:c>
      <x:c r="J12" s="411" t="str">
        <x:v>보스DEF</x:v>
      </x:c>
      <x:c r="K12" s="411" t="str">
        <x:v>평균 압박</x:v>
      </x:c>
      <x:c r="L12" s="411" t="str">
        <x:v>전Stage 대비</x:v>
      </x:c>
      <x:c r="M12" s="411" t="str">
        <x:v>5인 자연Lv</x:v>
      </x:c>
      <x:c r="N12" s="411" t="str">
        <x:v>구간 추가대기일</x:v>
      </x:c>
      <x:c r="O12" s="411" t="str">
        <x:v>체감</x:v>
      </x:c>
      <x:c r="P12" s="411" t="str">
        <x:v>성장목표</x:v>
      </x:c>
      <x:c r="Q12" s="411" t="str">
        <x:v>보스 역할</x:v>
      </x:c>
      <x:c r="R12" s="411" t="str">
        <x:v>세계관 연결</x:v>
      </x:c>
      <x:c r="S12" s="411" t="str">
        <x:v>판정</x:v>
      </x:c>
      <x:c r="T12" s="411" t="str">
        <x:v>설계 메모</x:v>
      </x:c>
    </x:row>
    <x:row r="13">
      <x:c r="A13" s="42" t="n">
        <x:v>46</x:v>
      </x:c>
      <x:c r="B13" s="42" t="str">
        <x:v>심연 상드라크</x:v>
      </x:c>
      <x:c r="C13" s="42" t="n">
        <x:v>6000</x:v>
      </x:c>
      <x:c r="D13" s="42" t="n">
        <x:v>6000</x:v>
      </x:c>
      <x:c r="E13" s="42" t="n">
        <x:v>327070</x:v>
      </x:c>
      <x:c r="F13" s="42" t="n">
        <x:v>15386</x:v>
      </x:c>
      <x:c r="G13" s="42" t="str">
        <x:v>Lv85~100</x:v>
      </x:c>
      <x:c r="H13" s="42" t="str">
        <x:v>심연황실골렘 아르카논</x:v>
      </x:c>
      <x:c r="I13" s="42" t="n">
        <x:v>277221</x:v>
      </x:c>
      <x:c r="J13" s="42" t="n">
        <x:v>170</x:v>
      </x:c>
      <x:c r="K13" s="42" t="n">
        <x:v>417404</x:v>
      </x:c>
      <x:c r="L13" s="246" t="n">
        <x:v>0</x:v>
      </x:c>
      <x:c r="M13" s="42" t="n">
        <x:v>88</x:v>
      </x:c>
      <x:c r="N13" s="42" t="n">
        <x:v>13</x:v>
      </x:c>
      <x:c r="O13" s="42" t="str">
        <x:v>10~14일 장기벽</x:v>
      </x:c>
      <x:c r="P13" s="42" t="str">
        <x:v>5인 Lv94</x:v>
      </x:c>
      <x:c r="Q13" s="42" t="str">
        <x:v>최종지역 진입</x:v>
      </x:c>
      <x:c r="R13" s="42" t="str"/>
      <x:c r="S13" s="42" t="str">
        <x:v>최종 장기벽</x:v>
      </x:c>
      <x:c r="T13" s="42" t="str"/>
    </x:row>
    <x:row r="14">
      <x:c r="A14" s="42" t="n">
        <x:v>47</x:v>
      </x:c>
      <x:c r="B14" s="42" t="str">
        <x:v>심연 상드라크</x:v>
      </x:c>
      <x:c r="C14" s="42" t="n">
        <x:v>6500</x:v>
      </x:c>
      <x:c r="D14" s="42" t="n">
        <x:v>12500</x:v>
      </x:c>
      <x:c r="E14" s="42" t="n">
        <x:v>333570</x:v>
      </x:c>
      <x:c r="F14" s="42" t="n">
        <x:v>16540</x:v>
      </x:c>
      <x:c r="G14" s="42" t="str">
        <x:v>Lv85~100</x:v>
      </x:c>
      <x:c r="H14" s="42" t="str">
        <x:v>침식된 반역장군 드라켄</x:v>
      </x:c>
      <x:c r="I14" s="42" t="n">
        <x:v>306329</x:v>
      </x:c>
      <x:c r="J14" s="42" t="n">
        <x:v>175</x:v>
      </x:c>
      <x:c r="K14" s="42" t="n">
        <x:v>457372</x:v>
      </x:c>
      <x:c r="L14" s="246" t="n">
        <x:v>0.09575254028066627</x:v>
      </x:c>
      <x:c r="M14" s="42" t="n">
        <x:v>89</x:v>
      </x:c>
      <x:c r="N14" s="42" t="n">
        <x:v>0</x:v>
      </x:c>
      <x:c r="O14" s="42" t="str">
        <x:v>진행 구간</x:v>
      </x:c>
      <x:c r="P14" s="42" t="str">
        <x:v>-</x:v>
      </x:c>
      <x:c r="Q14" s="42" t="str">
        <x:v>최종지역 진행</x:v>
      </x:c>
      <x:c r="R14" s="42" t="str"/>
      <x:c r="S14" s="42" t="str">
        <x:v>진행/중간 체크</x:v>
      </x:c>
      <x:c r="T14" s="42" t="str"/>
    </x:row>
    <x:row r="15">
      <x:c r="A15" s="42" t="n">
        <x:v>48</x:v>
      </x:c>
      <x:c r="B15" s="42" t="str">
        <x:v>심연 상드라크</x:v>
      </x:c>
      <x:c r="C15" s="42" t="n">
        <x:v>6500</x:v>
      </x:c>
      <x:c r="D15" s="42" t="n">
        <x:v>19000</x:v>
      </x:c>
      <x:c r="E15" s="42" t="n">
        <x:v>340070</x:v>
      </x:c>
      <x:c r="F15" s="42" t="n">
        <x:v>17781</x:v>
      </x:c>
      <x:c r="G15" s="42" t="str">
        <x:v>Lv85~100</x:v>
      </x:c>
      <x:c r="H15" s="42" t="str">
        <x:v>사룡의 화신 네메시스</x:v>
      </x:c>
      <x:c r="I15" s="42" t="n">
        <x:v>338494</x:v>
      </x:c>
      <x:c r="J15" s="42" t="n">
        <x:v>180</x:v>
      </x:c>
      <x:c r="K15" s="42" t="n">
        <x:v>530641</x:v>
      </x:c>
      <x:c r="L15" s="246" t="n">
        <x:v>0.16019752550775745</x:v>
      </x:c>
      <x:c r="M15" s="42" t="n">
        <x:v>89</x:v>
      </x:c>
      <x:c r="N15" s="42" t="n">
        <x:v>3</x:v>
      </x:c>
      <x:c r="O15" s="42" t="str">
        <x:v>2~4일 중간체크</x:v>
      </x:c>
      <x:c r="P15" s="42" t="str">
        <x:v>5인 Lv96</x:v>
      </x:c>
      <x:c r="Q15" s="42" t="str">
        <x:v>사룡 화신 체크</x:v>
      </x:c>
      <x:c r="R15" s="42" t="str"/>
      <x:c r="S15" s="42" t="str">
        <x:v>진행/중간 체크</x:v>
      </x:c>
      <x:c r="T15" s="42" t="str"/>
    </x:row>
    <x:row r="16">
      <x:c r="A16" s="42" t="n">
        <x:v>49</x:v>
      </x:c>
      <x:c r="B16" s="42" t="str">
        <x:v>심연 상드라크</x:v>
      </x:c>
      <x:c r="C16" s="42" t="n">
        <x:v>7000</x:v>
      </x:c>
      <x:c r="D16" s="42" t="n">
        <x:v>26000</x:v>
      </x:c>
      <x:c r="E16" s="42" t="n">
        <x:v>347070</x:v>
      </x:c>
      <x:c r="F16" s="42" t="n">
        <x:v>19114</x:v>
      </x:c>
      <x:c r="G16" s="42" t="str">
        <x:v>Lv85~100</x:v>
      </x:c>
      <x:c r="H16" s="42" t="str">
        <x:v>종말을 걷는 자 에레보스</x:v>
      </x:c>
      <x:c r="I16" s="42" t="n">
        <x:v>374035</x:v>
      </x:c>
      <x:c r="J16" s="42" t="n">
        <x:v>185</x:v>
      </x:c>
      <x:c r="K16" s="42" t="n">
        <x:v>596251</x:v>
      </x:c>
      <x:c r="L16" s="246" t="n">
        <x:v>0.12364099146143093</x:v>
      </x:c>
      <x:c r="M16" s="42" t="n">
        <x:v>90</x:v>
      </x:c>
      <x:c r="N16" s="42" t="n">
        <x:v>0</x:v>
      </x:c>
      <x:c r="O16" s="42" t="str">
        <x:v>진행 구간</x:v>
      </x:c>
      <x:c r="P16" s="42" t="str">
        <x:v>-</x:v>
      </x:c>
      <x:c r="Q16" s="42" t="str">
        <x:v>최종지역 진행</x:v>
      </x:c>
      <x:c r="R16" s="42" t="str"/>
      <x:c r="S16" s="42" t="str">
        <x:v>진행/중간 체크</x:v>
      </x:c>
      <x:c r="T16" s="42" t="str"/>
    </x:row>
    <x:row r="17">
      <x:c r="A17" s="42" t="n">
        <x:v>50</x:v>
      </x:c>
      <x:c r="B17" s="42" t="str">
        <x:v>심연 상드라크</x:v>
      </x:c>
      <x:c r="C17" s="42" t="n">
        <x:v>10000</x:v>
      </x:c>
      <x:c r="D17" s="42" t="n">
        <x:v>36000</x:v>
      </x:c>
      <x:c r="E17" s="42" t="n">
        <x:v>357070</x:v>
      </x:c>
      <x:c r="F17" s="42" t="n">
        <x:v>20548</x:v>
      </x:c>
      <x:c r="G17" s="42" t="str">
        <x:v>Lv85~100</x:v>
      </x:c>
      <x:c r="H17" s="42" t="str">
        <x:v>침식의 근원, 사룡 발테리옹</x:v>
      </x:c>
      <x:c r="I17" s="42" t="n">
        <x:v>413309</x:v>
      </x:c>
      <x:c r="J17" s="42" t="n">
        <x:v>190</x:v>
      </x:c>
      <x:c r="K17" s="42" t="n">
        <x:v>677710</x:v>
      </x:c>
      <x:c r="L17" s="246" t="n">
        <x:v>0.13661957635542765</x:v>
      </x:c>
      <x:c r="M17" s="42" t="n">
        <x:v>91</x:v>
      </x:c>
      <x:c r="N17" s="42" t="n">
        <x:v>10</x:v>
      </x:c>
      <x:c r="O17" s="42" t="str">
        <x:v>10일+ 최종벽</x:v>
      </x:c>
      <x:c r="P17" s="42" t="str">
        <x:v>5인 Lv100</x:v>
      </x:c>
      <x:c r="Q17" s="42" t="str">
        <x:v>최종보스</x:v>
      </x:c>
      <x:c r="R17" s="42" t="str">
        <x:v>사룡 발테리옹 직접 연결</x:v>
      </x:c>
      <x:c r="S17" s="42" t="str">
        <x:v>최종 장기벽</x:v>
      </x:c>
      <x:c r="T17" s="42" t="str">
        <x:v>Stage50은 만렙 5인 안정권을 기준으로 설정</x:v>
      </x:c>
    </x:row>
    <x:row r="20">
      <x:c r="A20" s="414" t="str">
        <x:v>최종 성장벽 순차 검증</x:v>
      </x:c>
      <x:c r="B20" s="414"/>
      <x:c r="C20" s="414"/>
      <x:c r="D20" s="414"/>
      <x:c r="E20" s="414"/>
      <x:c r="F20" s="414"/>
      <x:c r="G20" s="414"/>
      <x:c r="H20" s="414"/>
      <x:c r="I20" s="414"/>
      <x:c r="J20" s="414"/>
      <x:c r="K20" s="414"/>
      <x:c r="L20" s="414"/>
      <x:c r="M20" s="414"/>
      <x:c r="N20" s="414"/>
      <x:c r="O20" s="414"/>
      <x:c r="P20" s="414"/>
      <x:c r="Q20" s="414"/>
      <x:c r="R20" s="414"/>
      <x:c r="S20" s="414"/>
      <x:c r="T20" s="414"/>
    </x:row>
    <x:row r="21">
      <x:c r="A21" s="417" t="str">
        <x:v>벽</x:v>
      </x:c>
      <x:c r="B21" s="417" t="str">
        <x:v>진입재화</x:v>
      </x:c>
      <x:c r="C21" s="417" t="str">
        <x:v>목표</x:v>
      </x:c>
      <x:c r="D21" s="417" t="str">
        <x:v>필요재화</x:v>
      </x:c>
      <x:c r="E21" s="417" t="str">
        <x:v>부족분</x:v>
      </x:c>
      <x:c r="F21" s="417" t="str">
        <x:v>무료 일일재화</x:v>
      </x:c>
      <x:c r="G21" s="417" t="str">
        <x:v>대기일</x:v>
      </x:c>
      <x:c r="H21" s="417" t="str">
        <x:v>대기후 재화</x:v>
      </x:c>
      <x:c r="I21" s="417" t="str">
        <x:v>판정</x:v>
      </x:c>
      <x:c r="J21" s="417" t="str">
        <x:v>의도</x:v>
      </x:c>
      <x:c r="L21" s="421" t="str">
        <x:v>진행지점</x:v>
      </x:c>
      <x:c r="M21" s="421" t="str">
        <x:v>추가대기일</x:v>
      </x:c>
      <x:c r="N21" s="421" t="str">
        <x:v>누적대기일</x:v>
      </x:c>
      <x:c r="O21" s="421" t="str">
        <x:v>클리어보상 누적</x:v>
      </x:c>
      <x:c r="P21" s="421" t="str">
        <x:v>총재화</x:v>
      </x:c>
      <x:c r="Q21" s="421" t="str">
        <x:v>5인 평균Lv</x:v>
      </x:c>
      <x:c r="R21" s="421" t="str">
        <x:v>목표</x:v>
      </x:c>
      <x:c r="S21" s="421" t="str">
        <x:v>판정</x:v>
      </x:c>
      <x:c r="T21" s="421" t="str">
        <x:v>의미</x:v>
      </x:c>
    </x:row>
    <x:row r="22">
      <x:c r="A22" s="42" t="str">
        <x:v>Stage45→46</x:v>
      </x:c>
      <x:c r="B22" s="42" t="n">
        <x:v>321070</x:v>
      </x:c>
      <x:c r="C22" s="42" t="str">
        <x:v>5인 평균 Lv94</x:v>
      </x:c>
      <x:c r="D22" s="42" t="n">
        <x:v>390870</x:v>
      </x:c>
      <x:c r="E22" s="42" t="n">
        <x:v>69800</x:v>
      </x:c>
      <x:c r="F22" s="42" t="n">
        <x:v>5500</x:v>
      </x:c>
      <x:c r="G22" s="42" t="n">
        <x:v>13</x:v>
      </x:c>
      <x:c r="H22" s="42" t="n">
        <x:v>392570</x:v>
      </x:c>
      <x:c r="I22" s="42" t="str">
        <x:v>10~14일권</x:v>
      </x:c>
      <x:c r="J22" s="42" t="str">
        <x:v>Final 지역 진입 장기벽</x:v>
      </x:c>
      <x:c r="L22" s="42" t="str">
        <x:v>Stage45 직후</x:v>
      </x:c>
      <x:c r="M22" s="42" t="n">
        <x:v>0</x:v>
      </x:c>
      <x:c r="N22" s="42" t="n">
        <x:v>0</x:v>
      </x:c>
      <x:c r="O22" s="42" t="n">
        <x:v>0</x:v>
      </x:c>
      <x:c r="P22" s="42" t="n">
        <x:v>321070</x:v>
      </x:c>
      <x:c r="Q22" s="42" t="n">
        <x:v>88</x:v>
      </x:c>
      <x:c r="R22" s="42" t="str">
        <x:v>Lv94</x:v>
      </x:c>
      <x:c r="S22" s="42" t="str">
        <x:v>부족</x:v>
      </x:c>
      <x:c r="T22" s="42" t="str">
        <x:v>최종구간 장기벽 시작</x:v>
      </x:c>
    </x:row>
    <x:row r="23">
      <x:c r="A23" s="42" t="str">
        <x:v>Stage47→48</x:v>
      </x:c>
      <x:c r="B23" s="42" t="n">
        <x:v>405070</x:v>
      </x:c>
      <x:c r="C23" s="42" t="str">
        <x:v>5인 평균 Lv96</x:v>
      </x:c>
      <x:c r="D23" s="42" t="n">
        <x:v>416570</x:v>
      </x:c>
      <x:c r="E23" s="42" t="n">
        <x:v>11500</x:v>
      </x:c>
      <x:c r="F23" s="42" t="n">
        <x:v>5500</x:v>
      </x:c>
      <x:c r="G23" s="42" t="n">
        <x:v>3</x:v>
      </x:c>
      <x:c r="H23" s="42" t="n">
        <x:v>421570</x:v>
      </x:c>
      <x:c r="I23" s="42" t="str">
        <x:v>보조 체크</x:v>
      </x:c>
      <x:c r="J23" s="42" t="str">
        <x:v>장기벽 사이 성장 체감</x:v>
      </x:c>
      <x:c r="L23" s="42" t="str">
        <x:v>Stage46 진입</x:v>
      </x:c>
      <x:c r="M23" s="42" t="n">
        <x:v>13</x:v>
      </x:c>
      <x:c r="N23" s="42" t="n">
        <x:v>13</x:v>
      </x:c>
      <x:c r="O23" s="42" t="n">
        <x:v>0</x:v>
      </x:c>
      <x:c r="P23" s="42" t="n">
        <x:v>392570</x:v>
      </x:c>
      <x:c r="Q23" s="42" t="n">
        <x:v>94</x:v>
      </x:c>
      <x:c r="R23" s="42" t="str">
        <x:v>Lv94</x:v>
      </x:c>
      <x:c r="S23" s="42" t="str">
        <x:v>권장권</x:v>
      </x:c>
      <x:c r="T23" s="42" t="str">
        <x:v>첫 10~14일 성장</x:v>
      </x:c>
    </x:row>
    <x:row r="24">
      <x:c r="A24" s="42" t="str">
        <x:v>Stage49→50</x:v>
      </x:c>
      <x:c r="B24" s="42" t="n">
        <x:v>418570</x:v>
      </x:c>
      <x:c r="C24" s="42" t="str">
        <x:v>5인 평균 Lv100</x:v>
      </x:c>
      <x:c r="D24" s="42" t="n">
        <x:v>471570</x:v>
      </x:c>
      <x:c r="E24" s="42" t="n">
        <x:v>53000</x:v>
      </x:c>
      <x:c r="F24" s="42" t="n">
        <x:v>5500</x:v>
      </x:c>
      <x:c r="G24" s="42" t="n">
        <x:v>10</x:v>
      </x:c>
      <x:c r="H24" s="42" t="n">
        <x:v>473570</x:v>
      </x:c>
      <x:c r="I24" s="42" t="str">
        <x:v>10일+ 최종벽</x:v>
      </x:c>
      <x:c r="J24" s="42" t="str">
        <x:v>발테리옹 안정권</x:v>
      </x:c>
      <x:c r="L24" s="42" t="str">
        <x:v>Stage47 클리어</x:v>
      </x:c>
      <x:c r="M24" s="42" t="n">
        <x:v>0</x:v>
      </x:c>
      <x:c r="N24" s="42" t="n">
        <x:v>13</x:v>
      </x:c>
      <x:c r="O24" s="42" t="n">
        <x:v>12500</x:v>
      </x:c>
      <x:c r="P24" s="42" t="n">
        <x:v>405070</x:v>
      </x:c>
      <x:c r="Q24" s="42" t="n">
        <x:v>95</x:v>
      </x:c>
      <x:c r="R24" s="42" t="str">
        <x:v>Lv96</x:v>
      </x:c>
      <x:c r="S24" s="42" t="str">
        <x:v>중간체크</x:v>
      </x:c>
      <x:c r="T24" s="42" t="str">
        <x:v>Stage48 준비</x:v>
      </x:c>
    </x:row>
    <x:row r="25">
      <x:c r="L25" s="42" t="str">
        <x:v>Stage48 진입</x:v>
      </x:c>
      <x:c r="M25" s="42" t="n">
        <x:v>3</x:v>
      </x:c>
      <x:c r="N25" s="42" t="n">
        <x:v>16</x:v>
      </x:c>
      <x:c r="O25" s="42" t="n">
        <x:v>12500</x:v>
      </x:c>
      <x:c r="P25" s="42" t="n">
        <x:v>421570</x:v>
      </x:c>
      <x:c r="Q25" s="42" t="n">
        <x:v>96</x:v>
      </x:c>
      <x:c r="R25" s="42" t="str">
        <x:v>Lv96</x:v>
      </x:c>
      <x:c r="S25" s="42" t="str">
        <x:v>권장권</x:v>
      </x:c>
      <x:c r="T25" s="42" t="str">
        <x:v>짧은 중간 성장</x:v>
      </x:c>
    </x:row>
    <x:row r="26">
      <x:c r="L26" s="42" t="str">
        <x:v>Stage49 클리어</x:v>
      </x:c>
      <x:c r="M26" s="42" t="n">
        <x:v>0</x:v>
      </x:c>
      <x:c r="N26" s="42" t="n">
        <x:v>16</x:v>
      </x:c>
      <x:c r="O26" s="42" t="n">
        <x:v>26000</x:v>
      </x:c>
      <x:c r="P26" s="42" t="n">
        <x:v>418570</x:v>
      </x:c>
      <x:c r="Q26" s="42" t="n">
        <x:v>96</x:v>
      </x:c>
      <x:c r="R26" s="42" t="str">
        <x:v>Lv100</x:v>
      </x:c>
      <x:c r="S26" s="42" t="str">
        <x:v>최종벽 준비</x:v>
      </x:c>
      <x:c r="T26" s="42" t="str">
        <x:v>최종보스 전</x:v>
      </x:c>
    </x:row>
    <x:row r="27">
      <x:c r="L27" s="42" t="str">
        <x:v>Stage50 안정권</x:v>
      </x:c>
      <x:c r="M27" s="42" t="n">
        <x:v>10</x:v>
      </x:c>
      <x:c r="N27" s="42" t="n">
        <x:v>26</x:v>
      </x:c>
      <x:c r="O27" s="42" t="n">
        <x:v>26000</x:v>
      </x:c>
      <x:c r="P27" s="42" t="n">
        <x:v>473570</x:v>
      </x:c>
      <x:c r="Q27" s="42" t="n">
        <x:v>100</x:v>
      </x:c>
      <x:c r="R27" s="42" t="str">
        <x:v>Lv100</x:v>
      </x:c>
      <x:c r="S27" s="42" t="str">
        <x:v>권장권</x:v>
      </x:c>
      <x:c r="T27" s="42" t="str">
        <x:v>발테리옹 최종전</x:v>
      </x:c>
    </x:row>
    <x:row r="28">
      <x:c r="A28" s="424" t="str">
        <x:v>HARD 46~50 최종 판정</x:v>
      </x:c>
      <x:c r="B28" s="424"/>
      <x:c r="C28" s="424"/>
      <x:c r="D28" s="424"/>
      <x:c r="E28" s="424"/>
      <x:c r="F28" s="424"/>
      <x:c r="G28" s="424"/>
      <x:c r="H28" s="424"/>
      <x:c r="I28" s="424"/>
      <x:c r="J28" s="424"/>
    </x:row>
    <x:row r="29">
      <x:c r="A29" s="426" t="str">
        <x:v>구간</x:v>
      </x:c>
      <x:c r="B29" s="426" t="str">
        <x:v>판정</x:v>
      </x:c>
      <x:c r="C29" s="426" t="str">
        <x:v>설명</x:v>
      </x:c>
      <x:c r="E29" s="426" t="str">
        <x:v>구간</x:v>
      </x:c>
      <x:c r="F29" s="426" t="str">
        <x:v>권장전투력</x:v>
      </x:c>
      <x:c r="G29" s="426" t="str">
        <x:v>적 압박</x:v>
      </x:c>
      <x:c r="H29" s="426" t="str">
        <x:v>성장목표</x:v>
      </x:c>
      <x:c r="I29" s="426" t="str">
        <x:v>벽 성격</x:v>
      </x:c>
      <x:c r="J29" s="426" t="str">
        <x:v>판정</x:v>
      </x:c>
    </x:row>
    <x:row r="30">
      <x:c r="A30" s="42" t="str">
        <x:v>Stage46</x:v>
      </x:c>
      <x:c r="B30" s="42" t="str">
        <x:v>약 13일</x:v>
      </x:c>
      <x:c r="C30" s="42" t="str">
        <x:v>Stage45 Lv87 안정권에서 최종지역 안정 목표 Lv94까지 약 13일. Final 진입 장기벽 역할.</x:v>
      </x:c>
      <x:c r="E30" s="42" t="str">
        <x:v>46→48</x:v>
      </x:c>
      <x:c r="F30" s="42" t="str">
        <x:v>15386→17781 (+15.6%)</x:v>
      </x:c>
      <x:c r="G30" s="42" t="str">
        <x:v>417404→530641 (+27.1%)</x:v>
      </x:c>
      <x:c r="H30" s="42" t="str">
        <x:v>Lv94→96</x:v>
      </x:c>
      <x:c r="I30" s="42" t="str">
        <x:v>장기벽 후 진행</x:v>
      </x:c>
      <x:c r="J30" s="42" t="str">
        <x:v>유지</x:v>
      </x:c>
      <x:c r="L30" t="str">
        <x:v>Stage</x:v>
      </x:c>
      <x:c r="M30" t="str">
        <x:v>권장전투력</x:v>
      </x:c>
      <x:c r="N30" t="str">
        <x:v>압박 상대지수(46=15386)</x:v>
      </x:c>
    </x:row>
    <x:row r="31">
      <x:c r="A31" s="42" t="str">
        <x:v>Stage47</x:v>
      </x:c>
      <x:c r="B31" s="42" t="str">
        <x:v>진행 구간</x:v>
      </x:c>
      <x:c r="C31" s="42" t="str">
        <x:v>Stage46에서 확보한 성장으로 연속 진행.</x:v>
      </x:c>
      <x:c r="E31" s="42" t="str">
        <x:v>48→50</x:v>
      </x:c>
      <x:c r="F31" s="42" t="str">
        <x:v>17781→20548 (+15.6%)</x:v>
      </x:c>
      <x:c r="G31" s="42" t="str">
        <x:v>530641→677710 (+27.7%)</x:v>
      </x:c>
      <x:c r="H31" s="42" t="str">
        <x:v>Lv96→100</x:v>
      </x:c>
      <x:c r="I31" s="42" t="str">
        <x:v>최종 만렙벽</x:v>
      </x:c>
      <x:c r="J31" s="42" t="str">
        <x:v>유지</x:v>
      </x:c>
      <x:c r="L31" t="n">
        <x:v>46</x:v>
      </x:c>
      <x:c r="M31" t="n">
        <x:v>15386</x:v>
      </x:c>
      <x:c r="N31" t="n">
        <x:v>15386</x:v>
      </x:c>
    </x:row>
    <x:row r="32">
      <x:c r="A32" s="42" t="str">
        <x:v>Stage48</x:v>
      </x:c>
      <x:c r="B32" s="42" t="str">
        <x:v>약 3일</x:v>
      </x:c>
      <x:c r="C32" s="42" t="str">
        <x:v>Lv96 중간 체크. 별도 장기벽이 아니라 최종 성장 과정 확인용.</x:v>
      </x:c>
      <x:c r="E32" s="42" t="str">
        <x:v>46→50 전체</x:v>
      </x:c>
      <x:c r="F32" s="42" t="str">
        <x:v>15386→20548 (+33.5%)</x:v>
      </x:c>
      <x:c r="G32" s="42" t="str">
        <x:v>417404→677710 (+62.4%)</x:v>
      </x:c>
      <x:c r="H32" s="42" t="str">
        <x:v>5인 만렙 완성</x:v>
      </x:c>
      <x:c r="I32" s="42" t="str">
        <x:v>엔드게임</x:v>
      </x:c>
      <x:c r="J32" s="42" t="str">
        <x:v>유지</x:v>
      </x:c>
      <x:c r="L32" t="n">
        <x:v>47</x:v>
      </x:c>
      <x:c r="M32" t="n">
        <x:v>16540</x:v>
      </x:c>
      <x:c r="N32" t="n">
        <x:v>16859.24858475833</x:v>
      </x:c>
    </x:row>
    <x:row r="33">
      <x:c r="A33" s="42" t="str">
        <x:v>Stage49</x:v>
      </x:c>
      <x:c r="B33" s="42" t="str">
        <x:v>진행 구간</x:v>
      </x:c>
      <x:c r="C33" s="42" t="str">
        <x:v>Lv96권 전력으로 진행하며 Stage50 만렙 준비.</x:v>
      </x:c>
      <x:c r="L33" t="n">
        <x:v>48</x:v>
      </x:c>
      <x:c r="M33" t="n">
        <x:v>17781</x:v>
      </x:c>
      <x:c r="N33" t="n">
        <x:v>19560.058489956777</x:v>
      </x:c>
    </x:row>
    <x:row r="34">
      <x:c r="A34" s="42" t="str">
        <x:v>Stage50</x:v>
      </x:c>
      <x:c r="B34" s="42" t="str">
        <x:v>약 10일</x:v>
      </x:c>
      <x:c r="C34" s="42" t="str">
        <x:v>5인 Lv100 안정권을 요구하는 최종 장기벽. 결제 없이도 시간 누적으로 도달 가능.</x:v>
      </x:c>
      <x:c r="L34" t="n">
        <x:v>49</x:v>
      </x:c>
      <x:c r="M34" t="n">
        <x:v>19114</x:v>
      </x:c>
      <x:c r="N34" t="n">
        <x:v>21978.48351469861</x:v>
      </x:c>
    </x:row>
    <x:row r="35">
      <x:c r="A35" s="42" t="str">
        <x:v>전체</x:v>
      </x:c>
      <x:c r="B35" s="42" t="str">
        <x:v>엔드게임 완성</x:v>
      </x:c>
      <x:c r="C35" s="42" t="str">
        <x:v>Stage46 13일 + 중간 3일 + Stage50 10일 수준. 최종 5개 스테이지에서 성장 목표가 명확함.</x:v>
      </x:c>
      <x:c r="L35" t="n">
        <x:v>50</x:v>
      </x:c>
      <x:c r="M35" t="n">
        <x:v>20548</x:v>
      </x:c>
      <x:c r="N35" t="n">
        <x:v>24981.174621411486</x:v>
      </x:c>
    </x:row>
    <x:row r="36">
      <x:c r="A36" s="42" t="str">
        <x:v>발테리옹</x:v>
      </x:c>
      <x:c r="B36" s="42" t="str">
        <x:v>최종보스</x:v>
      </x:c>
      <x:c r="C36" s="42" t="str">
        <x:v>기존 동일 세계관 직접 연결 설정 유지. 별도 신규 설정을 추가하지 않고 현 보스 데이터 기준으로 검증.</x:v>
      </x:c>
    </x:row>
  </x:sheetData>
  <x:mergeCells>
    <x:mergeCell ref="A1:T1"/>
    <x:mergeCell ref="A20:T20"/>
    <x:mergeCell ref="A28:J28"/>
  </x:mergeCells>
  <x:conditionalFormatting sqref="N13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f5c228e1e3b64535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4" hidden="0" customWidth="1"/>
    <x:col min="5" max="5" width="42" hidden="0" customWidth="1"/>
    <x:col min="6" max="6" width="24" hidden="0" customWidth="1"/>
    <x:col min="7" max="7" width="18" hidden="0" customWidth="1"/>
    <x:col min="8" max="8" width="16" hidden="0" customWidth="1"/>
    <x:col min="9" max="9" width="28" hidden="0" customWidth="1"/>
    <x:col min="10" max="10" width="34" hidden="0" customWidth="1"/>
  </x:cols>
  <x:sheetData>
    <x:row r="1">
      <x:c r="A1" s="433" t="str">
        <x:v>LUCKY GIRLS 1~50 무과금 밸런스 최종 검수 V2.6</x:v>
      </x:c>
      <x:c r="B1" s="433"/>
      <x:c r="C1" s="433"/>
      <x:c r="D1" s="433"/>
      <x:c r="E1" s="433"/>
      <x:c r="F1" s="433"/>
      <x:c r="G1" s="433"/>
      <x:c r="H1" s="433"/>
      <x:c r="I1" s="433"/>
      <x:c r="J1" s="433"/>
    </x:row>
    <x:row r="3">
      <x:c r="A3" s="437" t="str">
        <x:v>검수 항목</x:v>
      </x:c>
      <x:c r="B3" s="437" t="str">
        <x:v>결과</x:v>
      </x:c>
      <x:c r="C3" s="437" t="str">
        <x:v>심각도</x:v>
      </x:c>
      <x:c r="D3" s="437" t="str">
        <x:v>현재 수치 판단</x:v>
      </x:c>
      <x:c r="E3" s="437" t="str">
        <x:v>근거</x:v>
      </x:c>
      <x:c r="F3" s="437" t="str">
        <x:v>조치</x:v>
      </x:c>
      <x:c r="G3" s="437" t="str">
        <x:v>타이트함 허용 여부</x:v>
      </x:c>
      <x:c r="H3" s="437" t="str">
        <x:v>무과금 가능성</x:v>
      </x:c>
      <x:c r="I3" s="437" t="str">
        <x:v>후속 확인</x:v>
      </x:c>
      <x:c r="J3" s="437" t="str">
        <x:v>비고</x:v>
      </x:c>
    </x:row>
    <x:row r="4">
      <x:c r="A4" s="42" t="str">
        <x:v>전체 난도곡선</x:v>
      </x:c>
      <x:c r="B4" s="42" t="str">
        <x:v>PASS</x:v>
      </x:c>
      <x:c r="C4" s="42" t="str">
        <x:v>낮음</x:v>
      </x:c>
      <x:c r="D4" s="42" t="str">
        <x:v>타이트하지만 의도 범위</x:v>
      </x:c>
      <x:c r="E4" s="42" t="str">
        <x:v>Normal→Hard로 갈수록 벽이 길어지고, 각 벽 사이 진행 구간이 존재</x:v>
      </x:c>
      <x:c r="F4" s="42" t="str">
        <x:v>수치 유지</x:v>
      </x:c>
      <x:c r="G4" s="42" t="str">
        <x:v>허용</x:v>
      </x:c>
      <x:c r="H4" s="42" t="str">
        <x:v>가능</x:v>
      </x:c>
      <x:c r="I4" s="42" t="str">
        <x:v>엔진 전투 테스트</x:v>
      </x:c>
      <x:c r="J4" s="42" t="str">
        <x:v>무과금이 느린 것이 본 설계 목적</x:v>
      </x:c>
    </x:row>
    <x:row r="5">
      <x:c r="A5" s="42" t="str">
        <x:v>Normal 1~20</x:v>
      </x:c>
      <x:c r="B5" s="42" t="str">
        <x:v>PASS</x:v>
      </x:c>
      <x:c r="C5" s="42" t="str">
        <x:v>낮음</x:v>
      </x:c>
      <x:c r="D5" s="42" t="str">
        <x:v>초반 과도한 벽 없음</x:v>
      </x:c>
      <x:c r="E5" s="42" t="str">
        <x:v>자연 성장으로 Lv1~40권 진입, 주요 장기 대기 없음</x:v>
      </x:c>
      <x:c r="F5" s="42" t="str">
        <x:v>수치 유지</x:v>
      </x:c>
      <x:c r="G5" s="42" t="str">
        <x:v>허용</x:v>
      </x:c>
      <x:c r="H5" s="42" t="str">
        <x:v>높음</x:v>
      </x:c>
      <x:c r="I5" s="42" t="str">
        <x:v>실제 맵/공속/스킬계수</x:v>
      </x:c>
      <x:c r="J5" s="42" t="str">
        <x:v>학습·성장 체감 구간으로 적절</x:v>
      </x:c>
    </x:row>
    <x:row r="6">
      <x:c r="A6" s="42" t="str">
        <x:v>Normal 21~30</x:v>
      </x:c>
      <x:c r="B6" s="42" t="str">
        <x:v>PASS</x:v>
      </x:c>
      <x:c r="C6" s="42" t="str">
        <x:v>낮음</x:v>
      </x:c>
      <x:c r="D6" s="42" t="str">
        <x:v>의도적으로 타이트</x:v>
      </x:c>
      <x:c r="E6" s="42" t="str">
        <x:v>Stage21/26/30 약 5일씩, 사이 스테이지 연속 진행</x:v>
      </x:c>
      <x:c r="F6" s="42" t="str">
        <x:v>수치 유지</x:v>
      </x:c>
      <x:c r="G6" s="42" t="str">
        <x:v>허용</x:v>
      </x:c>
      <x:c r="H6" s="42" t="str">
        <x:v>가능</x:v>
      </x:c>
      <x:c r="I6" s="42" t="str">
        <x:v>무료 일일재화 2,000 확정</x:v>
      </x:c>
      <x:c r="J6" s="42" t="str">
        <x:v>매 스테이지 대기가 아니라 주요 벽만 대기</x:v>
      </x:c>
    </x:row>
    <x:row r="7">
      <x:c r="A7" s="42" t="str">
        <x:v>Hard 31~36</x:v>
      </x:c>
      <x:c r="B7" s="42" t="str">
        <x:v>PASS</x:v>
      </x:c>
      <x:c r="C7" s="42" t="str">
        <x:v>낮음</x:v>
      </x:c>
      <x:c r="D7" s="42" t="str">
        <x:v>첫 명확한 과금 유혹 구간</x:v>
      </x:c>
      <x:c r="E7" s="42" t="str">
        <x:v>Stage31 7일, Stage34 6일, Stage36 3일 보조</x:v>
      </x:c>
      <x:c r="F7" s="42" t="str">
        <x:v>수치 유지</x:v>
      </x:c>
      <x:c r="G7" s="42" t="str">
        <x:v>허용</x:v>
      </x:c>
      <x:c r="H7" s="42" t="str">
        <x:v>가능</x:v>
      </x:c>
      <x:c r="I7" s="42" t="str">
        <x:v>한계돌파 III 체감</x:v>
      </x:c>
      <x:c r="J7" s="42" t="str">
        <x:v>Hard 진입 체감이 명확함</x:v>
      </x:c>
    </x:row>
    <x:row r="8">
      <x:c r="A8" s="42" t="str">
        <x:v>Hard 37~45</x:v>
      </x:c>
      <x:c r="B8" s="42" t="str">
        <x:v>PASS</x:v>
      </x:c>
      <x:c r="C8" s="42" t="str">
        <x:v>중간</x:v>
      </x:c>
      <x:c r="D8" s="42" t="str">
        <x:v>상당히 타이트</x:v>
      </x:c>
      <x:c r="E8" s="42" t="str">
        <x:v>Stage37/40 각 9일, Stage43 14일, Stage45 2일</x:v>
      </x:c>
      <x:c r="F8" s="42" t="str">
        <x:v>수치 유지</x:v>
      </x:c>
      <x:c r="G8" s="42" t="str">
        <x:v>허용</x:v>
      </x:c>
      <x:c r="H8" s="42" t="str">
        <x:v>가능</x:v>
      </x:c>
      <x:c r="I8" s="42" t="str">
        <x:v>장기 반복 콘텐츠 재미</x:v>
      </x:c>
      <x:c r="J8" s="42" t="str">
        <x:v>수치상 의도 일치, 피로도는 콘텐츠 구성에 좌우</x:v>
      </x:c>
    </x:row>
    <x:row r="9">
      <x:c r="A9" s="42" t="str">
        <x:v>Hard 46~50</x:v>
      </x:c>
      <x:c r="B9" s="42" t="str">
        <x:v>PASS</x:v>
      </x:c>
      <x:c r="C9" s="42" t="str">
        <x:v>중간</x:v>
      </x:c>
      <x:c r="D9" s="42" t="str">
        <x:v>엔드게임답게 매우 타이트</x:v>
      </x:c>
      <x:c r="E9" s="42" t="str">
        <x:v>Stage46 13일, Stage48 3일, Stage50 10일</x:v>
      </x:c>
      <x:c r="F9" s="42" t="str">
        <x:v>수치 유지</x:v>
      </x:c>
      <x:c r="G9" s="42" t="str">
        <x:v>허용</x:v>
      </x:c>
      <x:c r="H9" s="42" t="str">
        <x:v>가능</x:v>
      </x:c>
      <x:c r="I9" s="42" t="str">
        <x:v>발테리옹 실제 전투</x:v>
      </x:c>
      <x:c r="J9" s="42" t="str">
        <x:v>최종 만렙 5인 목표와 일치</x:v>
      </x:c>
    </x:row>
    <x:row r="10">
      <x:c r="A10" s="42" t="str">
        <x:v>누적 무료 대기시간</x:v>
      </x:c>
      <x:c r="B10" s="42" t="str">
        <x:v>WATCH</x:v>
      </x:c>
      <x:c r="C10" s="42" t="str">
        <x:v>중간</x:v>
      </x:c>
      <x:c r="D10" s="42" t="str">
        <x:v>Stage21 이후 주요 벽 합계 약 91일</x:v>
      </x:c>
      <x:c r="E10" s="42" t="str">
        <x:v>대기 일수 단순 합계. 실제 이벤트/일일보상/실력 차이로 단축 가능</x:v>
      </x:c>
      <x:c r="F10" s="42" t="str">
        <x:v>현 시점 유지, 라이브 테스트에서 이탈률만 확인</x:v>
      </x:c>
      <x:c r="G10" s="42" t="str">
        <x:v>허용</x:v>
      </x:c>
      <x:c r="H10" s="42" t="str">
        <x:v>가능</x:v>
      </x:c>
      <x:c r="I10" s="42" t="str">
        <x:v>D1/D7/D30·벽별 이탈률</x:v>
      </x:c>
      <x:c r="J10" s="42" t="str">
        <x:v>타이트함 자체 문제는 아니나 약 3개월 장기 여정</x:v>
      </x:c>
    </x:row>
    <x:row r="11">
      <x:c r="A11" s="42" t="str">
        <x:v>TD 골드 vs 로비 성장재화</x:v>
      </x:c>
      <x:c r="B11" s="42" t="str">
        <x:v>WATCH</x:v>
      </x:c>
      <x:c r="C11" s="42" t="str">
        <x:v>중간</x:v>
      </x:c>
      <x:c r="D11" s="42" t="str">
        <x:v>서로 다른 경제축으로 동작</x:v>
      </x:c>
      <x:c r="E11" s="42" t="str">
        <x:v>계정 경제 패시브는 시작/처치/웨이브 골드를 올리지만 현재 성장벽 계산은 로비 성장재화 기준</x:v>
      </x:c>
      <x:c r="F11" s="42" t="str">
        <x:v>통화 구분 UI/문서 명확화</x:v>
      </x:c>
      <x:c r="G11" s="42" t="str">
        <x:v>허용</x:v>
      </x:c>
      <x:c r="H11" s="42" t="str">
        <x:v>가능</x:v>
      </x:c>
      <x:c r="I11" s="42" t="str">
        <x:v>계정 스킬이 성장재화에도 적용되는지 결정</x:v>
      </x:c>
      <x:c r="J11" s="42" t="str">
        <x:v>의도 혼동 가능성이 가장 큼</x:v>
      </x:c>
    </x:row>
    <x:row r="12">
      <x:c r="A12" s="42" t="str">
        <x:v>계정 레벨 경제패시브</x:v>
      </x:c>
      <x:c r="B12" s="42" t="str">
        <x:v>WATCH</x:v>
      </x:c>
      <x:c r="C12" s="42" t="str">
        <x:v>중간</x:v>
      </x:c>
      <x:c r="D12" s="42" t="str">
        <x:v>TD 빌드는 완화하지만 대기벽은 거의 안 줄임</x:v>
      </x:c>
      <x:c r="E12" s="42" t="str">
        <x:v>Lv100 패시브가 TD 골드 위주라 7~14일 로비 성장벽에 직접 영향 없음</x:v>
      </x:c>
      <x:c r="F12" s="42" t="str">
        <x:v>원한다면 '성장재화 획득 +%' 별도 패시브 검토</x:v>
      </x:c>
      <x:c r="G12" s="42" t="str">
        <x:v>허용</x:v>
      </x:c>
      <x:c r="H12" s="42" t="str">
        <x:v>가능</x:v>
      </x:c>
      <x:c r="I12" s="42" t="str">
        <x:v>마스터 의도 확인</x:v>
      </x:c>
      <x:c r="J12" s="42" t="str">
        <x:v>현재 구조도 성립하지만 이전 발언과 체감이 다를 수 있음</x:v>
      </x:c>
    </x:row>
    <x:row r="13">
      <x:c r="A13" s="42" t="str">
        <x:v>보스 데이터 정합성</x:v>
      </x:c>
      <x:c r="B13" s="42" t="str">
        <x:v>FIXED</x:v>
      </x:c>
      <x:c r="C13" s="42" t="str">
        <x:v>높음</x:v>
      </x:c>
      <x:c r="D13" s="42" t="str">
        <x:v>6개 W10 명칭 불일치 발견</x:v>
      </x:c>
      <x:c r="E13" s="42" t="str">
        <x:v>Stage33/36/39/42/45/50 웨이브 보스명이 보스 시트와 달랐음</x:v>
      </x:c>
      <x:c r="F13" s="42" t="str">
        <x:v>보스 시트를 기준으로 웨이브명 수정</x:v>
      </x:c>
      <x:c r="G13" s="42" t="str">
        <x:v>해당없음</x:v>
      </x:c>
      <x:c r="H13" s="42" t="str">
        <x:v>해당없음</x:v>
      </x:c>
      <x:c r="I13" s="42" t="str">
        <x:v>없음</x:v>
      </x:c>
      <x:c r="J13" s="42" t="str">
        <x:v>세계관 연결 보스 포함</x:v>
      </x:c>
    </x:row>
    <x:row r="14">
      <x:c r="A14" s="42" t="str">
        <x:v>성장 문구 정합성</x:v>
      </x:c>
      <x:c r="B14" s="42" t="str">
        <x:v>FIXED</x:v>
      </x:c>
      <x:c r="C14" s="42" t="str">
        <x:v>중간</x:v>
      </x:c>
      <x:c r="D14" s="42" t="str">
        <x:v>구버전 1~2일/2~4일 문구 잔존</x:v>
      </x:c>
      <x:c r="E14" s="42" t="str">
        <x:v>성장_전투_규칙 및 Stage31~36 웨이브 메모가 최신 일수와 충돌</x:v>
      </x:c>
      <x:c r="F14" s="42" t="str">
        <x:v>최신 1주/7~14일 기준으로 수정</x:v>
      </x:c>
      <x:c r="G14" s="42" t="str">
        <x:v>해당없음</x:v>
      </x:c>
      <x:c r="H14" s="42" t="str">
        <x:v>해당없음</x:v>
      </x:c>
      <x:c r="I14" s="42" t="str">
        <x:v>없음</x:v>
      </x:c>
      <x:c r="J14" s="42" t="str">
        <x:v>수치 자체는 변경하지 않음</x:v>
      </x:c>
    </x:row>
    <x:row r="15">
      <x:c r="A15" s="42" t="str">
        <x:v>최종 판정</x:v>
      </x:c>
      <x:c r="B15" s="42" t="str">
        <x:v>PASS</x:v>
      </x:c>
      <x:c r="C15" s="42" t="str">
        <x:v>-</x:v>
      </x:c>
      <x:c r="D15" s="42" t="str">
        <x:v>현재는 '너무 타이트해서 불가능'한 구간 없음</x:v>
      </x:c>
      <x:c r="E15" s="42" t="str">
        <x:v>모든 주요 벽에 무료 시간해결 경로가 있고 코어도 무과금 공급됨</x:v>
      </x:c>
      <x:c r="F15" s="42" t="str">
        <x:v>현 밸런스 유지</x:v>
      </x:c>
      <x:c r="G15" s="42" t="str">
        <x:v>허용</x:v>
      </x:c>
      <x:c r="H15" s="42" t="str">
        <x:v>가능</x:v>
      </x:c>
      <x:c r="I15" s="42" t="str">
        <x:v>엔진/유저테스트에서 미세조정</x:v>
      </x:c>
      <x:c r="J15" s="42" t="str">
        <x:v>지금 단계에서 적 스펙 또는 대기일 완화 불필요</x:v>
      </x:c>
    </x:row>
    <x:row r="18">
      <x:c r="A18" s="440" t="str">
        <x:v>주요 무과금 성장벽 타임라인</x:v>
      </x:c>
      <x:c r="B18" s="440"/>
      <x:c r="C18" s="440"/>
      <x:c r="D18" s="440"/>
      <x:c r="E18" s="440"/>
      <x:c r="F18" s="440"/>
      <x:c r="G18" s="440"/>
      <x:c r="H18" s="440"/>
      <x:c r="I18" s="440"/>
      <x:c r="J18" s="440"/>
    </x:row>
    <x:row r="19">
      <x:c r="A19" s="442" t="str">
        <x:v>벽</x:v>
      </x:c>
      <x:c r="B19" s="442" t="str">
        <x:v>무료 대기일</x:v>
      </x:c>
      <x:c r="C19" s="442" t="str">
        <x:v>구간 성격</x:v>
      </x:c>
      <x:c r="D19" s="442" t="str">
        <x:v>검수</x:v>
      </x:c>
      <x:c r="F19" s="444" t="str">
        <x:v>종합 지표</x:v>
      </x:c>
      <x:c r="G19" s="444" t="str">
        <x:v>값</x:v>
      </x:c>
      <x:c r="H19" s="444" t="str">
        <x:v>판정</x:v>
      </x:c>
      <x:c r="I19" s="444" t="str">
        <x:v>설명</x:v>
      </x:c>
      <x:c r="J19" s="444" t="str">
        <x:v>조치</x:v>
      </x:c>
    </x:row>
    <x:row r="20">
      <x:c r="A20" s="42" t="str">
        <x:v>N20→21</x:v>
      </x:c>
      <x:c r="B20" s="42" t="n">
        <x:v>5</x:v>
      </x:c>
      <x:c r="C20" s="42" t="str">
        <x:v>Normal 성장벽</x:v>
      </x:c>
      <x:c r="D20" s="42" t="str">
        <x:v>의도 범위</x:v>
      </x:c>
      <x:c r="F20" s="42" t="str">
        <x:v>Stage21 이후 주요벽 누적 대기</x:v>
      </x:c>
      <x:c r="G20" s="42" t="str">
        <x:v>91일</x:v>
      </x:c>
      <x:c r="H20" s="42" t="str">
        <x:v>타이트/의도적</x:v>
      </x:c>
      <x:c r="I20" s="42" t="str">
        <x:v>단순 합계 기준</x:v>
      </x:c>
      <x:c r="J20" s="42" t="str">
        <x:v>완화하지 않음</x:v>
      </x:c>
    </x:row>
    <x:row r="21">
      <x:c r="A21" s="42" t="str">
        <x:v>N25→26</x:v>
      </x:c>
      <x:c r="B21" s="42" t="n">
        <x:v>5</x:v>
      </x:c>
      <x:c r="C21" s="42" t="str">
        <x:v>Normal 성장벽</x:v>
      </x:c>
      <x:c r="D21" s="42" t="str">
        <x:v>의도 범위</x:v>
      </x:c>
      <x:c r="F21" s="42" t="str">
        <x:v>최장 단일벽</x:v>
      </x:c>
      <x:c r="G21" s="42" t="str">
        <x:v>14일</x:v>
      </x:c>
      <x:c r="H21" s="42" t="str">
        <x:v>의도 범위 상단</x:v>
      </x:c>
      <x:c r="I21" s="42" t="str">
        <x:v>Stage42→43</x:v>
      </x:c>
      <x:c r="J21" s="42" t="str">
        <x:v>유지</x:v>
      </x:c>
    </x:row>
    <x:row r="22">
      <x:c r="A22" s="42" t="str">
        <x:v>N29→30</x:v>
      </x:c>
      <x:c r="B22" s="42" t="n">
        <x:v>5</x:v>
      </x:c>
      <x:c r="C22" s="42" t="str">
        <x:v>Normal 성장벽</x:v>
      </x:c>
      <x:c r="D22" s="42" t="str">
        <x:v>의도 범위</x:v>
      </x:c>
      <x:c r="F22" s="42" t="str">
        <x:v>최종벽</x:v>
      </x:c>
      <x:c r="G22" s="42" t="str">
        <x:v>10일</x:v>
      </x:c>
      <x:c r="H22" s="42" t="str">
        <x:v>적정</x:v>
      </x:c>
      <x:c r="I22" s="42" t="str">
        <x:v>Stage49→50 Lv100</x:v>
      </x:c>
      <x:c r="J22" s="42" t="str">
        <x:v>유지</x:v>
      </x:c>
    </x:row>
    <x:row r="23">
      <x:c r="A23" s="42" t="str">
        <x:v>H30→31</x:v>
      </x:c>
      <x:c r="B23" s="42" t="n">
        <x:v>7</x:v>
      </x:c>
      <x:c r="C23" s="42" t="str">
        <x:v>Hard 성장벽</x:v>
      </x:c>
      <x:c r="D23" s="42" t="str">
        <x:v>의도 범위</x:v>
      </x:c>
      <x:c r="F23" s="42" t="str">
        <x:v>명확한 데이터 오류</x:v>
      </x:c>
      <x:c r="G23" s="42" t="str">
        <x:v>6개 보스명 + 구버전 문구</x:v>
      </x:c>
      <x:c r="H23" s="42" t="str">
        <x:v>수정 완료</x:v>
      </x:c>
      <x:c r="I23" s="42" t="str">
        <x:v>밸런스 수치는 유지</x:v>
      </x:c>
      <x:c r="J23" s="42" t="str">
        <x:v>완료</x:v>
      </x:c>
    </x:row>
    <x:row r="24">
      <x:c r="A24" s="42" t="str">
        <x:v>H33→34</x:v>
      </x:c>
      <x:c r="B24" s="42" t="n">
        <x:v>6</x:v>
      </x:c>
      <x:c r="C24" s="42" t="str">
        <x:v>Hard 성장벽</x:v>
      </x:c>
      <x:c r="D24" s="42" t="str">
        <x:v>의도 범위</x:v>
      </x:c>
    </x:row>
    <x:row r="25">
      <x:c r="A25" s="42" t="str">
        <x:v>H35→36</x:v>
      </x:c>
      <x:c r="B25" s="42" t="n">
        <x:v>3</x:v>
      </x:c>
      <x:c r="C25" s="42" t="str">
        <x:v>Hard 성장벽</x:v>
      </x:c>
      <x:c r="D25" s="42" t="str">
        <x:v>의도 범위</x:v>
      </x:c>
    </x:row>
    <x:row r="26">
      <x:c r="A26" s="42" t="str">
        <x:v>H36→37</x:v>
      </x:c>
      <x:c r="B26" s="42" t="n">
        <x:v>9</x:v>
      </x:c>
      <x:c r="C26" s="42" t="str">
        <x:v>Hard 성장벽</x:v>
      </x:c>
      <x:c r="D26" s="42" t="str">
        <x:v>의도 범위</x:v>
      </x:c>
    </x:row>
    <x:row r="27">
      <x:c r="A27" s="42" t="str">
        <x:v>H39→40</x:v>
      </x:c>
      <x:c r="B27" s="42" t="n">
        <x:v>9</x:v>
      </x:c>
      <x:c r="C27" s="42" t="str">
        <x:v>Hard 성장벽</x:v>
      </x:c>
      <x:c r="D27" s="42" t="str">
        <x:v>의도 범위</x:v>
      </x:c>
    </x:row>
    <x:row r="28">
      <x:c r="A28" s="42" t="str">
        <x:v>H42→43</x:v>
      </x:c>
      <x:c r="B28" s="42" t="n">
        <x:v>14</x:v>
      </x:c>
      <x:c r="C28" s="42" t="str">
        <x:v>Hard 엔드게임</x:v>
      </x:c>
      <x:c r="D28" s="42" t="str">
        <x:v>의도 범위</x:v>
      </x:c>
    </x:row>
    <x:row r="29">
      <x:c r="A29" s="42" t="str">
        <x:v>H44→45</x:v>
      </x:c>
      <x:c r="B29" s="42" t="n">
        <x:v>2</x:v>
      </x:c>
      <x:c r="C29" s="42" t="str">
        <x:v>Hard 성장벽</x:v>
      </x:c>
      <x:c r="D29" s="42" t="str">
        <x:v>의도 범위</x:v>
      </x:c>
    </x:row>
    <x:row r="30">
      <x:c r="A30" s="42" t="str">
        <x:v>H45→46</x:v>
      </x:c>
      <x:c r="B30" s="42" t="n">
        <x:v>13</x:v>
      </x:c>
      <x:c r="C30" s="42" t="str">
        <x:v>Hard 엔드게임</x:v>
      </x:c>
      <x:c r="D30" s="42" t="str">
        <x:v>의도 범위</x:v>
      </x:c>
    </x:row>
    <x:row r="31">
      <x:c r="A31" s="42" t="str">
        <x:v>H47→48</x:v>
      </x:c>
      <x:c r="B31" s="42" t="n">
        <x:v>3</x:v>
      </x:c>
      <x:c r="C31" s="42" t="str">
        <x:v>Hard 성장벽</x:v>
      </x:c>
      <x:c r="D31" s="42" t="str">
        <x:v>의도 범위</x:v>
      </x:c>
    </x:row>
    <x:row r="32">
      <x:c r="A32" s="42" t="str">
        <x:v>H49→50</x:v>
      </x:c>
      <x:c r="B32" s="42" t="n">
        <x:v>10</x:v>
      </x:c>
      <x:c r="C32" s="42" t="str">
        <x:v>Hard 엔드게임</x:v>
      </x:c>
      <x:c r="D32" s="42" t="str">
        <x:v>의도 범위</x:v>
      </x:c>
    </x:row>
    <x:row r="35">
      <x:c r="A35" s="447" t="str">
        <x:v>교차 시트 보스명 수정 내역</x:v>
      </x:c>
      <x:c r="B35" s="447"/>
      <x:c r="C35" s="447"/>
      <x:c r="D35" s="447"/>
      <x:c r="E35" s="447"/>
      <x:c r="F35" s="447"/>
      <x:c r="G35" s="447"/>
      <x:c r="H35" s="447"/>
      <x:c r="I35" s="447"/>
      <x:c r="J35" s="447"/>
    </x:row>
    <x:row r="36">
      <x:c r="A36" s="449" t="str">
        <x:v>Stage</x:v>
      </x:c>
      <x:c r="B36" s="449" t="str">
        <x:v>최종 보스명</x:v>
      </x:c>
      <x:c r="C36" s="449" t="str">
        <x:v>상태</x:v>
      </x:c>
    </x:row>
    <x:row r="37">
      <x:c r="A37" t="n">
        <x:v>33</x:v>
      </x:c>
      <x:c r="B37" t="str">
        <x:v>침식에 물들은 서부의 설화</x:v>
      </x:c>
      <x:c r="C37" t="str">
        <x:v>웨이브 W10 명칭 동기화 완료</x:v>
      </x:c>
    </x:row>
    <x:row r="38">
      <x:c r="A38" t="n">
        <x:v>36</x:v>
      </x:c>
      <x:c r="B38" t="str">
        <x:v>침식에 물들은 북부의 설화</x:v>
      </x:c>
      <x:c r="C38" t="str">
        <x:v>웨이브 W10 명칭 동기화 완료</x:v>
      </x:c>
    </x:row>
    <x:row r="39">
      <x:c r="A39" t="n">
        <x:v>39</x:v>
      </x:c>
      <x:c r="B39" t="str">
        <x:v>침식에 물들은 남부의 설화</x:v>
      </x:c>
      <x:c r="C39" t="str">
        <x:v>웨이브 W10 명칭 동기화 완료</x:v>
      </x:c>
    </x:row>
    <x:row r="40">
      <x:c r="A40" t="n">
        <x:v>42</x:v>
      </x:c>
      <x:c r="B40" t="str">
        <x:v>침식에 물들은 동부의 설화</x:v>
      </x:c>
      <x:c r="C40" t="str">
        <x:v>웨이브 W10 명칭 동기화 완료</x:v>
      </x:c>
    </x:row>
    <x:row r="41">
      <x:c r="A41" t="n">
        <x:v>45</x:v>
      </x:c>
      <x:c r="B41" t="str">
        <x:v>침식에 물들은 용살자의 설화</x:v>
      </x:c>
      <x:c r="C41" t="str">
        <x:v>웨이브 W10 명칭 동기화 완료</x:v>
      </x:c>
    </x:row>
    <x:row r="42">
      <x:c r="A42" t="n">
        <x:v>50</x:v>
      </x:c>
      <x:c r="B42" t="str">
        <x:v>침식의 근원, 사룡 발테리옹</x:v>
      </x:c>
      <x:c r="C42" t="str">
        <x:v>웨이브 W10 명칭 동기화 완료</x:v>
      </x:c>
    </x:row>
  </x:sheetData>
  <x:mergeCells>
    <x:mergeCell ref="A1:J1"/>
    <x:mergeCell ref="A18:J18"/>
    <x:mergeCell ref="A35:J35"/>
  </x:mergeCells>
  <x:conditionalFormatting sqref="C4:C15">
    <x:cfRule type="expression" dxfId="9" priority="1">
      <x:formula>C4="높음"</x:formula>
    </x:cfRule>
    <x:cfRule type="expression" dxfId="10" priority="2">
      <x:formula>C4="중간"</x:formula>
    </x:cfRule>
  </x:conditionalFormatting>
  <x:conditionalFormatting sqref="B4:B15">
    <x:cfRule type="expression" dxfId="11" priority="3">
      <x:formula>B4="PASS"</x:formula>
    </x:cfRule>
    <x:cfRule type="expression" dxfId="12" priority="4">
      <x:formula>B4="WATCH"</x:formula>
    </x:cfRule>
    <x:cfRule type="expression" dxfId="13" priority="5">
      <x:formula>B4="FIXED"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6" hidden="0" customWidth="1"/>
    <x:col min="4" max="4" width="18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</x:cols>
  <x:sheetData>
    <x:row r="1">
      <x:c r="A1" s="452" t="str">
        <x:v>LUCKY GIRLS — TD 실제 전투 공식 V1 후보</x:v>
      </x:c>
      <x:c r="B1" s="452"/>
      <x:c r="C1" s="452"/>
      <x:c r="D1" s="452"/>
      <x:c r="E1" s="452"/>
      <x:c r="F1" s="452"/>
      <x:c r="G1" s="452"/>
      <x:c r="H1" s="452"/>
      <x:c r="I1" s="452"/>
      <x:c r="J1" s="452"/>
      <x:c r="K1" s="452"/>
      <x:c r="L1" s="452"/>
    </x:row>
    <x:row r="3">
      <x:c r="A3" s="456" t="str">
        <x:v>전투 입력</x:v>
      </x:c>
      <x:c r="B3" s="456" t="str">
        <x:v>값</x:v>
      </x:c>
      <x:c r="C3" s="456" t="str">
        <x:v>단위/공식</x:v>
      </x:c>
      <x:c r="D3" s="456" t="str">
        <x:v>상태</x:v>
      </x:c>
      <x:c r="F3" s="462" t="str">
        <x:v>유닛</x:v>
      </x:c>
      <x:c r="G3" s="462" t="str">
        <x:v>ATK</x:v>
      </x:c>
      <x:c r="H3" s="462" t="str">
        <x:v>공속</x:v>
      </x:c>
      <x:c r="I3" s="462" t="str">
        <x:v>사거리</x:v>
      </x:c>
      <x:c r="J3" s="462" t="str">
        <x:v>타겟수</x:v>
      </x:c>
      <x:c r="K3" s="462" t="str">
        <x:v>피해종류</x:v>
      </x:c>
      <x:c r="L3" s="462" t="str">
        <x:v>유효 DPS(★1)</x:v>
      </x:c>
    </x:row>
    <x:row r="4">
      <x:c r="A4" t="str">
        <x:v>웨이브 제한시간</x:v>
      </x:c>
      <x:c r="B4" t="n">
        <x:v>30</x:v>
      </x:c>
      <x:c r="C4" t="str">
        <x:v>초</x:v>
      </x:c>
      <x:c r="D4" t="str">
        <x:v>기존 스테이지 구조</x:v>
      </x:c>
      <x:c r="F4" t="str">
        <x:v>견습 기사</x:v>
      </x:c>
      <x:c r="G4" t="n">
        <x:v>18</x:v>
      </x:c>
      <x:c r="H4" t="n">
        <x:v>18</x:v>
      </x:c>
      <x:c r="I4" t="n">
        <x:v>1</x:v>
      </x:c>
      <x:c r="J4" t="n">
        <x:v>1</x:v>
      </x:c>
      <x:c r="K4" t="str">
        <x:v>단일</x:v>
      </x:c>
      <x:c r="L4" s="463" t="n">
        <x:f>G4*(H4/$B$6)*1*MIN($B$10,$B$8+$B$9*I4)</x:f>
        <x:v>11.988</x:v>
      </x:c>
    </x:row>
    <x:row r="5">
      <x:c r="A5" t="str">
        <x:v>기준 경로 길이</x:v>
      </x:c>
      <x:c r="B5" t="n">
        <x:v>24</x:v>
      </x:c>
      <x:c r="C5" t="str">
        <x:v>타일</x:v>
      </x:c>
      <x:c r="D5" t="str">
        <x:v>후보값 — 18×10 논리맵의 굴곡 경로</x:v>
      </x:c>
      <x:c r="F5" t="str">
        <x:v>견습 궁수</x:v>
      </x:c>
      <x:c r="G5" t="n">
        <x:v>16</x:v>
      </x:c>
      <x:c r="H5" t="n">
        <x:v>18</x:v>
      </x:c>
      <x:c r="I5" t="n">
        <x:v>3</x:v>
      </x:c>
      <x:c r="J5" t="n">
        <x:v>1</x:v>
      </x:c>
      <x:c r="K5" t="str">
        <x:v>단일</x:v>
      </x:c>
      <x:c r="L5" s="463" t="n">
        <x:f>G5*(H5/$B$6)*1*MIN($B$10,$B$8+$B$9*I5)</x:f>
        <x:v>17.568</x:v>
      </x:c>
    </x:row>
    <x:row r="6">
      <x:c r="A6" t="str">
        <x:v>공속 환산값</x:v>
      </x:c>
      <x:c r="B6" t="n">
        <x:v>10</x:v>
      </x:c>
      <x:c r="C6" t="str">
        <x:v>공속10 = 초당 1회</x:v>
      </x:c>
      <x:c r="D6" t="str">
        <x:v>후보값</x:v>
      </x:c>
      <x:c r="F6" t="str">
        <x:v>투창병</x:v>
      </x:c>
      <x:c r="G6" t="n">
        <x:v>22</x:v>
      </x:c>
      <x:c r="H6" t="n">
        <x:v>15</x:v>
      </x:c>
      <x:c r="I6" t="n">
        <x:v>2</x:v>
      </x:c>
      <x:c r="J6" t="n">
        <x:v>2</x:v>
      </x:c>
      <x:c r="K6" t="str">
        <x:v>관통</x:v>
      </x:c>
      <x:c r="L6" s="463" t="n">
        <x:f>G6*(H6/$B$6)*(1+($B$11*(J6-1)))*MIN($B$10,$B$8+$B$9*I6)</x:f>
        <x:v>25.063499999999998</x:v>
      </x:c>
    </x:row>
    <x:row r="7">
      <x:c r="A7" t="str">
        <x:v>방어 상수</x:v>
      </x:c>
      <x:c r="B7" t="n">
        <x:v>100</x:v>
      </x:c>
      <x:c r="C7" t="str">
        <x:v>피해배율=100/(100+DEF)</x:v>
      </x:c>
      <x:c r="D7" t="str">
        <x:v>후보값</x:v>
      </x:c>
      <x:c r="F7" t="str">
        <x:v>감시탑</x:v>
      </x:c>
      <x:c r="G7" t="n">
        <x:v>15</x:v>
      </x:c>
      <x:c r="H7" t="n">
        <x:v>10</x:v>
      </x:c>
      <x:c r="I7" t="n">
        <x:v>3</x:v>
      </x:c>
      <x:c r="J7" t="n">
        <x:v>1</x:v>
      </x:c>
      <x:c r="K7" t="str">
        <x:v>단일</x:v>
      </x:c>
      <x:c r="L7" s="463" t="n">
        <x:f>G7*(H7/$B$6)*1*MIN($B$10,$B$8+$B$9*I7)</x:f>
        <x:v>9.15</x:v>
      </x:c>
    </x:row>
    <x:row r="8">
      <x:c r="A8" t="str">
        <x:v>사거리 커버리지 기본</x:v>
      </x:c>
      <x:c r="B8" s="458" t="n">
        <x:v>0.25</x:v>
      </x:c>
      <x:c r="C8" t="str">
        <x:v>기본 25%</x:v>
      </x:c>
      <x:c r="D8" t="str">
        <x:v>후보값</x:v>
      </x:c>
    </x:row>
    <x:row r="9">
      <x:c r="A9" t="str">
        <x:v>사거리 1칸당 커버리지</x:v>
      </x:c>
      <x:c r="B9" s="457" t="n">
        <x:v>0.12</x:v>
      </x:c>
      <x:c r="C9" t="str">
        <x:v>+12%p</x:v>
      </x:c>
      <x:c r="D9" t="str">
        <x:v>후보값</x:v>
      </x:c>
    </x:row>
    <x:row r="10">
      <x:c r="A10" t="str">
        <x:v>커버리지 상한</x:v>
      </x:c>
      <x:c r="B10" s="457" t="n">
        <x:v>0.85</x:v>
      </x:c>
      <x:c r="C10" t="str">
        <x:v>85%</x:v>
      </x:c>
      <x:c r="D10" t="str">
        <x:v>후보값</x:v>
      </x:c>
      <x:c r="F10" s="466" t="str">
        <x:v>공식</x:v>
      </x:c>
      <x:c r="G10" s="466" t="str">
        <x:v>정의</x:v>
      </x:c>
      <x:c r="H10" s="466" t="str">
        <x:v>설명</x:v>
      </x:c>
      <x:c r="I10" s="465"/>
      <x:c r="J10" s="465"/>
      <x:c r="K10" s="465"/>
      <x:c r="L10" s="465"/>
    </x:row>
    <x:row r="11">
      <x:c r="A11" t="str">
        <x:v>관통 추가 타겟 효율</x:v>
      </x:c>
      <x:c r="B11" s="457" t="n">
        <x:v>0.55</x:v>
      </x:c>
      <x:c r="C11" t="str">
        <x:v>추가 1체당 +55%</x:v>
      </x:c>
      <x:c r="D11" t="str">
        <x:v>후보값</x:v>
      </x:c>
      <x:c r="F11" s="42" t="str">
        <x:v>공격주기</x:v>
      </x:c>
      <x:c r="G11" s="42" t="str">
        <x:v>10 ÷ 공속</x:v>
      </x:c>
      <x:c r="H11" s="42" t="str">
        <x:v>공속 18이면 약 0.56초/1회</x:v>
      </x:c>
    </x:row>
    <x:row r="12">
      <x:c r="A12" t="str">
        <x:v>광역 추가 타겟 효율</x:v>
      </x:c>
      <x:c r="B12" s="457" t="n">
        <x:v>0.7</x:v>
      </x:c>
      <x:c r="C12" t="str">
        <x:v>추가 1체당 +70%</x:v>
      </x:c>
      <x:c r="D12" t="str">
        <x:v>후보값</x:v>
      </x:c>
      <x:c r="F12" s="42" t="str">
        <x:v>방어피해</x:v>
      </x:c>
      <x:c r="G12" s="42" t="str">
        <x:v>ATK × 100/(100+DEF)</x:v>
      </x:c>
      <x:c r="H12" s="42" t="str">
        <x:v>DEF가 올라갈수록 완만히 감소</x:v>
      </x:c>
    </x:row>
    <x:row r="13">
      <x:c r="A13" t="str">
        <x:v>최소 유효 피해</x:v>
      </x:c>
      <x:c r="B13" t="n">
        <x:v>1</x:v>
      </x:c>
      <x:c r="C13" t="str">
        <x:v>피해</x:v>
      </x:c>
      <x:c r="D13" t="str">
        <x:v>가드레일</x:v>
      </x:c>
      <x:c r="F13" s="42" t="str">
        <x:v>커버리지</x:v>
      </x:c>
      <x:c r="G13" s="42" t="str">
        <x:v>MIN(85%, 25% + 사거리×12%p)</x:v>
      </x:c>
      <x:c r="H13" s="42" t="str">
        <x:v>맵에서 실제 공격 가능한 시간 비율을 근사</x:v>
      </x:c>
    </x:row>
    <x:row r="14">
      <x:c r="F14" s="42" t="str">
        <x:v>관통효율</x:v>
      </x:c>
      <x:c r="G14" s="42" t="str">
        <x:v>1 + 0.55×(추가 타겟수)</x:v>
      </x:c>
      <x:c r="H14" s="42" t="str">
        <x:v>관통 타겟이 늘어도 100%씩 증가하지 않음</x:v>
      </x:c>
    </x:row>
    <x:row r="15">
      <x:c r="F15" s="42" t="str">
        <x:v>광역효율</x:v>
      </x:c>
      <x:c r="G15" s="42" t="str">
        <x:v>1 + 0.70×(추가 타겟수)</x:v>
      </x:c>
      <x:c r="H15" s="42" t="str">
        <x:v>광역은 관통보다 다중타겟 효율을 높게 설정</x:v>
      </x:c>
    </x:row>
    <x:row r="16">
      <x:c r="F16" s="42" t="str">
        <x:v>웨이브 클리어</x:v>
      </x:c>
      <x:c r="G16" s="42" t="str">
        <x:v>MAX(총EHP/DPS, 마지막스폰시간+평균EHP/DPS)</x:v>
      </x:c>
      <x:c r="H16" s="42" t="str">
        <x:v>물량과 스폰간격을 동시에 반영</x:v>
      </x:c>
    </x:row>
    <x:row r="17">
      <x:c r="A17" s="469" t="str">
        <x:v>현재 미확정이라 V1 후보로 둔 항목</x:v>
      </x:c>
      <x:c r="B17" s="469"/>
      <x:c r="C17" s="469"/>
      <x:c r="D17" s="469"/>
      <x:c r="E17" s="469"/>
      <x:c r="F17" s="469"/>
      <x:c r="G17" s="469"/>
      <x:c r="H17" s="469"/>
      <x:c r="I17" s="469"/>
      <x:c r="J17" s="469"/>
      <x:c r="K17" s="469"/>
      <x:c r="L17" s="469"/>
    </x:row>
    <x:row r="18">
      <x:c r="A18" s="471" t="str">
        <x:v>항목</x:v>
      </x:c>
      <x:c r="B18" s="471" t="str">
        <x:v>현재 V1 값</x:v>
      </x:c>
      <x:c r="C18" s="471" t="str">
        <x:v>확정 전 이유</x:v>
      </x:c>
      <x:c r="D18" s="471" t="str">
        <x:v>확정 방법</x:v>
      </x:c>
    </x:row>
    <x:row r="19">
      <x:c r="A19" s="42" t="str">
        <x:v>경로길이</x:v>
      </x:c>
      <x:c r="B19" s="42" t="str">
        <x:v>24타일</x:v>
      </x:c>
      <x:c r="C19" s="42" t="str">
        <x:v>실제 맵 미완성</x:v>
      </x:c>
      <x:c r="D19" s="42" t="str">
        <x:v>Stage1 맵 제작 후 실제 PATH 길이로 교체</x:v>
      </x:c>
    </x:row>
    <x:row r="20">
      <x:c r="A20" s="42" t="str">
        <x:v>공속 환산</x:v>
      </x:c>
      <x:c r="B20" s="42" t="str">
        <x:v>10=1회/초</x:v>
      </x:c>
      <x:c r="C20" s="42" t="str">
        <x:v>공속 단위 미정</x:v>
      </x:c>
      <x:c r="D20" s="42" t="str">
        <x:v>엔진 프로토타입 체감 테스트</x:v>
      </x:c>
    </x:row>
    <x:row r="21">
      <x:c r="A21" s="42" t="str">
        <x:v>사거리 커버리지</x:v>
      </x:c>
      <x:c r="B21" s="42" t="str">
        <x:v>25%+12%p/칸</x:v>
      </x:c>
      <x:c r="C21" s="42" t="str">
        <x:v>배치칸/굴곡 미정</x:v>
      </x:c>
      <x:c r="D21" s="42" t="str">
        <x:v>실제 맵 배치칸 확정 후 측정</x:v>
      </x:c>
    </x:row>
    <x:row r="22">
      <x:c r="A22" s="42" t="str">
        <x:v>관통/광역 효율</x:v>
      </x:c>
      <x:c r="B22" s="42" t="str">
        <x:v>55% / 70%</x:v>
      </x:c>
      <x:c r="C22" s="42" t="str">
        <x:v>동시 적 밀도 미정</x:v>
      </x:c>
      <x:c r="D22" s="42" t="str">
        <x:v>Stage1~5 리플레이 데이터로 조정</x:v>
      </x:c>
    </x:row>
    <x:row r="23">
      <x:c r="A23" s="42" t="str">
        <x:v>영웅 기본공격</x:v>
      </x:c>
      <x:c r="B23" s="42" t="str">
        <x:v>아직 공식 미확정</x:v>
      </x:c>
      <x:c r="C23" s="42" t="str">
        <x:v>영웅 시트에 공속/사거리 없음</x:v>
      </x:c>
      <x:c r="D23" s="42" t="str">
        <x:v>Stage1 W5 필요 DPS를 기준으로 역산</x:v>
      </x:c>
    </x:row>
    <x:row r="24">
      <x:c r="A24" s="42" t="str">
        <x:v>성문 HP</x:v>
      </x:c>
      <x:c r="B24" s="42" t="str">
        <x:v>미확정</x:v>
      </x:c>
      <x:c r="C24" s="42" t="str">
        <x:v>현재 시트에 없음</x:v>
      </x:c>
      <x:c r="D24" s="42" t="str">
        <x:v>Stage1 방어 실패 테스트 때 확정</x:v>
      </x:c>
    </x:row>
  </x:sheetData>
  <x:mergeCells>
    <x:mergeCell ref="A1:L1"/>
    <x:mergeCell ref="A17:L17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26" hidden="0" customWidth="1"/>
    <x:col min="7" max="7" width="18" hidden="0" customWidth="1"/>
    <x:col min="8" max="8" width="2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40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452" t="str">
        <x:v>Stage 1 — TD 초단위 전투 시뮬레이션 V1</x:v>
      </x:c>
      <x:c r="B1" s="452"/>
      <x:c r="C1" s="452"/>
      <x:c r="D1" s="452"/>
      <x:c r="E1" s="452"/>
      <x:c r="F1" s="452"/>
      <x:c r="G1" s="452"/>
      <x:c r="H1" s="452"/>
      <x:c r="I1" s="452"/>
      <x:c r="J1" s="452"/>
      <x:c r="K1" s="452"/>
      <x:c r="L1" s="452"/>
      <x:c r="M1" s="452"/>
      <x:c r="N1" s="452"/>
      <x:c r="O1" s="452"/>
      <x:c r="P1" s="452"/>
      <x:c r="Q1" s="452"/>
      <x:c r="R1" s="452"/>
      <x:c r="S1" s="452"/>
      <x:c r="T1" s="452"/>
    </x:row>
    <x:row r="3">
      <x:c r="A3" s="472" t="str">
        <x:v>적</x:v>
      </x:c>
      <x:c r="B3" s="472" t="str">
        <x:v>HP</x:v>
      </x:c>
      <x:c r="C3" s="472" t="str">
        <x:v>DEF</x:v>
      </x:c>
      <x:c r="D3" s="472" t="str">
        <x:v>이속</x:v>
      </x:c>
      <x:c r="E3" s="472" t="str">
        <x:v>EHP</x:v>
      </x:c>
      <x:c r="F3" s="472" t="str">
        <x:v>구분</x:v>
      </x:c>
      <x:c r="G3" s="472" t="str">
        <x:v>출처</x:v>
      </x:c>
      <x:c r="I3" s="462" t="str">
        <x:v>Wave</x:v>
      </x:c>
      <x:c r="J3" s="462" t="str">
        <x:v>기사 수</x:v>
      </x:c>
      <x:c r="K3" s="462" t="str">
        <x:v>기사 ★</x:v>
      </x:c>
      <x:c r="L3" s="462" t="str">
        <x:v>궁수 수</x:v>
      </x:c>
      <x:c r="M3" s="462" t="str">
        <x:v>궁수 ★</x:v>
      </x:c>
      <x:c r="N3" s="462" t="str">
        <x:v>투창 수</x:v>
      </x:c>
      <x:c r="O3" s="462" t="str">
        <x:v>투창 ★</x:v>
      </x:c>
      <x:c r="P3" s="462" t="str">
        <x:v>감시탑 수</x:v>
      </x:c>
      <x:c r="Q3" s="462" t="str">
        <x:v>감시탑 ★</x:v>
      </x:c>
      <x:c r="R3" s="462" t="str">
        <x:v>기본유닛 DPS</x:v>
      </x:c>
      <x:c r="S3" s="462" t="str">
        <x:v>영웅 보정 DPS</x:v>
      </x:c>
      <x:c r="T3" s="462" t="str">
        <x:v>총 유효 DPS</x:v>
      </x:c>
    </x:row>
    <x:row r="4">
      <x:c r="A4" t="str">
        <x:v>산악 약탈자</x:v>
      </x:c>
      <x:c r="B4" t="n">
        <x:v>110</x:v>
      </x:c>
      <x:c r="C4" t="n">
        <x:v>0</x:v>
      </x:c>
      <x:c r="D4" t="n">
        <x:v>1</x:v>
      </x:c>
      <x:c r="E4" s="463" t="n">
        <x:f>B4*(100+C4)/100</x:f>
        <x:v>110</x:v>
      </x:c>
      <x:c r="F4" t="str">
        <x:v>일반</x:v>
      </x:c>
      <x:c r="G4" t="str">
        <x:v>적군 캐릭터</x:v>
      </x:c>
      <x:c r="I4" t="n">
        <x:v>1</x:v>
      </x:c>
      <x:c r="J4" t="n">
        <x:v>1</x:v>
      </x:c>
      <x:c r="K4" t="n">
        <x:v>1</x:v>
      </x:c>
      <x:c r="L4" t="n">
        <x:v>2</x:v>
      </x:c>
      <x:c r="M4" t="n">
        <x:v>1</x:v>
      </x:c>
      <x:c r="N4" t="n">
        <x:v>1</x:v>
      </x:c>
      <x:c r="O4" t="n">
        <x:v>1</x:v>
      </x:c>
      <x:c r="P4" t="n">
        <x:v>2</x:v>
      </x:c>
      <x:c r="Q4" t="n">
        <x:v>1</x:v>
      </x:c>
      <x:c r="R4" s="463" t="n">
        <x:f>J4*'TD_전투공식_V1'!$L$4*IF(K4=1,1,IF(K4=2,1.15,IF(K4=3,1.32,IF(K4=4,1.52,1.75))))+L4*'TD_전투공식_V1'!$L$5*IF(M4=1,1,IF(M4=2,1.15,IF(M4=3,1.32,IF(M4=4,1.52,1.75))))+N4*'TD_전투공식_V1'!$L$6*IF(O4=1,1,IF(O4=2,1.15,IF(O4=3,1.32,IF(O4=4,1.52,1.75))))+P4*'TD_전투공식_V1'!$L$7*IF(Q4=1,1,IF(Q4=2,1.15,IF(Q4=3,1.32,IF(Q4=4,1.52,1.75))))</x:f>
        <x:v>90.4875</x:v>
      </x:c>
      <x:c r="S4" s="463" t="n">
        <x:v>0</x:v>
      </x:c>
      <x:c r="T4" s="463" t="n">
        <x:f>R4+S4</x:f>
        <x:v>90.4875</x:v>
      </x:c>
    </x:row>
    <x:row r="5">
      <x:c r="A5" t="str">
        <x:v>협곡 강도</x:v>
      </x:c>
      <x:c r="B5" t="n">
        <x:v>86</x:v>
      </x:c>
      <x:c r="C5" t="n">
        <x:v>0</x:v>
      </x:c>
      <x:c r="D5" t="n">
        <x:v>1.35</x:v>
      </x:c>
      <x:c r="E5" s="463" t="n">
        <x:f>B5*(100+C5)/100</x:f>
        <x:v>86</x:v>
      </x:c>
      <x:c r="F5" t="str">
        <x:v>일반</x:v>
      </x:c>
      <x:c r="G5" t="str">
        <x:v>적군 캐릭터</x:v>
      </x:c>
      <x:c r="I5" t="n">
        <x:v>2</x:v>
      </x:c>
      <x:c r="J5" t="n">
        <x:v>1</x:v>
      </x:c>
      <x:c r="K5" t="n">
        <x:v>1</x:v>
      </x:c>
      <x:c r="L5" t="n">
        <x:v>2</x:v>
      </x:c>
      <x:c r="M5" t="n">
        <x:v>2</x:v>
      </x:c>
      <x:c r="N5" t="n">
        <x:v>1</x:v>
      </x:c>
      <x:c r="O5" t="n">
        <x:v>1</x:v>
      </x:c>
      <x:c r="P5" t="n">
        <x:v>2</x:v>
      </x:c>
      <x:c r="Q5" t="n">
        <x:v>2</x:v>
      </x:c>
      <x:c r="R5" s="463" t="n">
        <x:f>J5*'TD_전투공식_V1'!$L$4*IF(K5=1,1,IF(K5=2,1.15,IF(K5=3,1.32,IF(K5=4,1.52,1.75))))+L5*'TD_전투공식_V1'!$L$5*IF(M5=1,1,IF(M5=2,1.15,IF(M5=3,1.32,IF(M5=4,1.52,1.75))))+N5*'TD_전투공식_V1'!$L$6*IF(O5=1,1,IF(O5=2,1.15,IF(O5=3,1.32,IF(O5=4,1.52,1.75))))+P5*'TD_전투공식_V1'!$L$7*IF(Q5=1,1,IF(Q5=2,1.15,IF(Q5=3,1.32,IF(Q5=4,1.52,1.75))))</x:f>
        <x:v>98.5029</x:v>
      </x:c>
      <x:c r="S5" s="463" t="n">
        <x:v>0</x:v>
      </x:c>
      <x:c r="T5" s="463" t="n">
        <x:f>R5+S5</x:f>
        <x:v>98.5029</x:v>
      </x:c>
    </x:row>
    <x:row r="6">
      <x:c r="A6" t="str">
        <x:v>탈영 철갑병</x:v>
      </x:c>
      <x:c r="B6" t="n">
        <x:v>148</x:v>
      </x:c>
      <x:c r="C6" t="n">
        <x:v>12</x:v>
      </x:c>
      <x:c r="D6" t="n">
        <x:v>0.82</x:v>
      </x:c>
      <x:c r="E6" s="463" t="n">
        <x:f>B6*(100+C6)/100</x:f>
        <x:v>165.76</x:v>
      </x:c>
      <x:c r="F6" t="str">
        <x:v>일반</x:v>
      </x:c>
      <x:c r="G6" t="str">
        <x:v>적군 캐릭터</x:v>
      </x:c>
      <x:c r="I6" t="n">
        <x:v>3</x:v>
      </x:c>
      <x:c r="J6" t="n">
        <x:v>1</x:v>
      </x:c>
      <x:c r="K6" t="n">
        <x:v>2</x:v>
      </x:c>
      <x:c r="L6" t="n">
        <x:v>2</x:v>
      </x:c>
      <x:c r="M6" t="n">
        <x:v>2</x:v>
      </x:c>
      <x:c r="N6" t="n">
        <x:v>1</x:v>
      </x:c>
      <x:c r="O6" t="n">
        <x:v>2</x:v>
      </x:c>
      <x:c r="P6" t="n">
        <x:v>3</x:v>
      </x:c>
      <x:c r="Q6" t="n">
        <x:v>2</x:v>
      </x:c>
      <x:c r="R6" s="463" t="n">
        <x:f>J6*'TD_전투공식_V1'!$L$4*IF(K6=1,1,IF(K6=2,1.15,IF(K6=3,1.32,IF(K6=4,1.52,1.75))))+L6*'TD_전투공식_V1'!$L$5*IF(M6=1,1,IF(M6=2,1.15,IF(M6=3,1.32,IF(M6=4,1.52,1.75))))+N6*'TD_전투공식_V1'!$L$6*IF(O6=1,1,IF(O6=2,1.15,IF(O6=3,1.32,IF(O6=4,1.52,1.75))))+P6*'TD_전투공식_V1'!$L$7*IF(Q6=1,1,IF(Q6=2,1.15,IF(Q6=3,1.32,IF(Q6=4,1.52,1.75))))</x:f>
        <x:v>114.583125</x:v>
      </x:c>
      <x:c r="S6" s="463" t="n">
        <x:v>0</x:v>
      </x:c>
      <x:c r="T6" s="463" t="n">
        <x:f>R6+S6</x:f>
        <x:v>114.583125</x:v>
      </x:c>
    </x:row>
    <x:row r="7">
      <x:c r="A7" t="str">
        <x:v>화약 밀수꾼</x:v>
      </x:c>
      <x:c r="B7" t="n">
        <x:v>94</x:v>
      </x:c>
      <x:c r="C7" t="n">
        <x:v>0</x:v>
      </x:c>
      <x:c r="D7" t="n">
        <x:v>1.08</x:v>
      </x:c>
      <x:c r="E7" s="463" t="n">
        <x:f>B7*(100+C7)/100</x:f>
        <x:v>94</x:v>
      </x:c>
      <x:c r="F7" t="str">
        <x:v>일반</x:v>
      </x:c>
      <x:c r="G7" t="str">
        <x:v>적군 캐릭터</x:v>
      </x:c>
      <x:c r="I7" t="n">
        <x:v>4</x:v>
      </x:c>
      <x:c r="J7" t="n">
        <x:v>1</x:v>
      </x:c>
      <x:c r="K7" t="n">
        <x:v>2</x:v>
      </x:c>
      <x:c r="L7" t="n">
        <x:v>2</x:v>
      </x:c>
      <x:c r="M7" t="n">
        <x:v>3</x:v>
      </x:c>
      <x:c r="N7" t="n">
        <x:v>1</x:v>
      </x:c>
      <x:c r="O7" t="n">
        <x:v>2</x:v>
      </x:c>
      <x:c r="P7" t="n">
        <x:v>3</x:v>
      </x:c>
      <x:c r="Q7" t="n">
        <x:v>3</x:v>
      </x:c>
      <x:c r="R7" s="463" t="n">
        <x:f>J7*'TD_전투공식_V1'!$L$4*IF(K7=1,1,IF(K7=2,1.15,IF(K7=3,1.32,IF(K7=4,1.52,1.75))))+L7*'TD_전투공식_V1'!$L$5*IF(M7=1,1,IF(M7=2,1.15,IF(M7=3,1.32,IF(M7=4,1.52,1.75))))+N7*'TD_전투공식_V1'!$L$6*IF(O7=1,1,IF(O7=2,1.15,IF(O7=3,1.32,IF(O7=4,1.52,1.75))))+P7*'TD_전투공식_V1'!$L$7*IF(Q7=1,1,IF(Q7=2,1.15,IF(Q7=3,1.32,IF(Q7=4,1.52,1.75))))</x:f>
        <x:v>125.222745</x:v>
      </x:c>
      <x:c r="S7" s="463" t="n">
        <x:v>0</x:v>
      </x:c>
      <x:c r="T7" s="463" t="n">
        <x:f>R7+S7</x:f>
        <x:v>125.222745</x:v>
      </x:c>
    </x:row>
    <x:row r="8">
      <x:c r="A8" t="str">
        <x:v>광산 파괴자</x:v>
      </x:c>
      <x:c r="B8" t="n">
        <x:v>116</x:v>
      </x:c>
      <x:c r="C8" t="n">
        <x:v>4</x:v>
      </x:c>
      <x:c r="D8" t="n">
        <x:v>0.95</x:v>
      </x:c>
      <x:c r="E8" s="463" t="n">
        <x:f>B8*(100+C8)/100</x:f>
        <x:v>120.64</x:v>
      </x:c>
      <x:c r="F8" t="str">
        <x:v>일반</x:v>
      </x:c>
      <x:c r="G8" t="str">
        <x:v>적군 캐릭터</x:v>
      </x:c>
      <x:c r="I8" t="n">
        <x:v>5</x:v>
      </x:c>
      <x:c r="J8" t="n">
        <x:v>1</x:v>
      </x:c>
      <x:c r="K8" t="n">
        <x:v>3</x:v>
      </x:c>
      <x:c r="L8" t="n">
        <x:v>2</x:v>
      </x:c>
      <x:c r="M8" t="n">
        <x:v>3</x:v>
      </x:c>
      <x:c r="N8" t="n">
        <x:v>1</x:v>
      </x:c>
      <x:c r="O8" t="n">
        <x:v>3</x:v>
      </x:c>
      <x:c r="P8" t="n">
        <x:v>3</x:v>
      </x:c>
      <x:c r="Q8" t="n">
        <x:v>3</x:v>
      </x:c>
      <x:c r="R8" s="463" t="n">
        <x:f>J8*'TD_전투공식_V1'!$L$4*IF(K8=1,1,IF(K8=2,1.15,IF(K8=3,1.32,IF(K8=4,1.52,1.75))))+L8*'TD_전투공식_V1'!$L$5*IF(M8=1,1,IF(M8=2,1.15,IF(M8=3,1.32,IF(M8=4,1.52,1.75))))+N8*'TD_전투공식_V1'!$L$6*IF(O8=1,1,IF(O8=2,1.15,IF(O8=3,1.32,IF(O8=4,1.52,1.75))))+P8*'TD_전투공식_V1'!$L$7*IF(Q8=1,1,IF(Q8=2,1.15,IF(Q8=3,1.32,IF(Q8=4,1.52,1.75))))</x:f>
        <x:v>131.5215</x:v>
      </x:c>
      <x:c r="S8" s="463" t="n">
        <x:v>45</x:v>
      </x:c>
      <x:c r="T8" s="463" t="n">
        <x:f>R8+S8</x:f>
        <x:v>176.5215</x:v>
      </x:c>
    </x:row>
    <x:row r="9">
      <x:c r="A9" t="str">
        <x:v>협곡 늑대</x:v>
      </x:c>
      <x:c r="B9" t="n">
        <x:v>79</x:v>
      </x:c>
      <x:c r="C9" t="n">
        <x:v>0</x:v>
      </x:c>
      <x:c r="D9" t="n">
        <x:v>1.42</x:v>
      </x:c>
      <x:c r="E9" s="463" t="n">
        <x:f>B9*(100+C9)/100</x:f>
        <x:v>79</x:v>
      </x:c>
      <x:c r="F9" t="str">
        <x:v>일반</x:v>
      </x:c>
      <x:c r="G9" t="str">
        <x:v>적군 캐릭터</x:v>
      </x:c>
      <x:c r="I9" t="n">
        <x:v>6</x:v>
      </x:c>
      <x:c r="J9" t="n">
        <x:v>1</x:v>
      </x:c>
      <x:c r="K9" t="n">
        <x:v>3</x:v>
      </x:c>
      <x:c r="L9" t="n">
        <x:v>2</x:v>
      </x:c>
      <x:c r="M9" t="n">
        <x:v>3</x:v>
      </x:c>
      <x:c r="N9" t="n">
        <x:v>1</x:v>
      </x:c>
      <x:c r="O9" t="n">
        <x:v>3</x:v>
      </x:c>
      <x:c r="P9" t="n">
        <x:v>3</x:v>
      </x:c>
      <x:c r="Q9" t="n">
        <x:v>3</x:v>
      </x:c>
      <x:c r="R9" s="463" t="n">
        <x:f>J9*'TD_전투공식_V1'!$L$4*IF(K9=1,1,IF(K9=2,1.15,IF(K9=3,1.32,IF(K9=4,1.52,1.75))))+L9*'TD_전투공식_V1'!$L$5*IF(M9=1,1,IF(M9=2,1.15,IF(M9=3,1.32,IF(M9=4,1.52,1.75))))+N9*'TD_전투공식_V1'!$L$6*IF(O9=1,1,IF(O9=2,1.15,IF(O9=3,1.32,IF(O9=4,1.52,1.75))))+P9*'TD_전투공식_V1'!$L$7*IF(Q9=1,1,IF(Q9=2,1.15,IF(Q9=3,1.32,IF(Q9=4,1.52,1.75))))</x:f>
        <x:v>131.5215</x:v>
      </x:c>
      <x:c r="S9" s="463" t="n">
        <x:v>45</x:v>
      </x:c>
      <x:c r="T9" s="463" t="n">
        <x:f>R9+S9</x:f>
        <x:v>176.5215</x:v>
      </x:c>
    </x:row>
    <x:row r="10">
      <x:c r="A10" t="str">
        <x:v>최초의 골렘 아즈로</x:v>
      </x:c>
      <x:c r="B10" t="n">
        <x:v>2376</x:v>
      </x:c>
      <x:c r="C10" t="n">
        <x:v>40</x:v>
      </x:c>
      <x:c r="D10" t="n">
        <x:v>0.72</x:v>
      </x:c>
      <x:c r="E10" s="463" t="n">
        <x:f>B10*(100+C10)/100</x:f>
        <x:v>3326.4</x:v>
      </x:c>
      <x:c r="F10" t="str">
        <x:v>중간보스</x:v>
      </x:c>
      <x:c r="G10" t="str">
        <x:v>적군 캐릭터</x:v>
      </x:c>
      <x:c r="I10" t="n">
        <x:v>7</x:v>
      </x:c>
      <x:c r="J10" t="n">
        <x:v>1</x:v>
      </x:c>
      <x:c r="K10" t="n">
        <x:v>3</x:v>
      </x:c>
      <x:c r="L10" t="n">
        <x:v>2</x:v>
      </x:c>
      <x:c r="M10" t="n">
        <x:v>4</x:v>
      </x:c>
      <x:c r="N10" t="n">
        <x:v>1</x:v>
      </x:c>
      <x:c r="O10" t="n">
        <x:v>3</x:v>
      </x:c>
      <x:c r="P10" t="n">
        <x:v>3</x:v>
      </x:c>
      <x:c r="Q10" t="n">
        <x:v>4</x:v>
      </x:c>
      <x:c r="R10" s="463" t="n">
        <x:f>J10*'TD_전투공식_V1'!$L$4*IF(K10=1,1,IF(K10=2,1.15,IF(K10=3,1.32,IF(K10=4,1.52,1.75))))+L10*'TD_전투공식_V1'!$L$5*IF(M10=1,1,IF(M10=2,1.15,IF(M10=3,1.32,IF(M10=4,1.52,1.75))))+N10*'TD_전투공식_V1'!$L$6*IF(O10=1,1,IF(O10=2,1.15,IF(O10=3,1.32,IF(O10=4,1.52,1.75))))+P10*'TD_전투공식_V1'!$L$7*IF(Q10=1,1,IF(Q10=2,1.15,IF(Q10=3,1.32,IF(Q10=4,1.52,1.75))))</x:f>
        <x:v>144.0387</x:v>
      </x:c>
      <x:c r="S10" s="463" t="n">
        <x:v>45</x:v>
      </x:c>
      <x:c r="T10" s="463" t="n">
        <x:f>R10+S10</x:f>
        <x:v>189.0387</x:v>
      </x:c>
    </x:row>
    <x:row r="11">
      <x:c r="A11" t="str">
        <x:v>철각왕 브라움</x:v>
      </x:c>
      <x:c r="B11" t="n">
        <x:v>2200</x:v>
      </x:c>
      <x:c r="C11" t="n">
        <x:v>10</x:v>
      </x:c>
      <x:c r="D11" t="n">
        <x:v>0.68</x:v>
      </x:c>
      <x:c r="E11" s="463" t="n">
        <x:f>B11*(100+C11)/100</x:f>
        <x:v>2420</x:v>
      </x:c>
      <x:c r="F11" t="str">
        <x:v>보스</x:v>
      </x:c>
      <x:c r="G11" t="str">
        <x:v>적군 보스</x:v>
      </x:c>
      <x:c r="I11" t="n">
        <x:v>8</x:v>
      </x:c>
      <x:c r="J11" t="n">
        <x:v>1</x:v>
      </x:c>
      <x:c r="K11" t="n">
        <x:v>4</x:v>
      </x:c>
      <x:c r="L11" t="n">
        <x:v>2</x:v>
      </x:c>
      <x:c r="M11" t="n">
        <x:v>4</x:v>
      </x:c>
      <x:c r="N11" t="n">
        <x:v>1</x:v>
      </x:c>
      <x:c r="O11" t="n">
        <x:v>4</x:v>
      </x:c>
      <x:c r="P11" t="n">
        <x:v>3</x:v>
      </x:c>
      <x:c r="Q11" t="n">
        <x:v>4</x:v>
      </x:c>
      <x:c r="R11" s="463" t="n">
        <x:f>J11*'TD_전투공식_V1'!$L$4*IF(K11=1,1,IF(K11=2,1.15,IF(K11=3,1.32,IF(K11=4,1.52,1.75))))+L11*'TD_전투공식_V1'!$L$5*IF(M11=1,1,IF(M11=2,1.15,IF(M11=3,1.32,IF(M11=4,1.52,1.75))))+N11*'TD_전투공식_V1'!$L$6*IF(O11=1,1,IF(O11=2,1.15,IF(O11=3,1.32,IF(O11=4,1.52,1.75))))+P11*'TD_전투공식_V1'!$L$7*IF(Q11=1,1,IF(Q11=2,1.15,IF(Q11=3,1.32,IF(Q11=4,1.52,1.75))))</x:f>
        <x:v>151.449</x:v>
      </x:c>
      <x:c r="S11" s="463" t="n">
        <x:v>45</x:v>
      </x:c>
      <x:c r="T11" s="463" t="n">
        <x:f>R11+S11</x:f>
        <x:v>196.449</x:v>
      </x:c>
    </x:row>
    <x:row r="12">
      <x:c r="I12" t="n">
        <x:v>9</x:v>
      </x:c>
      <x:c r="J12" t="n">
        <x:v>1</x:v>
      </x:c>
      <x:c r="K12" t="n">
        <x:v>4</x:v>
      </x:c>
      <x:c r="L12" t="n">
        <x:v>2</x:v>
      </x:c>
      <x:c r="M12" t="n">
        <x:v>5</x:v>
      </x:c>
      <x:c r="N12" t="n">
        <x:v>1</x:v>
      </x:c>
      <x:c r="O12" t="n">
        <x:v>4</x:v>
      </x:c>
      <x:c r="P12" t="n">
        <x:v>3</x:v>
      </x:c>
      <x:c r="Q12" t="n">
        <x:v>5</x:v>
      </x:c>
      <x:c r="R12" s="463" t="n">
        <x:f>J12*'TD_전투공식_V1'!$L$4*IF(K12=1,1,IF(K12=2,1.15,IF(K12=3,1.32,IF(K12=4,1.52,1.75))))+L12*'TD_전투공식_V1'!$L$5*IF(M12=1,1,IF(M12=2,1.15,IF(M12=3,1.32,IF(M12=4,1.52,1.75))))+N12*'TD_전투공식_V1'!$L$6*IF(O12=1,1,IF(O12=2,1.15,IF(O12=3,1.32,IF(O12=4,1.52,1.75))))+P12*'TD_전투공식_V1'!$L$7*IF(Q12=1,1,IF(Q12=2,1.15,IF(Q12=3,1.32,IF(Q12=4,1.52,1.75))))</x:f>
        <x:v>165.84378</x:v>
      </x:c>
      <x:c r="S12" s="463" t="n">
        <x:v>45</x:v>
      </x:c>
      <x:c r="T12" s="463" t="n">
        <x:f>R12+S12</x:f>
        <x:v>210.84378</x:v>
      </x:c>
    </x:row>
    <x:row r="13">
      <x:c r="I13" t="n">
        <x:v>10</x:v>
      </x:c>
      <x:c r="J13" t="n">
        <x:v>1</x:v>
      </x:c>
      <x:c r="K13" t="n">
        <x:v>5</x:v>
      </x:c>
      <x:c r="L13" t="n">
        <x:v>2</x:v>
      </x:c>
      <x:c r="M13" t="n">
        <x:v>5</x:v>
      </x:c>
      <x:c r="N13" t="n">
        <x:v>1</x:v>
      </x:c>
      <x:c r="O13" t="n">
        <x:v>5</x:v>
      </x:c>
      <x:c r="P13" t="n">
        <x:v>3</x:v>
      </x:c>
      <x:c r="Q13" t="n">
        <x:v>5</x:v>
      </x:c>
      <x:c r="R13" s="463" t="n">
        <x:f>J13*'TD_전투공식_V1'!$L$4*IF(K13=1,1,IF(K13=2,1.15,IF(K13=3,1.32,IF(K13=4,1.52,1.75))))+L13*'TD_전투공식_V1'!$L$5*IF(M13=1,1,IF(M13=2,1.15,IF(M13=3,1.32,IF(M13=4,1.52,1.75))))+N13*'TD_전투공식_V1'!$L$6*IF(O13=1,1,IF(O13=2,1.15,IF(O13=3,1.32,IF(O13=4,1.52,1.75))))+P13*'TD_전투공식_V1'!$L$7*IF(Q13=1,1,IF(Q13=2,1.15,IF(Q13=3,1.32,IF(Q13=4,1.52,1.75))))</x:f>
        <x:v>174.36562500000002</x:v>
      </x:c>
      <x:c r="S13" s="463" t="n">
        <x:v>45</x:v>
      </x:c>
      <x:c r="T13" s="463" t="n">
        <x:f>R13+S13</x:f>
        <x:v>219.36562500000002</x:v>
      </x:c>
    </x:row>
    <x:row r="15">
      <x:c r="A15" s="476" t="str">
        <x:v>Wave</x:v>
      </x:c>
      <x:c r="B15" s="476" t="str">
        <x:v>유형</x:v>
      </x:c>
      <x:c r="C15" s="476" t="str">
        <x:v>적 수</x:v>
      </x:c>
      <x:c r="D15" s="476" t="str">
        <x:v>스폰간격</x:v>
      </x:c>
      <x:c r="E15" s="476" t="str">
        <x:v>HP배율</x:v>
      </x:c>
      <x:c r="F15" s="476" t="str">
        <x:v>구성</x:v>
      </x:c>
      <x:c r="G15" s="476" t="str">
        <x:v>총 EHP</x:v>
      </x:c>
      <x:c r="H15" s="476" t="str">
        <x:v>평균 EHP</x:v>
      </x:c>
      <x:c r="I15" s="476" t="str">
        <x:v>기본 DPS</x:v>
      </x:c>
      <x:c r="J15" s="476" t="str">
        <x:v>영웅 포함 DPS</x:v>
      </x:c>
      <x:c r="K15" s="476" t="str">
        <x:v>기본유닛 클리어초</x:v>
      </x:c>
      <x:c r="L15" s="476" t="str">
        <x:v>영웅포함 클리어초</x:v>
      </x:c>
      <x:c r="M15" s="476" t="str">
        <x:v>남은시간</x:v>
      </x:c>
      <x:c r="N15" s="476" t="str">
        <x:v>조기보너스 판정</x:v>
      </x:c>
      <x:c r="O15" s="476" t="str">
        <x:v>클리어 여부</x:v>
      </x:c>
      <x:c r="P15" s="476" t="str">
        <x:v>판정</x:v>
      </x:c>
      <x:c r="Q15" s="476" t="str">
        <x:v>해석</x:v>
      </x:c>
    </x:row>
    <x:row r="16">
      <x:c r="A16" s="42" t="n">
        <x:v>1</x:v>
      </x:c>
      <x:c r="B16" s="42" t="str">
        <x:v>일반</x:v>
      </x:c>
      <x:c r="C16" s="42" t="n">
        <x:v>11</x:v>
      </x:c>
      <x:c r="D16" s="42" t="n">
        <x:v>1.17</x:v>
      </x:c>
      <x:c r="E16" s="42" t="n">
        <x:v>1</x:v>
      </x:c>
      <x:c r="F16" s="42" t="str">
        <x:v>탈영 철갑병 + 산악 약탈자 + 협곡 강도</x:v>
      </x:c>
      <x:c r="G16" s="477" t="n">
        <x:f>C16*AVERAGE($E$6,$E$4,$E$5)*E16</x:f>
        <x:v>1326.4533333333331</x:v>
      </x:c>
      <x:c r="H16" s="477" t="n">
        <x:f>AVERAGE($E$6,$E$4,$E$5)*E16</x:f>
        <x:v>120.58666666666666</x:v>
      </x:c>
      <x:c r="I16" s="477" t="n">
        <x:f>R4</x:f>
        <x:v>90.4875</x:v>
      </x:c>
      <x:c r="J16" s="477" t="n">
        <x:f>T4</x:f>
        <x:v>90.4875</x:v>
      </x:c>
      <x:c r="K16" s="477" t="n">
        <x:f>MAX(G16/I16,(C16-1)*D16+H16/I16)</x:f>
        <x:v>14.658967629046368</x:v>
      </x:c>
      <x:c r="L16" s="477" t="n">
        <x:f>MAX(G16/J16,(C16-1)*D16+H16/J16)</x:f>
        <x:v>14.658967629046368</x:v>
      </x:c>
      <x:c r="M16" s="477" t="n">
        <x:f>'TD_전투공식_V1'!$B$4-L16</x:f>
        <x:v>15.341032370953632</x:v>
      </x:c>
      <x:c r="N16" s="42" t="str">
        <x:f>IF(M16&gt;=12,"+30%",IF(M16&gt;=9,"+20%",IF(M16&gt;=6,"+10%","0%")))</x:f>
        <x:v>+30%</x:v>
      </x:c>
      <x:c r="O16" s="42" t="str">
        <x:f>IF(L16&lt;=30,"클리어","실패")</x:f>
        <x:v>클리어</x:v>
      </x:c>
      <x:c r="P16" s="42" t="str">
        <x:f>IF(L16&lt;=21,"넉넉",IF(L16&lt;=27,"적정",IF(L16&lt;=30,"타이트","실패")))</x:f>
        <x:v>넉넉</x:v>
      </x:c>
      <x:c r="Q16" s="42" t="str">
        <x:v>영웅 없이 기본유닛으로 학습구간 통과</x:v>
      </x:c>
      <x:c r="R16" s="465" t="str">
        <x:v>★</x:v>
      </x:c>
      <x:c r="S16" s="465" t="str">
        <x:v>배율</x:v>
      </x:c>
    </x:row>
    <x:row r="17">
      <x:c r="A17" s="42" t="n">
        <x:v>2</x:v>
      </x:c>
      <x:c r="B17" s="42" t="str">
        <x:v>일반</x:v>
      </x:c>
      <x:c r="C17" s="42" t="n">
        <x:v>13</x:v>
      </x:c>
      <x:c r="D17" s="42" t="n">
        <x:v>1.14</x:v>
      </x:c>
      <x:c r="E17" s="42" t="n">
        <x:v>1.03</x:v>
      </x:c>
      <x:c r="F17" s="42" t="str">
        <x:v>산악 약탈자 + 협곡 강도 + 탈영 철갑병</x:v>
      </x:c>
      <x:c r="G17" s="477" t="n">
        <x:f>C17*AVERAGE($E$4,$E$5,$E$6)*E17</x:f>
        <x:v>1614.6554666666666</x:v>
      </x:c>
      <x:c r="H17" s="477" t="n">
        <x:f>AVERAGE($E$4,$E$5,$E$6)*E17</x:f>
        <x:v>124.20426666666665</x:v>
      </x:c>
      <x:c r="I17" s="477" t="n">
        <x:f>R5</x:f>
        <x:v>98.5029</x:v>
      </x:c>
      <x:c r="J17" s="477" t="n">
        <x:f>T5</x:f>
        <x:v>98.5029</x:v>
      </x:c>
      <x:c r="K17" s="477" t="n">
        <x:f>MAX(G17/I17,(C17-1)*D17+H17/I17)</x:f>
        <x:v>16.391958680065933</x:v>
      </x:c>
      <x:c r="L17" s="477" t="n">
        <x:f>MAX(G17/J17,(C17-1)*D17+H17/J17)</x:f>
        <x:v>16.391958680065933</x:v>
      </x:c>
      <x:c r="M17" s="477" t="n">
        <x:f>'TD_전투공식_V1'!$B$4-L17</x:f>
        <x:v>13.608041319934067</x:v>
      </x:c>
      <x:c r="N17" s="42" t="str">
        <x:f>IF(M17&gt;=12,"+30%",IF(M17&gt;=9,"+20%",IF(M17&gt;=6,"+10%","0%")))</x:f>
        <x:v>+30%</x:v>
      </x:c>
      <x:c r="O17" s="42" t="str">
        <x:f>IF(L17&lt;=30,"클리어","실패")</x:f>
        <x:v>클리어</x:v>
      </x:c>
      <x:c r="P17" s="42" t="str">
        <x:f>IF(L17&lt;=21,"넉넉",IF(L17&lt;=27,"적정",IF(L17&lt;=30,"타이트","실패")))</x:f>
        <x:v>넉넉</x:v>
      </x:c>
      <x:c r="Q17" s="42" t="str">
        <x:v>영웅 없이 기본유닛으로 학습구간 통과</x:v>
      </x:c>
      <x:c r="R17" t="n">
        <x:v>1</x:v>
      </x:c>
      <x:c r="S17" t="n">
        <x:v>1</x:v>
      </x:c>
    </x:row>
    <x:row r="18">
      <x:c r="A18" s="42" t="n">
        <x:v>3</x:v>
      </x:c>
      <x:c r="B18" s="42" t="str">
        <x:v>일반</x:v>
      </x:c>
      <x:c r="C18" s="42" t="n">
        <x:v>15</x:v>
      </x:c>
      <x:c r="D18" s="42" t="n">
        <x:v>1.1</x:v>
      </x:c>
      <x:c r="E18" s="42" t="n">
        <x:v>1.07</x:v>
      </x:c>
      <x:c r="F18" s="42" t="str">
        <x:v>산악 약탈자 + 협곡 강도 + 탈영 철갑병</x:v>
      </x:c>
      <x:c r="G18" s="477" t="n">
        <x:f>C18*AVERAGE($E$4,$E$5,$E$6)*E18</x:f>
        <x:v>1935.4160000000002</x:v>
      </x:c>
      <x:c r="H18" s="477" t="n">
        <x:f>AVERAGE($E$4,$E$5,$E$6)*E18</x:f>
        <x:v>129.02773333333334</x:v>
      </x:c>
      <x:c r="I18" s="477" t="n">
        <x:f>R6</x:f>
        <x:v>114.583125</x:v>
      </x:c>
      <x:c r="J18" s="477" t="n">
        <x:f>T6</x:f>
        <x:v>114.583125</x:v>
      </x:c>
      <x:c r="K18" s="477" t="n">
        <x:f>MAX(G18/I18,(C18-1)*D18+H18/I18)</x:f>
        <x:v>16.890933983516337</x:v>
      </x:c>
      <x:c r="L18" s="477" t="n">
        <x:f>MAX(G18/J18,(C18-1)*D18+H18/J18)</x:f>
        <x:v>16.890933983516337</x:v>
      </x:c>
      <x:c r="M18" s="477" t="n">
        <x:f>'TD_전투공식_V1'!$B$4-L18</x:f>
        <x:v>13.109066016483663</x:v>
      </x:c>
      <x:c r="N18" s="42" t="str">
        <x:f>IF(M18&gt;=12,"+30%",IF(M18&gt;=9,"+20%",IF(M18&gt;=6,"+10%","0%")))</x:f>
        <x:v>+30%</x:v>
      </x:c>
      <x:c r="O18" s="42" t="str">
        <x:f>IF(L18&lt;=30,"클리어","실패")</x:f>
        <x:v>클리어</x:v>
      </x:c>
      <x:c r="P18" s="42" t="str">
        <x:f>IF(L18&lt;=21,"넉넉",IF(L18&lt;=27,"적정",IF(L18&lt;=30,"타이트","실패")))</x:f>
        <x:v>넉넉</x:v>
      </x:c>
      <x:c r="Q18" s="42" t="str">
        <x:v>영웅 없이 기본유닛으로 학습구간 통과</x:v>
      </x:c>
      <x:c r="R18" t="n">
        <x:v>2</x:v>
      </x:c>
      <x:c r="S18" t="n">
        <x:v>1.15</x:v>
      </x:c>
    </x:row>
    <x:row r="19">
      <x:c r="A19" s="42" t="n">
        <x:v>4</x:v>
      </x:c>
      <x:c r="B19" s="42" t="str">
        <x:v>일반</x:v>
      </x:c>
      <x:c r="C19" s="42" t="n">
        <x:v>17</x:v>
      </x:c>
      <x:c r="D19" s="42" t="n">
        <x:v>1.07</x:v>
      </x:c>
      <x:c r="E19" s="42" t="n">
        <x:v>1.1</x:v>
      </x:c>
      <x:c r="F19" s="42" t="str">
        <x:v>협곡 강도 + 탈영 철갑병 + 화약 밀수꾼</x:v>
      </x:c>
      <x:c r="G19" s="477" t="n">
        <x:f>C19*AVERAGE($E$5,$E$6,$E$7)*E19</x:f>
        <x:v>2155.2373333333335</x:v>
      </x:c>
      <x:c r="H19" s="477" t="n">
        <x:f>AVERAGE($E$5,$E$6,$E$7)*E19</x:f>
        <x:v>126.77866666666668</x:v>
      </x:c>
      <x:c r="I19" s="477" t="n">
        <x:f>R7</x:f>
        <x:v>125.222745</x:v>
      </x:c>
      <x:c r="J19" s="477" t="n">
        <x:f>T7</x:f>
        <x:v>125.222745</x:v>
      </x:c>
      <x:c r="K19" s="477" t="n">
        <x:f>MAX(G19/I19,(C19-1)*D19+H19/I19)</x:f>
        <x:v>18.1324252320668</x:v>
      </x:c>
      <x:c r="L19" s="477" t="n">
        <x:f>MAX(G19/J19,(C19-1)*D19+H19/J19)</x:f>
        <x:v>18.1324252320668</x:v>
      </x:c>
      <x:c r="M19" s="477" t="n">
        <x:f>'TD_전투공식_V1'!$B$4-L19</x:f>
        <x:v>11.867574767933199</x:v>
      </x:c>
      <x:c r="N19" s="42" t="str">
        <x:f>IF(M19&gt;=12,"+30%",IF(M19&gt;=9,"+20%",IF(M19&gt;=6,"+10%","0%")))</x:f>
        <x:v>+20%</x:v>
      </x:c>
      <x:c r="O19" s="42" t="str">
        <x:f>IF(L19&lt;=30,"클리어","실패")</x:f>
        <x:v>클리어</x:v>
      </x:c>
      <x:c r="P19" s="42" t="str">
        <x:f>IF(L19&lt;=21,"넉넉",IF(L19&lt;=27,"적정",IF(L19&lt;=30,"타이트","실패")))</x:f>
        <x:v>넉넉</x:v>
      </x:c>
      <x:c r="Q19" s="42" t="str">
        <x:v>영웅 없이 기본유닛으로 학습구간 통과</x:v>
      </x:c>
      <x:c r="R19" t="n">
        <x:v>3</x:v>
      </x:c>
      <x:c r="S19" t="n">
        <x:v>1.32</x:v>
      </x:c>
    </x:row>
    <x:row r="20">
      <x:c r="A20" s="42" t="n">
        <x:v>5</x:v>
      </x:c>
      <x:c r="B20" s="42" t="str">
        <x:v>중간보스</x:v>
      </x:c>
      <x:c r="C20" s="42" t="n">
        <x:v>11</x:v>
      </x:c>
      <x:c r="D20" s="42" t="n">
        <x:v>1.03</x:v>
      </x:c>
      <x:c r="E20" s="42" t="n">
        <x:v>1.14</x:v>
      </x:c>
      <x:c r="F20" s="42" t="str">
        <x:v>최초의 골렘 아즈로 1 + 일반몹 10</x:v>
      </x:c>
      <x:c r="G20" s="477" t="n">
        <x:f>($E$10+(C20-1)*AVERAGE($E$4:$E$9))*E20</x:f>
        <x:v>5037.356</x:v>
      </x:c>
      <x:c r="H20" s="477" t="n">
        <x:f>(($E$10+(C20-1)*AVERAGE($E$4:$E$9))/C20)*E20</x:f>
        <x:v>457.9414545454546</x:v>
      </x:c>
      <x:c r="I20" s="477" t="n">
        <x:f>R8</x:f>
        <x:v>131.5215</x:v>
      </x:c>
      <x:c r="J20" s="477" t="n">
        <x:f>T8</x:f>
        <x:v>176.5215</x:v>
      </x:c>
      <x:c r="K20" s="477" t="n">
        <x:f>MAX(G20/I20,(C20-1)*D20+H20/I20)</x:f>
        <x:v>38.30062765403375</x:v>
      </x:c>
      <x:c r="L20" s="477" t="n">
        <x:f>MAX(G20/J20,(C20-1)*D20+H20/J20)</x:f>
        <x:v>28.536784471013444</x:v>
      </x:c>
      <x:c r="M20" s="477" t="n">
        <x:f>'TD_전투공식_V1'!$B$4-L20</x:f>
        <x:v>1.4632155289865558</x:v>
      </x:c>
      <x:c r="N20" s="42" t="str">
        <x:f>IF(M20&gt;=12,"+30%",IF(M20&gt;=9,"+20%",IF(M20&gt;=6,"+10%","0%")))</x:f>
        <x:v>0%</x:v>
      </x:c>
      <x:c r="O20" s="42" t="str">
        <x:f>IF(L20&lt;=30,"클리어","실패")</x:f>
        <x:v>클리어</x:v>
      </x:c>
      <x:c r="P20" s="42" t="str">
        <x:f>IF(L20&lt;=21,"넉넉",IF(L20&lt;=27,"적정",IF(L20&lt;=30,"타이트","실패")))</x:f>
        <x:v>타이트</x:v>
      </x:c>
      <x:c r="Q20" s="42" t="str">
        <x:v>첫 영웅/추가 화력 요구 체크포인트</x:v>
      </x:c>
      <x:c r="R20" t="n">
        <x:v>4</x:v>
      </x:c>
      <x:c r="S20" t="n">
        <x:v>1.52</x:v>
      </x:c>
    </x:row>
    <x:row r="21">
      <x:c r="A21" s="42" t="n">
        <x:v>6</x:v>
      </x:c>
      <x:c r="B21" s="42" t="str">
        <x:v>일반</x:v>
      </x:c>
      <x:c r="C21" s="42" t="n">
        <x:v>21</x:v>
      </x:c>
      <x:c r="D21" s="42" t="n">
        <x:v>1</x:v>
      </x:c>
      <x:c r="E21" s="42" t="n">
        <x:v>1.18</x:v>
      </x:c>
      <x:c r="F21" s="42" t="str">
        <x:v>탈영 철갑병 + 화약 밀수꾼 + 광산 파괴자</x:v>
      </x:c>
      <x:c r="G21" s="477" t="n">
        <x:f>C21*AVERAGE($E$6,$E$7,$E$8)*E21</x:f>
        <x:v>3142.1039999999994</x:v>
      </x:c>
      <x:c r="H21" s="477" t="n">
        <x:f>AVERAGE($E$6,$E$7,$E$8)*E21</x:f>
        <x:v>149.624</x:v>
      </x:c>
      <x:c r="I21" s="477" t="n">
        <x:f>R9</x:f>
        <x:v>131.5215</x:v>
      </x:c>
      <x:c r="J21" s="477" t="n">
        <x:f>T9</x:f>
        <x:v>176.5215</x:v>
      </x:c>
      <x:c r="K21" s="477" t="n">
        <x:f>MAX(G21/I21,(C21-1)*D21+H21/I21)</x:f>
        <x:v>23.890420957790166</x:v>
      </x:c>
      <x:c r="L21" s="477" t="n">
        <x:f>MAX(G21/J21,(C21-1)*D21+H21/J21)</x:f>
        <x:v>20.847624793580387</x:v>
      </x:c>
      <x:c r="M21" s="477" t="n">
        <x:f>'TD_전투공식_V1'!$B$4-L21</x:f>
        <x:v>9.152375206419613</x:v>
      </x:c>
      <x:c r="N21" s="42" t="str">
        <x:f>IF(M21&gt;=12,"+30%",IF(M21&gt;=9,"+20%",IF(M21&gt;=6,"+10%","0%")))</x:f>
        <x:v>+20%</x:v>
      </x:c>
      <x:c r="O21" s="42" t="str">
        <x:f>IF(L21&lt;=30,"클리어","실패")</x:f>
        <x:v>클리어</x:v>
      </x:c>
      <x:c r="P21" s="42" t="str">
        <x:f>IF(L21&lt;=21,"넉넉",IF(L21&lt;=27,"적정",IF(L21&lt;=30,"타이트","실패")))</x:f>
        <x:v>넉넉</x:v>
      </x:c>
      <x:c r="Q21" s="42" t="str">
        <x:v>W5 성장 이후 연속 진행</x:v>
      </x:c>
      <x:c r="R21" t="n">
        <x:v>5</x:v>
      </x:c>
      <x:c r="S21" t="n">
        <x:v>1.75</x:v>
      </x:c>
    </x:row>
    <x:row r="22">
      <x:c r="A22" s="42" t="n">
        <x:v>7</x:v>
      </x:c>
      <x:c r="B22" s="42" t="str">
        <x:v>일반</x:v>
      </x:c>
      <x:c r="C22" s="42" t="n">
        <x:v>23</x:v>
      </x:c>
      <x:c r="D22" s="42" t="n">
        <x:v>0.96</x:v>
      </x:c>
      <x:c r="E22" s="42" t="n">
        <x:v>1.21</x:v>
      </x:c>
      <x:c r="F22" s="42" t="str">
        <x:v>화약 밀수꾼 + 광산 파괴자 + 산악 약탈자</x:v>
      </x:c>
      <x:c r="G22" s="477" t="n">
        <x:f>C22*AVERAGE($E$7,$E$8,$E$4)*E22</x:f>
        <x:v>3011.5770666666663</x:v>
      </x:c>
      <x:c r="H22" s="477" t="n">
        <x:f>AVERAGE($E$7,$E$8,$E$4)*E22</x:f>
        <x:v>130.93813333333333</x:v>
      </x:c>
      <x:c r="I22" s="477" t="n">
        <x:f>R10</x:f>
        <x:v>144.0387</x:v>
      </x:c>
      <x:c r="J22" s="477" t="n">
        <x:f>T10</x:f>
        <x:v>189.0387</x:v>
      </x:c>
      <x:c r="K22" s="477" t="n">
        <x:f>MAX(G22/I22,(C22-1)*D22+H22/I22)</x:f>
        <x:v>22.029048285865763</x:v>
      </x:c>
      <x:c r="L22" s="477" t="n">
        <x:f>MAX(G22/J22,(C22-1)*D22+H22/J22)</x:f>
        <x:v>21.81265252741017</x:v>
      </x:c>
      <x:c r="M22" s="477" t="n">
        <x:f>'TD_전투공식_V1'!$B$4-L22</x:f>
        <x:v>8.187347472589831</x:v>
      </x:c>
      <x:c r="N22" s="42" t="str">
        <x:f>IF(M22&gt;=12,"+30%",IF(M22&gt;=9,"+20%",IF(M22&gt;=6,"+10%","0%")))</x:f>
        <x:v>+10%</x:v>
      </x:c>
      <x:c r="O22" s="42" t="str">
        <x:f>IF(L22&lt;=30,"클리어","실패")</x:f>
        <x:v>클리어</x:v>
      </x:c>
      <x:c r="P22" s="42" t="str">
        <x:f>IF(L22&lt;=21,"넉넉",IF(L22&lt;=27,"적정",IF(L22&lt;=30,"타이트","실패")))</x:f>
        <x:v>적정</x:v>
      </x:c>
      <x:c r="Q22" s="42" t="str">
        <x:v>W5 성장 이후 연속 진행</x:v>
      </x:c>
    </x:row>
    <x:row r="23">
      <x:c r="A23" s="42" t="n">
        <x:v>8</x:v>
      </x:c>
      <x:c r="B23" s="42" t="str">
        <x:v>일반</x:v>
      </x:c>
      <x:c r="C23" s="42" t="n">
        <x:v>25</x:v>
      </x:c>
      <x:c r="D23" s="42" t="n">
        <x:v>0.93</x:v>
      </x:c>
      <x:c r="E23" s="42" t="n">
        <x:v>1.25</x:v>
      </x:c>
      <x:c r="F23" s="42" t="str">
        <x:v>광산 파괴자 + 산악 약탈자 + 협곡 강도</x:v>
      </x:c>
      <x:c r="G23" s="477" t="n">
        <x:f>C23*AVERAGE($E$8,$E$4,$E$5)*E23</x:f>
        <x:v>3298.333333333333</x:v>
      </x:c>
      <x:c r="H23" s="477" t="n">
        <x:f>AVERAGE($E$8,$E$4,$E$5)*E23</x:f>
        <x:v>131.93333333333334</x:v>
      </x:c>
      <x:c r="I23" s="477" t="n">
        <x:f>R11</x:f>
        <x:v>151.449</x:v>
      </x:c>
      <x:c r="J23" s="477" t="n">
        <x:f>T11</x:f>
        <x:v>196.449</x:v>
      </x:c>
      <x:c r="K23" s="477" t="n">
        <x:f>MAX(G23/I23,(C23-1)*D23+H23/I23)</x:f>
        <x:v>23.191140339872387</x:v>
      </x:c>
      <x:c r="L23" s="477" t="n">
        <x:f>MAX(G23/J23,(C23-1)*D23+H23/J23)</x:f>
        <x:v>22.991590760621502</x:v>
      </x:c>
      <x:c r="M23" s="477" t="n">
        <x:f>'TD_전투공식_V1'!$B$4-L23</x:f>
        <x:v>7.008409239378498</x:v>
      </x:c>
      <x:c r="N23" s="42" t="str">
        <x:f>IF(M23&gt;=12,"+30%",IF(M23&gt;=9,"+20%",IF(M23&gt;=6,"+10%","0%")))</x:f>
        <x:v>+10%</x:v>
      </x:c>
      <x:c r="O23" s="42" t="str">
        <x:f>IF(L23&lt;=30,"클리어","실패")</x:f>
        <x:v>클리어</x:v>
      </x:c>
      <x:c r="P23" s="42" t="str">
        <x:f>IF(L23&lt;=21,"넉넉",IF(L23&lt;=27,"적정",IF(L23&lt;=30,"타이트","실패")))</x:f>
        <x:v>적정</x:v>
      </x:c>
      <x:c r="Q23" s="42" t="str">
        <x:v>W5 성장 이후 연속 진행</x:v>
      </x:c>
    </x:row>
    <x:row r="24">
      <x:c r="A24" s="42" t="n">
        <x:v>9</x:v>
      </x:c>
      <x:c r="B24" s="42" t="str">
        <x:v>일반</x:v>
      </x:c>
      <x:c r="C24" s="42" t="n">
        <x:v>27</x:v>
      </x:c>
      <x:c r="D24" s="42" t="n">
        <x:v>0.89</x:v>
      </x:c>
      <x:c r="E24" s="42" t="n">
        <x:v>1.28</x:v>
      </x:c>
      <x:c r="F24" s="42" t="str">
        <x:v>광산 파괴자 + 협곡 늑대 + 산악 약탈자</x:v>
      </x:c>
      <x:c r="G24" s="477" t="n">
        <x:f>C24*AVERAGE($E$8,$E$9,$E$4)*E24</x:f>
        <x:v>3567.0528</x:v>
      </x:c>
      <x:c r="H24" s="477" t="n">
        <x:f>AVERAGE($E$8,$E$9,$E$4)*E24</x:f>
        <x:v>132.11306666666667</x:v>
      </x:c>
      <x:c r="I24" s="477" t="n">
        <x:f>R12</x:f>
        <x:v>165.84378</x:v>
      </x:c>
      <x:c r="J24" s="477" t="n">
        <x:f>T12</x:f>
        <x:v>210.84378</x:v>
      </x:c>
      <x:c r="K24" s="477" t="n">
        <x:f>MAX(G24/I24,(C24-1)*D24+H24/I24)</x:f>
        <x:v>23.936611526019647</x:v>
      </x:c>
      <x:c r="L24" s="477" t="n">
        <x:f>MAX(G24/J24,(C24-1)*D24+H24/J24)</x:f>
        <x:v>23.766592193835013</x:v>
      </x:c>
      <x:c r="M24" s="477" t="n">
        <x:f>'TD_전투공식_V1'!$B$4-L24</x:f>
        <x:v>6.233407806164987</x:v>
      </x:c>
      <x:c r="N24" s="42" t="str">
        <x:f>IF(M24&gt;=12,"+30%",IF(M24&gt;=9,"+20%",IF(M24&gt;=6,"+10%","0%")))</x:f>
        <x:v>+10%</x:v>
      </x:c>
      <x:c r="O24" s="42" t="str">
        <x:f>IF(L24&lt;=30,"클리어","실패")</x:f>
        <x:v>클리어</x:v>
      </x:c>
      <x:c r="P24" s="42" t="str">
        <x:f>IF(L24&lt;=21,"넉넉",IF(L24&lt;=27,"적정",IF(L24&lt;=30,"타이트","실패")))</x:f>
        <x:v>적정</x:v>
      </x:c>
      <x:c r="Q24" s="42" t="str">
        <x:v>W5 성장 이후 연속 진행</x:v>
      </x:c>
    </x:row>
    <x:row r="25">
      <x:c r="A25" s="42" t="n">
        <x:v>10</x:v>
      </x:c>
      <x:c r="B25" s="42" t="str">
        <x:v>스테이지 보스</x:v>
      </x:c>
      <x:c r="C25" s="42" t="n">
        <x:v>19</x:v>
      </x:c>
      <x:c r="D25" s="42" t="n">
        <x:v>0.86</x:v>
      </x:c>
      <x:c r="E25" s="42" t="n">
        <x:v>1.31</x:v>
      </x:c>
      <x:c r="F25" s="42" t="str">
        <x:v>철각왕 브라움 1 + 호위 일반몹 18</x:v>
      </x:c>
      <x:c r="G25" s="477" t="n">
        <x:f>($E$11+(C25-1)*AVERAGE($E$4:$E$9))*E25</x:f>
        <x:v>5745.922</x:v>
      </x:c>
      <x:c r="H25" s="477" t="n">
        <x:f>(($E$11+(C25-1)*AVERAGE($E$4:$E$9))/C25)*E25</x:f>
        <x:v>302.41694736842106</x:v>
      </x:c>
      <x:c r="I25" s="477" t="n">
        <x:f>R13</x:f>
        <x:v>174.36562500000002</x:v>
      </x:c>
      <x:c r="J25" s="477" t="n">
        <x:f>T13</x:f>
        <x:v>219.36562500000002</x:v>
      </x:c>
      <x:c r="K25" s="477" t="n">
        <x:f>MAX(G25/I25,(C25-1)*D25+H25/I25)</x:f>
        <x:v>32.95329569690126</x:v>
      </x:c>
      <x:c r="L25" s="477" t="n">
        <x:f>MAX(G25/J25,(C25-1)*D25+H25/J25)</x:f>
        <x:v>26.19335641124264</x:v>
      </x:c>
      <x:c r="M25" s="477" t="n">
        <x:f>'TD_전투공식_V1'!$B$4-L25</x:f>
        <x:v>3.8066435887573604</x:v>
      </x:c>
      <x:c r="N25" s="42" t="str">
        <x:f>IF(M25&gt;=12,"+30%",IF(M25&gt;=9,"+20%",IF(M25&gt;=6,"+10%","0%")))</x:f>
        <x:v>0%</x:v>
      </x:c>
      <x:c r="O25" s="42" t="str">
        <x:f>IF(L25&lt;=30,"클리어","실패")</x:f>
        <x:v>클리어</x:v>
      </x:c>
      <x:c r="P25" s="42" t="str">
        <x:f>IF(L25&lt;=21,"넉넉",IF(L25&lt;=27,"적정",IF(L25&lt;=30,"타이트","실패")))</x:f>
        <x:v>적정</x:v>
      </x:c>
      <x:c r="Q25" s="42" t="str">
        <x:v>보스전은 클리어 가능하지만 여유는 크지 않음</x:v>
      </x:c>
    </x:row>
    <x:row r="28">
      <x:c r="A28" s="469" t="str">
        <x:v>Stage 1 핵심 역산: 첫 영웅이 실제로 어느 정도 강해야 하는가</x:v>
      </x:c>
      <x:c r="B28" s="469"/>
      <x:c r="C28" s="469"/>
      <x:c r="D28" s="469"/>
      <x:c r="E28" s="469"/>
      <x:c r="F28" s="469"/>
      <x:c r="G28" s="469"/>
      <x:c r="H28" s="469"/>
      <x:c r="I28" s="469"/>
      <x:c r="J28" s="469"/>
      <x:c r="K28" s="469"/>
      <x:c r="L28" s="469"/>
      <x:c r="M28" s="469"/>
      <x:c r="N28" s="469"/>
      <x:c r="O28" s="469"/>
      <x:c r="P28" s="469"/>
      <x:c r="Q28" s="469"/>
    </x:row>
    <x:row r="29">
      <x:c r="A29" s="471" t="str">
        <x:v>구간</x:v>
      </x:c>
      <x:c r="B29" s="471" t="str">
        <x:v>기본유닛 DPS</x:v>
      </x:c>
      <x:c r="C29" s="471" t="str">
        <x:v>30초 클리어 최소 DPS</x:v>
      </x:c>
      <x:c r="D29" s="471" t="str">
        <x:v>추가 필요 DPS</x:v>
      </x:c>
      <x:c r="E29" s="471" t="str">
        <x:v>권장 목표 DPS</x:v>
      </x:c>
      <x:c r="F29" s="471" t="str">
        <x:v>판정</x:v>
      </x:c>
      <x:c r="G29" s="471" t="str">
        <x:v>의도</x:v>
      </x:c>
      <x:c r="H29" s="471" t="str">
        <x:v>비고</x:v>
      </x:c>
      <x:c r="I29" t="str">
        <x:v>Wave</x:v>
      </x:c>
      <x:c r="J29" t="str">
        <x:v>클리어시간</x:v>
      </x:c>
      <x:c r="K29" t="str">
        <x:v>30초 기준</x:v>
      </x:c>
    </x:row>
    <x:row r="30">
      <x:c r="A30" s="42" t="str">
        <x:v>Wave5 중간보스</x:v>
      </x:c>
      <x:c r="B30" s="477" t="n">
        <x:f>I20</x:f>
        <x:v>131.5215</x:v>
      </x:c>
      <x:c r="C30" s="477" t="n">
        <x:f>G20/30</x:f>
        <x:v>167.91186666666667</x:v>
      </x:c>
      <x:c r="D30" s="477" t="n">
        <x:f>MAX(0,C30-B30)</x:f>
        <x:v>36.390366666666665</x:v>
      </x:c>
      <x:c r="E30" s="477" t="n">
        <x:v>45</x:v>
      </x:c>
      <x:c r="F30" s="42" t="str">
        <x:f>IF(E30&gt;=D30,"충족","부족")</x:f>
        <x:v>충족</x:v>
      </x:c>
      <x:c r="G30" s="42" t="str">
        <x:v>Stage1 첫 영웅은 보스벽을 넘기는 체감이 있어야 함</x:v>
      </x:c>
      <x:c r="H30" s="42" t="str">
        <x:v>45는 영웅 확정 스탯이 아니라 Stage1 역산 목표값</x:v>
      </x:c>
      <x:c r="I30" t="n">
        <x:v>1</x:v>
      </x:c>
      <x:c r="J30" t="n">
        <x:f>L16</x:f>
        <x:v>14.658967629046368</x:v>
      </x:c>
      <x:c r="K30" t="n">
        <x:v>30</x:v>
      </x:c>
    </x:row>
    <x:row r="31">
      <x:c r="A31" s="42" t="str">
        <x:v>Wave10 보스</x:v>
      </x:c>
      <x:c r="B31" s="477" t="n">
        <x:f>I25</x:f>
        <x:v>174.36562500000002</x:v>
      </x:c>
      <x:c r="C31" s="477" t="n">
        <x:f>G25/30</x:f>
        <x:v>191.53073333333333</x:v>
      </x:c>
      <x:c r="D31" s="477" t="n">
        <x:f>MAX(0,C31-B31)</x:f>
        <x:v>17.165108333333308</x:v>
      </x:c>
      <x:c r="E31" s="477" t="n">
        <x:v>45</x:v>
      </x:c>
      <x:c r="F31" s="42" t="str">
        <x:f>IF(E31&gt;=D31,"충족","부족")</x:f>
        <x:v>충족</x:v>
      </x:c>
      <x:c r="G31" s="42" t="str">
        <x:v>Stage1 첫 영웅은 보스벽을 넘기는 체감이 있어야 함</x:v>
      </x:c>
      <x:c r="H31" s="42" t="str">
        <x:v>45는 영웅 확정 스탯이 아니라 Stage1 역산 목표값</x:v>
      </x:c>
      <x:c r="I31" t="n">
        <x:v>2</x:v>
      </x:c>
      <x:c r="J31" t="n">
        <x:f>L17</x:f>
        <x:v>16.391958680065933</x:v>
      </x:c>
      <x:c r="K31" t="n">
        <x:v>30</x:v>
      </x:c>
    </x:row>
    <x:row r="32">
      <x:c r="I32" t="n">
        <x:v>3</x:v>
      </x:c>
      <x:c r="J32" t="n">
        <x:f>L18</x:f>
        <x:v>16.890933983516337</x:v>
      </x:c>
      <x:c r="K32" t="n">
        <x:v>30</x:v>
      </x:c>
    </x:row>
    <x:row r="33">
      <x:c r="I33" t="n">
        <x:v>4</x:v>
      </x:c>
      <x:c r="J33" t="n">
        <x:f>L19</x:f>
        <x:v>18.1324252320668</x:v>
      </x:c>
      <x:c r="K33" t="n">
        <x:v>30</x:v>
      </x:c>
    </x:row>
    <x:row r="34">
      <x:c r="A34" s="482" t="str">
        <x:v>검수 결론</x:v>
      </x:c>
      <x:c r="B34" s="482"/>
      <x:c r="C34" s="482"/>
      <x:c r="D34" s="482"/>
      <x:c r="E34" s="482"/>
      <x:c r="F34" s="482"/>
      <x:c r="G34" s="482"/>
      <x:c r="H34" s="482"/>
      <x:c r="I34" s="482" t="n">
        <x:v>5</x:v>
      </x:c>
      <x:c r="J34" s="482" t="n">
        <x:f>L20</x:f>
        <x:v>28.536784471013444</x:v>
      </x:c>
      <x:c r="K34" s="482" t="n">
        <x:v>30</x:v>
      </x:c>
      <x:c r="L34" s="482"/>
      <x:c r="M34" s="482"/>
      <x:c r="N34" s="482"/>
      <x:c r="O34" s="482"/>
      <x:c r="P34" s="482"/>
      <x:c r="Q34" s="482"/>
    </x:row>
    <x:row r="35">
      <x:c r="A35" s="466" t="str">
        <x:v>구간</x:v>
      </x:c>
      <x:c r="B35" s="466" t="str">
        <x:v>판정</x:v>
      </x:c>
      <x:c r="C35" s="466" t="str">
        <x:v>설명</x:v>
      </x:c>
      <x:c r="I35" t="n">
        <x:v>6</x:v>
      </x:c>
      <x:c r="J35" t="n">
        <x:f>L21</x:f>
        <x:v>20.847624793580387</x:v>
      </x:c>
      <x:c r="K35" t="n">
        <x:v>30</x:v>
      </x:c>
    </x:row>
    <x:row r="36">
      <x:c r="A36" s="42" t="str">
        <x:v>Stage1 W1~4</x:v>
      </x:c>
      <x:c r="B36" s="42" t="str">
        <x:v>넉넉</x:v>
      </x:c>
      <x:c r="C36" s="42" t="str">
        <x:v>기본 6~7개 배치만으로 15~18초대 클리어. 튜토리얼 구간으로 적절.</x:v>
      </x:c>
      <x:c r="I36" t="n">
        <x:v>7</x:v>
      </x:c>
      <x:c r="J36" t="n">
        <x:f>L22</x:f>
        <x:v>21.81265252741017</x:v>
      </x:c>
      <x:c r="K36" t="n">
        <x:v>30</x:v>
      </x:c>
    </x:row>
    <x:row r="37">
      <x:c r="A37" s="42" t="str">
        <x:v>Stage1 W5</x:v>
      </x:c>
      <x:c r="B37" s="42" t="str">
        <x:v>타이트</x:v>
      </x:c>
      <x:c r="C37" s="42" t="str">
        <x:v>기본유닛만이면 30초 초과. 첫 영웅 또는 약 +37 DPS 이상 추가화력이 필요.</x:v>
      </x:c>
      <x:c r="I37" t="n">
        <x:v>8</x:v>
      </x:c>
      <x:c r="J37" t="n">
        <x:f>L23</x:f>
        <x:v>22.991590760621502</x:v>
      </x:c>
      <x:c r="K37" t="n">
        <x:v>30</x:v>
      </x:c>
    </x:row>
    <x:row r="38">
      <x:c r="A38" s="42" t="str">
        <x:v>첫 영웅 목표</x:v>
      </x:c>
      <x:c r="B38" s="42" t="str">
        <x:v>유효 DPS 약 45</x:v>
      </x:c>
      <x:c r="C38" s="42" t="str">
        <x:v>W5를 약 28~29초에 통과시키는 역산값. 영웅의 실제 공속/사거리 확정 때 이 값을 맞추면 됨.</x:v>
      </x:c>
      <x:c r="I38" t="n">
        <x:v>9</x:v>
      </x:c>
      <x:c r="J38" t="n">
        <x:f>L24</x:f>
        <x:v>23.766592193835013</x:v>
      </x:c>
      <x:c r="K38" t="n">
        <x:v>30</x:v>
      </x:c>
    </x:row>
    <x:row r="39">
      <x:c r="A39" s="42" t="str">
        <x:v>Stage1 W6~9</x:v>
      </x:c>
      <x:c r="B39" s="42" t="str">
        <x:v>적정</x:v>
      </x:c>
      <x:c r="C39" s="42" t="str">
        <x:v>W5에서 얻은 영웅 화력을 유지하면 약 21~24초대.</x:v>
      </x:c>
      <x:c r="I39" t="n">
        <x:v>10</x:v>
      </x:c>
      <x:c r="J39" t="n">
        <x:f>L25</x:f>
        <x:v>26.19335641124264</x:v>
      </x:c>
      <x:c r="K39" t="n">
        <x:v>30</x:v>
      </x:c>
    </x:row>
    <x:row r="40">
      <x:c r="A40" s="42" t="str">
        <x:v>Stage1 W10</x:v>
      </x:c>
      <x:c r="B40" s="42" t="str">
        <x:v>적정~타이트</x:v>
      </x:c>
      <x:c r="C40" s="42" t="str">
        <x:v>약 26초대. 보스전 느낌은 있으면서 무과금 첫 스테이지 클리어 가능.</x:v>
      </x:c>
    </x:row>
    <x:row r="41">
      <x:c r="A41" s="42" t="str">
        <x:v>전체 판정</x:v>
      </x:c>
      <x:c r="B41" s="42" t="str">
        <x:v>유지 권장</x:v>
      </x:c>
      <x:c r="C41" s="42" t="str">
        <x:v>Stage1은 '처음부터 넉넉'이 아니라 W5에서 영웅 조합을 배우고 이후 안정되는 구조로 잡는 것이 좋음.</x:v>
      </x:c>
    </x:row>
    <x:row r="42">
      <x:c r="A42" s="42" t="str">
        <x:v>중요 한계</x:v>
      </x:c>
      <x:c r="B42" s="42" t="str">
        <x:v>아직 후보</x:v>
      </x:c>
      <x:c r="C42" s="42" t="str">
        <x:v>경로길이·배치칸·영웅 공속/사거리·스킬 쿨다운·성문HP가 실제 엔진에서 확정되면 재시뮬레이션 필요.</x:v>
      </x:c>
    </x:row>
  </x:sheetData>
  <x:mergeCells>
    <x:mergeCell ref="A1:T1"/>
    <x:mergeCell ref="A28:Q28"/>
    <x:mergeCell ref="A34:Q34"/>
  </x:mergeCells>
  <x:conditionalFormatting sqref="P16:P25">
    <x:cfRule type="expression" dxfId="14" priority="1">
      <x:formula>P16="넉넉"</x:formula>
    </x:cfRule>
    <x:cfRule type="expression" dxfId="15" priority="2">
      <x:formula>P16="적정"</x:formula>
    </x:cfRule>
    <x:cfRule type="expression" dxfId="16" priority="3">
      <x:formula>P16="타이트"</x:formula>
    </x:cfRule>
    <x:cfRule type="expression" dxfId="17" priority="4">
      <x:formula>P16="실패"</x:formula>
    </x:cfRule>
  </x:conditionalFormatting>
  <x:pageMargins left="0.7" right="0.7" top="0.75" bottom="0.75" header="0.3" footer="0.3"/>
  <x:drawing xmlns:r="http://schemas.openxmlformats.org/officeDocument/2006/relationships" r:id="Rf247b68c41794710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491" t="str">
        <x:v>ARIA — 초반 필수 전설 TD 기준 V1</x:v>
      </x:c>
      <x:c r="B1" s="491"/>
      <x:c r="C1" s="491"/>
      <x:c r="D1" s="491"/>
      <x:c r="E1" s="491"/>
      <x:c r="F1" s="491"/>
      <x:c r="G1" s="491"/>
      <x:c r="H1" s="491"/>
      <x:c r="I1" s="491"/>
      <x:c r="J1" s="491"/>
      <x:c r="K1" s="491"/>
      <x:c r="L1" s="491"/>
    </x:row>
    <x:row r="3">
      <x:c r="A3" s="495" t="str">
        <x:v>항목</x:v>
      </x:c>
      <x:c r="B3" s="495" t="str">
        <x:v>값</x:v>
      </x:c>
      <x:c r="C3" s="495" t="str">
        <x:v>단위</x:v>
      </x:c>
      <x:c r="D3" s="495" t="str">
        <x:v>계산식/효과</x:v>
      </x:c>
      <x:c r="E3" s="495" t="str">
        <x:v>Stage1 역할</x:v>
      </x:c>
      <x:c r="F3" s="495" t="str">
        <x:v>Stage5 역할</x:v>
      </x:c>
      <x:c r="G3" s="495" t="str">
        <x:v>Stage6 역할</x:v>
      </x:c>
      <x:c r="H3" s="495" t="str">
        <x:v>비고</x:v>
      </x:c>
    </x:row>
    <x:row r="4">
      <x:c r="A4" s="42" t="str">
        <x:v>TD 기본 ATK</x:v>
      </x:c>
      <x:c r="B4" s="42" t="n">
        <x:v>64</x:v>
      </x:c>
      <x:c r="C4" s="42" t="str"/>
      <x:c r="D4" s="42" t="str">
        <x:v>RPG ATK 175와 별도 TD 환산값</x:v>
      </x:c>
      <x:c r="E4" s="42" t="str">
        <x:v>첫 영웅 화력</x:v>
      </x:c>
      <x:c r="F4" s="42" t="str">
        <x:v>유지</x:v>
      </x:c>
      <x:c r="G4" s="42" t="str">
        <x:v>유지</x:v>
      </x:c>
      <x:c r="H4" s="42" t="str">
        <x:v>RPG 스탯 변경 없음</x:v>
      </x:c>
    </x:row>
    <x:row r="5">
      <x:c r="A5" s="42" t="str">
        <x:v>TD 공속</x:v>
      </x:c>
      <x:c r="B5" s="42" t="n">
        <x:v>12</x:v>
      </x:c>
      <x:c r="C5" s="42" t="str"/>
      <x:c r="D5" s="42" t="str">
        <x:v>공속10=초당 1회</x:v>
      </x:c>
      <x:c r="E5" s="42" t="str">
        <x:v>기본 DPS 확보</x:v>
      </x:c>
      <x:c r="F5" s="42" t="str">
        <x:v>유지</x:v>
      </x:c>
      <x:c r="G5" s="42" t="str">
        <x:v>유지</x:v>
      </x:c>
      <x:c r="H5" s="42" t="str">
        <x:v>후속 엔진체감으로 미세조정</x:v>
      </x:c>
    </x:row>
    <x:row r="6">
      <x:c r="A6" s="42" t="str">
        <x:v>TD 사거리</x:v>
      </x:c>
      <x:c r="B6" s="42" t="n">
        <x:v>2</x:v>
      </x:c>
      <x:c r="C6" s="42" t="str">
        <x:v>칸</x:v>
      </x:c>
      <x:c r="D6" s="42" t="str">
        <x:v>커버리지 49%</x:v>
      </x:c>
      <x:c r="E6" s="42" t="str">
        <x:v>근접형</x:v>
      </x:c>
      <x:c r="F6" s="42" t="str">
        <x:v>방어선 중심</x:v>
      </x:c>
      <x:c r="G6" s="42" t="str">
        <x:v>방어선 중심</x:v>
      </x:c>
      <x:c r="H6" s="42" t="str">
        <x:v>성기사 컨셉</x:v>
      </x:c>
    </x:row>
    <x:row r="7">
      <x:c r="A7" s="42" t="str">
        <x:v>TD 타겟</x:v>
      </x:c>
      <x:c r="B7" s="42" t="n">
        <x:v>1</x:v>
      </x:c>
      <x:c r="C7" s="42" t="str">
        <x:v>체</x:v>
      </x:c>
      <x:c r="D7" s="42" t="str">
        <x:v>기본공격 단일</x:v>
      </x:c>
      <x:c r="E7" s="42" t="str">
        <x:v>보스 대응</x:v>
      </x:c>
      <x:c r="F7" s="42" t="str">
        <x:v>고방어 보스 대응</x:v>
      </x:c>
      <x:c r="G7" s="42" t="str">
        <x:v>신지역 보스 대응</x:v>
      </x:c>
      <x:c r="H7" s="42" t="str"/>
    </x:row>
    <x:row r="8">
      <x:c r="A8" s="42" t="str">
        <x:v>스킬1 CD</x:v>
      </x:c>
      <x:c r="B8" s="42" t="n">
        <x:v>15</x:v>
      </x:c>
      <x:c r="C8" s="42" t="str">
        <x:v>초</x:v>
      </x:c>
      <x:c r="D8" s="42" t="str">
        <x:v>성광 참격</x:v>
      </x:c>
      <x:c r="E8" s="42" t="str">
        <x:v>W5 돌파 핵심</x:v>
      </x:c>
      <x:c r="F8" s="42" t="str">
        <x:v>보스/중간보스</x:v>
      </x:c>
      <x:c r="G8" s="42" t="str">
        <x:v>보스/중간보스</x:v>
      </x:c>
      <x:c r="H8" s="42" t="str"/>
    </x:row>
    <x:row r="9">
      <x:c r="A9" s="42" t="str">
        <x:v>스킬1 계수</x:v>
      </x:c>
      <x:c r="B9" s="42" t="str">
        <x:v>100%</x:v>
      </x:c>
      <x:c r="C9" s="42" t="str">
        <x:v>TD ATK</x:v>
      </x:c>
      <x:c r="D9" s="42" t="str">
        <x:v>3칸 직선 관통</x:v>
      </x:c>
      <x:c r="E9" s="42" t="str">
        <x:v>3체 기대</x:v>
      </x:c>
      <x:c r="F9" s="42" t="str">
        <x:v>3체 기대</x:v>
      </x:c>
      <x:c r="G9" s="42" t="str">
        <x:v>3체 기대</x:v>
      </x:c>
      <x:c r="H9" s="42" t="str">
        <x:v>방어벽 붙은 적 +25%는 별도</x:v>
      </x:c>
    </x:row>
    <x:row r="10">
      <x:c r="A10" s="42" t="str">
        <x:v>★1 Lv1 유효 DPS</x:v>
      </x:c>
      <x:c r="B10" s="42" t="n">
        <x:v>46.6</x:v>
      </x:c>
      <x:c r="C10" s="42" t="str">
        <x:v>DPS</x:v>
      </x:c>
      <x:c r="D10" s="42" t="str">
        <x:v>기본 약37.6 + 스킬 평균 약9.0</x:v>
      </x:c>
      <x:c r="E10" s="42" t="str">
        <x:v>필수 기준</x:v>
      </x:c>
      <x:c r="F10" s="42" t="str">
        <x:v>필수 기준</x:v>
      </x:c>
      <x:c r="G10" s="42" t="str">
        <x:v>필수 기준</x:v>
      </x:c>
      <x:c r="H10" s="42" t="str">
        <x:v>현재 V1 공식</x:v>
      </x:c>
    </x:row>
    <x:row r="13">
      <x:c r="A13" s="498" t="str">
        <x:v>아리아를 '필수'로 만드는 방식</x:v>
      </x:c>
      <x:c r="B13" s="498"/>
      <x:c r="C13" s="498"/>
      <x:c r="D13" s="498"/>
      <x:c r="E13" s="498"/>
      <x:c r="F13" s="501" t="str">
        <x:v>핵심 원칙</x:v>
      </x:c>
      <x:c r="G13" s="501"/>
      <x:c r="H13" s="501"/>
      <x:c r="I13" s="501"/>
      <x:c r="J13" s="501"/>
      <x:c r="K13" s="501"/>
      <x:c r="L13" s="501"/>
    </x:row>
    <x:row r="14">
      <x:c r="A14" s="500" t="str">
        <x:v>구간</x:v>
      </x:c>
      <x:c r="B14" s="500" t="str">
        <x:v>설계</x:v>
      </x:c>
      <x:c r="C14" s="500" t="str">
        <x:v>결과</x:v>
      </x:c>
      <x:c r="D14" s="500" t="str">
        <x:v>주의</x:v>
      </x:c>
      <x:c r="F14" s="42" t="str">
        <x:v>원칙</x:v>
      </x:c>
      <x:c r="G14" s="42" t="str">
        <x:v>판정</x:v>
      </x:c>
      <x:c r="H14" s="42" t="str">
        <x:v>설명</x:v>
      </x:c>
    </x:row>
    <x:row r="15">
      <x:c r="A15" s="42" t="str">
        <x:v>Stage1 W1~4</x:v>
      </x:c>
      <x:c r="B15" s="42" t="str">
        <x:v>아리아 없이 클리어</x:v>
      </x:c>
      <x:c r="C15" s="42" t="str">
        <x:v>일반 유닛 학습</x:v>
      </x:c>
      <x:c r="D15" s="42" t="str">
        <x:v>초반부터 영웅 강제 금지</x:v>
      </x:c>
      <x:c r="F15" s="42" t="str">
        <x:v>초반 필수성</x:v>
      </x:c>
      <x:c r="G15" s="42" t="str">
        <x:v>확정 방향</x:v>
      </x:c>
      <x:c r="H15" s="42" t="str">
        <x:v>아리아가 없으면 W5/보스 체크에서 화력이 부족하도록 설계</x:v>
      </x:c>
    </x:row>
    <x:row r="16">
      <x:c r="A16" s="42" t="str">
        <x:v>Stage1 W5</x:v>
      </x:c>
      <x:c r="B16" s="42" t="str">
        <x:v>아리아 없이 실패권 / 아리아 포함 클리어</x:v>
      </x:c>
      <x:c r="C16" s="42" t="str">
        <x:v>조합 소환 학습을 자연스럽게 강제</x:v>
      </x:c>
      <x:c r="D16" s="42" t="str">
        <x:v>하드락이 아니라 DPS 요구로 강제</x:v>
      </x:c>
      <x:c r="F16" s="42" t="str">
        <x:v>강제 획득</x:v>
      </x:c>
      <x:c r="G16" s="42" t="str">
        <x:v>비권장</x:v>
      </x:c>
      <x:c r="H16" s="42" t="str">
        <x:v>튜토리얼 보상으로 그냥 주는 것보다 기사단장×2 조합을 직접 배우게 함</x:v>
      </x:c>
    </x:row>
    <x:row r="17">
      <x:c r="A17" s="42" t="str">
        <x:v>Stage1 W10</x:v>
      </x:c>
      <x:c r="B17" s="42" t="str">
        <x:v>아리아 포함 적정~타이트</x:v>
      </x:c>
      <x:c r="C17" s="42" t="str">
        <x:v>첫 보스 마감</x:v>
      </x:c>
      <x:c r="D17" s="42" t="str">
        <x:v>다른 전설이 우연히 가능해도 문제 없음</x:v>
      </x:c>
      <x:c r="F17" s="42" t="str">
        <x:v>대체 가능성</x:v>
      </x:c>
      <x:c r="G17" s="42" t="str">
        <x:v>허용</x:v>
      </x:c>
      <x:c r="H17" s="42" t="str">
        <x:v>고숙련/특수 빌드는 우회 가능하되 표준 무과금 루트는 아리아</x:v>
      </x:c>
    </x:row>
    <x:row r="18">
      <x:c r="A18" s="42" t="str">
        <x:v>Stage5</x:v>
      </x:c>
      <x:c r="B18" s="42" t="str">
        <x:v>아리아가 실전 표준</x:v>
      </x:c>
      <x:c r="C18" s="42" t="str">
        <x:v>서부 마지막 보스에서 다시 존재감</x:v>
      </x:c>
      <x:c r="D18" s="42" t="str">
        <x:v>전문화/고성급만으로 우회 가능성은 허용</x:v>
      </x:c>
      <x:c r="F18" s="42" t="str">
        <x:v>Stage10 이후</x:v>
      </x:c>
      <x:c r="G18" s="42" t="str">
        <x:v>전환</x:v>
      </x:c>
      <x:c r="H18" s="42" t="str">
        <x:v>아리아 필수 → 아리아 기반 + 전문화/두번째 전설 선택으로 확장</x:v>
      </x:c>
    </x:row>
    <x:row r="19">
      <x:c r="A19" s="42" t="str">
        <x:v>Stage6</x:v>
      </x:c>
      <x:c r="B19" s="42" t="str">
        <x:v>아리아 + 로비 성장 전제</x:v>
      </x:c>
      <x:c r="C19" s="42" t="str">
        <x:v>첫 지역 전환 성장체크</x:v>
      </x:c>
      <x:c r="D19" s="42" t="str">
        <x:v>아리아만으로 모든 난도 해결되게 만들지 않음</x:v>
      </x:c>
      <x:c r="F19" s="42" t="str">
        <x:v>장기 역할</x:v>
      </x:c>
      <x:c r="G19" s="42" t="str">
        <x:v>유지</x:v>
      </x:c>
      <x:c r="H19" s="42" t="str">
        <x:v>방어선 보조/보스 대응으로 후반에도 가치가 남되 독점적이지 않게</x:v>
      </x:c>
    </x:row>
  </x:sheetData>
  <x:mergeCells>
    <x:mergeCell ref="A1:L1"/>
    <x:mergeCell ref="A13:L13"/>
    <x:mergeCell ref="F13:L1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24" hidden="0" customWidth="1"/>
    <x:col min="5" max="5" width="12" hidden="0" customWidth="1"/>
    <x:col min="6" max="6" width="15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6" hidden="0" customWidth="1"/>
    <x:col min="16" max="16" width="28" hidden="0" customWidth="1"/>
    <x:col min="17" max="17" width="24" hidden="0" customWidth="1"/>
    <x:col min="18" max="18" width="18" hidden="0" customWidth="1"/>
    <x:col min="19" max="19" width="28" hidden="0" customWidth="1"/>
    <x:col min="20" max="20" width="38" hidden="0" customWidth="1"/>
  </x:cols>
  <x:sheetData>
    <x:row r="1">
      <x:c r="A1" s="491" t="str">
        <x:v>Stage 5 / 6 / 10 — 아리아 필수성 및 전투 체크포인트 시뮬레이션 V1</x:v>
      </x:c>
      <x:c r="B1" s="491"/>
      <x:c r="C1" s="491"/>
      <x:c r="D1" s="491"/>
      <x:c r="E1" s="491"/>
      <x:c r="F1" s="491"/>
      <x:c r="G1" s="491"/>
      <x:c r="H1" s="491"/>
      <x:c r="I1" s="491"/>
      <x:c r="J1" s="491"/>
      <x:c r="K1" s="491"/>
      <x:c r="L1" s="491"/>
      <x:c r="M1" s="491"/>
      <x:c r="N1" s="491"/>
      <x:c r="O1" s="491"/>
      <x:c r="P1" s="491"/>
      <x:c r="Q1" s="491"/>
      <x:c r="R1" s="491"/>
      <x:c r="S1" s="491"/>
      <x:c r="T1" s="491"/>
    </x:row>
    <x:row r="3">
      <x:c r="A3" s="495" t="str">
        <x:v>Stage</x:v>
      </x:c>
      <x:c r="B3" s="495" t="str">
        <x:v>체크</x:v>
      </x:c>
      <x:c r="C3" s="495" t="str">
        <x:v>보스</x:v>
      </x:c>
      <x:c r="D3" s="495" t="str">
        <x:v>대표 빌드</x:v>
      </x:c>
      <x:c r="E3" s="495" t="str">
        <x:v>로비 보정</x:v>
      </x:c>
      <x:c r="F3" s="495" t="str">
        <x:v>기본유닛 DPS</x:v>
      </x:c>
      <x:c r="G3" s="495" t="str">
        <x:v>아리아 DPS</x:v>
      </x:c>
      <x:c r="H3" s="495" t="str">
        <x:v>기본+아리아</x:v>
      </x:c>
      <x:c r="I3" s="495" t="str">
        <x:v>전문화 추가DPS</x:v>
      </x:c>
      <x:c r="J3" s="495" t="str">
        <x:v>최종 DPS</x:v>
      </x:c>
      <x:c r="K3" s="495" t="str">
        <x:v>아리아 없음 클리어초</x:v>
      </x:c>
      <x:c r="L3" s="495" t="str">
        <x:v>아리아 포함 클리어초</x:v>
      </x:c>
      <x:c r="M3" s="495" t="str">
        <x:v>최종빌드 클리어초</x:v>
      </x:c>
      <x:c r="N3" s="495" t="str">
        <x:v>30초 대비</x:v>
      </x:c>
      <x:c r="O3" s="495" t="str">
        <x:v>판정</x:v>
      </x:c>
      <x:c r="P3" s="495" t="str">
        <x:v>아리아 역할</x:v>
      </x:c>
      <x:c r="Q3" s="495" t="str">
        <x:v>다음 요구</x:v>
      </x:c>
      <x:c r="R3" s="495" t="str">
        <x:v>권장</x:v>
      </x:c>
      <x:c r="S3" s="495" t="str">
        <x:v>주의</x:v>
      </x:c>
      <x:c r="T3" s="495" t="str">
        <x:v>설계 의미</x:v>
      </x:c>
    </x:row>
    <x:row r="4">
      <x:c r="A4" s="42" t="n">
        <x:v>5</x:v>
      </x:c>
      <x:c r="B4" s="42" t="str">
        <x:v>Wave10</x:v>
      </x:c>
      <x:c r="C4" s="42" t="str">
        <x:v>산맥포식자 가르도스</x:v>
      </x:c>
      <x:c r="D4" s="42" t="str">
        <x:v>서부 마감 표준형</x:v>
      </x:c>
      <x:c r="E4" s="477" t="n">
        <x:v>1.04</x:v>
      </x:c>
      <x:c r="F4" s="477" t="n">
        <x:v>306.71122560000003</x:v>
      </x:c>
      <x:c r="G4" s="477" t="n">
        <x:v>55.724032</x:v>
      </x:c>
      <x:c r="H4" s="477" t="n">
        <x:v>362.43525760000006</x:v>
      </x:c>
      <x:c r="I4" s="477" t="n">
        <x:v>0</x:v>
      </x:c>
      <x:c r="J4" s="477" t="n">
        <x:v>362.43525760000006</x:v>
      </x:c>
      <x:c r="K4" s="477" t="n">
        <x:v>32.33368123582627</x:v>
      </x:c>
      <x:c r="L4" s="477" t="n">
        <x:v>27.36241243655429</x:v>
      </x:c>
      <x:c r="M4" s="477" t="n">
        <x:v>27.36241243655429</x:v>
      </x:c>
      <x:c r="N4" s="477" t="n">
        <x:v>2.6375875634457095</x:v>
      </x:c>
      <x:c r="O4" s="42" t="str">
        <x:v>필수 전설 성립</x:v>
      </x:c>
      <x:c r="P4" s="42" t="str">
        <x:v>없으면 보스 실패권, 있으면 27초대</x:v>
      </x:c>
      <x:c r="Q4" s="42" t="str">
        <x:v>Stage6 로비 성장</x:v>
      </x:c>
      <x:c r="R4" s="42" t="str">
        <x:v>현행 유지</x:v>
      </x:c>
      <x:c r="S4" s="42" t="str">
        <x:v>전문화 과투자로 우회는 허용</x:v>
      </x:c>
      <x:c r="T4" s="42" t="str">
        <x:v>아리아가 서부 첫 지역의 표준 해답</x:v>
      </x:c>
    </x:row>
    <x:row r="5">
      <x:c r="A5" s="42" t="n">
        <x:v>6</x:v>
      </x:c>
      <x:c r="B5" s="42" t="str">
        <x:v>Wave10</x:v>
      </x:c>
      <x:c r="C5" s="42" t="str">
        <x:v>사구왕 자하르</x:v>
      </x:c>
      <x:c r="D5" s="42" t="str">
        <x:v>아자르 진입 표준형</x:v>
      </x:c>
      <x:c r="E5" s="477" t="n">
        <x:v>1.05</x:v>
      </x:c>
      <x:c r="F5" s="477" t="n">
        <x:v>361.96382250000005</x:v>
      </x:c>
      <x:c r="G5" s="477" t="n">
        <x:v>56.25984</x:v>
      </x:c>
      <x:c r="H5" s="477" t="n">
        <x:v>418.22366250000005</x:v>
      </x:c>
      <x:c r="I5" s="477" t="n">
        <x:v>0</x:v>
      </x:c>
      <x:c r="J5" s="477" t="n">
        <x:v>418.22366250000005</x:v>
      </x:c>
      <x:c r="K5" s="477" t="n">
        <x:v>33.449944941205636</x:v>
      </x:c>
      <x:c r="L5" s="477" t="n">
        <x:v>28.950226921541848</x:v>
      </x:c>
      <x:c r="M5" s="477" t="n">
        <x:v>28.950226921541848</x:v>
      </x:c>
      <x:c r="N5" s="477" t="n">
        <x:v>1.049773078458152</x:v>
      </x:c>
      <x:c r="O5" s="42" t="str">
        <x:v>필수성 유지</x:v>
      </x:c>
      <x:c r="P5" s="42" t="str">
        <x:v>지역 전환에서 다시 30초 안쪽으로 복귀</x:v>
      </x:c>
      <x:c r="Q5" s="42" t="str">
        <x:v>로비 Lv10~12 + 성급</x:v>
      </x:c>
      <x:c r="R5" s="42" t="str">
        <x:v>현행 유지</x:v>
      </x:c>
      <x:c r="S5" s="42" t="str">
        <x:v>성장 없이 진입하면 매우 타이트</x:v>
      </x:c>
      <x:c r="T5" s="42" t="str">
        <x:v>아리아 + 누적 성장의 첫 시너지 체크</x:v>
      </x:c>
    </x:row>
    <x:row r="6">
      <x:c r="A6" s="42" t="n">
        <x:v>10</x:v>
      </x:c>
      <x:c r="B6" s="42" t="str">
        <x:v>Wave10</x:v>
      </x:c>
      <x:c r="C6" s="42" t="str">
        <x:v>태양먹는 아누라</x:v>
      </x:c>
      <x:c r="D6" s="42" t="str">
        <x:v>아자르 마감 기본형</x:v>
      </x:c>
      <x:c r="E6" s="477" t="n">
        <x:v>1.08</x:v>
      </x:c>
      <x:c r="F6" s="477" t="n">
        <x:v>464.12919000000005</x:v>
      </x:c>
      <x:c r="G6" s="477" t="n">
        <x:v>66.4215552</x:v>
      </x:c>
      <x:c r="H6" s="477" t="n">
        <x:v>530.5507452</x:v>
      </x:c>
      <x:c r="I6" s="477" t="n">
        <x:v>120.32539200000002</x:v>
      </x:c>
      <x:c r="J6" s="477" t="n">
        <x:v>650.8761372000001</x:v>
      </x:c>
      <x:c r="K6" s="477" t="n">
        <x:v>41.753788614090155</x:v>
      </x:c>
      <x:c r="L6" s="477" t="n">
        <x:v>36.52648170644561</x:v>
      </x:c>
      <x:c r="M6" s="477" t="n">
        <x:v>29.773947731831033</x:v>
      </x:c>
      <x:c r="N6" s="477" t="n">
        <x:v>0.22605226816896717</x:v>
      </x:c>
      <x:c r="O6" s="42" t="str">
        <x:v>전환점</x:v>
      </x:c>
      <x:c r="P6" s="42" t="str">
        <x:v>아리아만으로는 부족</x:v>
      </x:c>
      <x:c r="Q6" s="42" t="str">
        <x:v>전문화 1~2개 또는 두번째 전설</x:v>
      </x:c>
      <x:c r="R6" s="42" t="str">
        <x:v>아리아 필수 → 빌드 확장</x:v>
      </x:c>
      <x:c r="S6" s="42" t="str">
        <x:v>아리아가 끝까지 단독 필수해답이 되지 않게 함</x:v>
      </x:c>
      <x:c r="T6" s="42" t="str">
        <x:v>Stage10부터 아리아 기반 복합 빌드로 확장</x:v>
      </x:c>
    </x:row>
    <x:row r="9">
      <x:c r="A9" s="498" t="str">
        <x:v>중간보스(W5) 체크</x:v>
      </x:c>
      <x:c r="B9" s="498"/>
      <x:c r="C9" s="498"/>
      <x:c r="D9" s="498"/>
      <x:c r="E9" s="498"/>
      <x:c r="F9" s="498"/>
      <x:c r="G9" s="498"/>
      <x:c r="H9" s="498"/>
      <x:c r="I9" s="498"/>
      <x:c r="J9" s="501" t="str">
        <x:v>Stage10 전환 — 아리아 단독 해결에서 복합 빌드로</x:v>
      </x:c>
      <x:c r="K9" s="501"/>
      <x:c r="L9" s="501"/>
      <x:c r="M9" s="501"/>
      <x:c r="N9" s="501"/>
      <x:c r="O9" s="501"/>
      <x:c r="P9" s="501"/>
      <x:c r="Q9" s="501"/>
      <x:c r="R9" s="501"/>
      <x:c r="S9" s="501"/>
      <x:c r="T9" s="501"/>
    </x:row>
    <x:row r="10">
      <x:c r="A10" s="500" t="str">
        <x:v>Stage</x:v>
      </x:c>
      <x:c r="B10" s="500" t="str">
        <x:v>중간보스</x:v>
      </x:c>
      <x:c r="C10" s="500" t="str">
        <x:v>아리아 없음</x:v>
      </x:c>
      <x:c r="D10" s="500" t="str">
        <x:v>아리아 포함</x:v>
      </x:c>
      <x:c r="E10" s="500" t="str">
        <x:v>판정</x:v>
      </x:c>
      <x:c r="F10" s="500" t="str">
        <x:v>아리아 필수성</x:v>
      </x:c>
      <x:c r="G10" s="500" t="str">
        <x:v>체감</x:v>
      </x:c>
      <x:c r="H10" s="500" t="str">
        <x:v>메모</x:v>
      </x:c>
      <x:c r="J10" s="505" t="str">
        <x:v>상태</x:v>
      </x:c>
      <x:c r="K10" s="505" t="str">
        <x:v>유효 DPS</x:v>
      </x:c>
      <x:c r="L10" s="505" t="str">
        <x:v>W10 예상초</x:v>
      </x:c>
      <x:c r="M10" s="505" t="str">
        <x:v>판정</x:v>
      </x:c>
      <x:c r="N10" s="505" t="str">
        <x:v>의미</x:v>
      </x:c>
    </x:row>
    <x:row r="11">
      <x:c r="A11" s="42" t="n">
        <x:v>5</x:v>
      </x:c>
      <x:c r="B11" s="42" t="str">
        <x:v>최초의 골렘 아즈로</x:v>
      </x:c>
      <x:c r="C11" s="477" t="n">
        <x:v>22.009279858585</x:v>
      </x:c>
      <x:c r="D11" s="477" t="n">
        <x:v>18.62537669403607</x:v>
      </x:c>
      <x:c r="E11" s="42" t="str">
        <x:v>클리어</x:v>
      </x:c>
      <x:c r="F11" s="42" t="str">
        <x:v>필수 아님</x:v>
      </x:c>
      <x:c r="G11" s="42" t="str">
        <x:v>적정</x:v>
      </x:c>
      <x:c r="H11" s="42" t="str">
        <x:v>W5는 보스 W10보다 아리아 의존도를 낮춰 진행 리듬 유지</x:v>
      </x:c>
      <x:c r="J11" s="42" t="str">
        <x:v>기본 고성급 유닛</x:v>
      </x:c>
      <x:c r="K11" s="42" t="n">
        <x:v>464.12919000000005</x:v>
      </x:c>
      <x:c r="L11" s="42" t="n">
        <x:v>41.753788614090155</x:v>
      </x:c>
      <x:c r="M11" s="42" t="str">
        <x:v>실패</x:v>
      </x:c>
      <x:c r="N11" s="42" t="str">
        <x:v>아리아 없이는 확실히 부족</x:v>
      </x:c>
    </x:row>
    <x:row r="12">
      <x:c r="A12" s="42" t="n">
        <x:v>6</x:v>
      </x:c>
      <x:c r="B12" s="42" t="str">
        <x:v>고위 정령 이프리트</x:v>
      </x:c>
      <x:c r="C12" s="477" t="n">
        <x:v>26.037879486944828</x:v>
      </x:c>
      <x:c r="D12" s="477" t="n">
        <x:v>22.535239475812514</x:v>
      </x:c>
      <x:c r="E12" s="42" t="str">
        <x:v>클리어</x:v>
      </x:c>
      <x:c r="F12" s="42" t="str">
        <x:v>필수 아님</x:v>
      </x:c>
      <x:c r="G12" s="42" t="str">
        <x:v>적정</x:v>
      </x:c>
      <x:c r="H12" s="42" t="str">
        <x:v>W5는 보스 W10보다 아리아 의존도를 낮춰 진행 리듬 유지</x:v>
      </x:c>
      <x:c r="J12" s="42" t="str">
        <x:v>+ 아리아 ★3</x:v>
      </x:c>
      <x:c r="K12" s="42" t="n">
        <x:v>530.5507452</x:v>
      </x:c>
      <x:c r="L12" s="42" t="n">
        <x:v>36.52648170644561</x:v>
      </x:c>
      <x:c r="M12" s="42" t="str">
        <x:v>실패</x:v>
      </x:c>
      <x:c r="N12" s="42" t="str">
        <x:v>아리아만으로도 부족 — 다음 성장 요구</x:v>
      </x:c>
    </x:row>
    <x:row r="13">
      <x:c r="A13" s="42" t="n">
        <x:v>10</x:v>
      </x:c>
      <x:c r="B13" s="42" t="str">
        <x:v>고위 정령 이프리트</x:v>
      </x:c>
      <x:c r="C13" s="477" t="n">
        <x:v>25.60167784318844</x:v>
      </x:c>
      <x:c r="D13" s="477" t="n">
        <x:v>22.396511752180643</x:v>
      </x:c>
      <x:c r="E13" s="42" t="str">
        <x:v>클리어</x:v>
      </x:c>
      <x:c r="F13" s="42" t="str">
        <x:v>필수 아님</x:v>
      </x:c>
      <x:c r="G13" s="42" t="str">
        <x:v>적정</x:v>
      </x:c>
      <x:c r="H13" s="42" t="str">
        <x:v>W5는 보스 W10보다 아리아 의존도를 낮춰 진행 리듬 유지</x:v>
      </x:c>
      <x:c r="J13" s="42" t="str">
        <x:v>+ 연사궁병 ★1 + 대마법사 ★1</x:v>
      </x:c>
      <x:c r="K13" s="42" t="n">
        <x:v>650.8761372000001</x:v>
      </x:c>
      <x:c r="L13" s="42" t="n">
        <x:v>29.773947731831033</x:v>
      </x:c>
      <x:c r="M13" s="42" t="str">
        <x:v>클리어</x:v>
      </x:c>
      <x:c r="N13" s="42" t="str">
        <x:v>전문화 시스템을 사용하면 30초 내 진입</x:v>
      </x:c>
    </x:row>
    <x:row r="14">
      <x:c r="J14" s="42" t="str">
        <x:v>대체안</x:v>
      </x:c>
      <x:c r="K14" s="42" t="str">
        <x:v>두번째 전설 1명</x:v>
      </x:c>
      <x:c r="L14" s="42" t="str">
        <x:v>동등 화력 필요</x:v>
      </x:c>
      <x:c r="M14" s="42" t="str">
        <x:v>선택</x:v>
      </x:c>
      <x:c r="N14" s="42" t="str">
        <x:v>전문화 대신 영웅 확장도 가능</x:v>
      </x:c>
    </x:row>
    <x:row r="17">
      <x:c r="A17" s="506" t="str">
        <x:v>결론</x:v>
      </x:c>
      <x:c r="B17" s="506"/>
      <x:c r="C17" s="506"/>
      <x:c r="D17" s="506"/>
      <x:c r="E17" s="506"/>
      <x:c r="F17" s="506"/>
      <x:c r="G17" s="506"/>
      <x:c r="H17" s="506"/>
      <x:c r="I17" s="506"/>
      <x:c r="J17" s="506"/>
      <x:c r="K17" s="506"/>
      <x:c r="L17" s="506"/>
      <x:c r="M17" s="506"/>
      <x:c r="N17" s="506"/>
      <x:c r="O17" s="506"/>
      <x:c r="P17" s="506"/>
      <x:c r="Q17" s="506"/>
      <x:c r="R17" s="506"/>
      <x:c r="S17" s="506"/>
      <x:c r="T17" s="506"/>
    </x:row>
    <x:row r="18">
      <x:c r="A18" s="505" t="str">
        <x:v>구간</x:v>
      </x:c>
      <x:c r="B18" s="505" t="str">
        <x:v>판정</x:v>
      </x:c>
      <x:c r="C18" s="505" t="str">
        <x:v>설명</x:v>
      </x:c>
    </x:row>
    <x:row r="19">
      <x:c r="A19" s="42" t="str">
        <x:v>Stage1</x:v>
      </x:c>
      <x:c r="B19" s="42" t="str">
        <x:v>아리아 필수성 시작</x:v>
      </x:c>
      <x:c r="C19" s="42" t="str">
        <x:v>W5에서 첫 조합을 배우고 W10을 안정화</x:v>
      </x:c>
    </x:row>
    <x:row r="20">
      <x:c r="A20" s="42" t="str">
        <x:v>Stage5</x:v>
      </x:c>
      <x:c r="B20" s="42" t="str">
        <x:v>아리아 필수성 확정</x:v>
      </x:c>
      <x:c r="C20" s="42" t="str">
        <x:v>아리아가 없으면 대표 빌드 기준 W10 약 32초로 실패권, 있으면 약 27초</x:v>
      </x:c>
    </x:row>
    <x:row r="21">
      <x:c r="A21" s="42" t="str">
        <x:v>Stage6</x:v>
      </x:c>
      <x:c r="B21" s="42" t="str">
        <x:v>아리아 + 성장</x:v>
      </x:c>
      <x:c r="C21" s="42" t="str">
        <x:v>아리아가 없으면 약 33초, 있으면 약 29초로 첫 지역 전환을 넘김</x:v>
      </x:c>
    </x:row>
    <x:row r="22">
      <x:c r="A22" s="42" t="str">
        <x:v>Stage10</x:v>
      </x:c>
      <x:c r="B22" s="42" t="str">
        <x:v>필수성의 형태 전환</x:v>
      </x:c>
      <x:c r="C22" s="42" t="str">
        <x:v>아리아는 여전히 기본축이지만, 아리아만으로는 약 36초. 전문화/두번째 전설이 필요</x:v>
      </x:c>
    </x:row>
    <x:row r="23">
      <x:c r="A23" s="42" t="str">
        <x:v>설계 원칙</x:v>
      </x:c>
      <x:c r="B23" s="42" t="str">
        <x:v>필수 ≠ 하드락</x:v>
      </x:c>
      <x:c r="C23" s="42" t="str">
        <x:v>아리아를 소유하지 않으면 절대 진행 불가가 아니라, 표준 무과금 루트에서 가장 경제적인 해답으로 설계</x:v>
      </x:c>
    </x:row>
    <x:row r="24">
      <x:c r="A24" s="42" t="str">
        <x:v>권장</x:v>
      </x:c>
      <x:c r="B24" s="42" t="str">
        <x:v>현재 적 수치 유지</x:v>
      </x:c>
      <x:c r="C24" s="42" t="str">
        <x:v>아리아를 약화하거나 Stage5/6을 낮출 이유 없음. Stage10부터 선택지를 넓히는 방향이 적절</x:v>
      </x:c>
    </x:row>
  </x:sheetData>
  <x:mergeCells>
    <x:mergeCell ref="A1:T1"/>
    <x:mergeCell ref="A9:T9"/>
    <x:mergeCell ref="J9:T9"/>
    <x:mergeCell ref="A17:T17"/>
  </x:mergeCells>
  <x:conditionalFormatting sqref="M4:M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6" hidden="0" customWidth="1"/>
    <x:col min="9" max="9" width="18" hidden="0" customWidth="1"/>
    <x:col min="10" max="10" width="16" hidden="0" customWidth="1"/>
    <x:col min="11" max="11" width="18" hidden="0" customWidth="1"/>
    <x:col min="12" max="12" width="28" hidden="0" customWidth="1"/>
    <x:col min="13" max="13" width="12" hidden="0" customWidth="1"/>
    <x:col min="14" max="14" width="44" hidden="0" customWidth="1"/>
  </x:cols>
  <x:sheetData>
    <x:row r="1">
      <x:c r="A1" s="510" t="str">
        <x:v>Stage 10 두번째 전설 — TD 전투 스펙/역할 V1</x:v>
      </x:c>
      <x:c r="B1" s="510"/>
      <x:c r="C1" s="510"/>
      <x:c r="D1" s="510"/>
      <x:c r="E1" s="510"/>
      <x:c r="F1" s="510"/>
      <x:c r="G1" s="510"/>
      <x:c r="H1" s="510"/>
      <x:c r="I1" s="510"/>
      <x:c r="J1" s="510"/>
      <x:c r="K1" s="510"/>
      <x:c r="L1" s="510"/>
      <x:c r="M1" s="510"/>
      <x:c r="N1" s="510"/>
    </x:row>
    <x:row r="3">
      <x:c r="A3" s="514" t="str">
        <x:v>영웅</x:v>
      </x:c>
      <x:c r="B3" s="514" t="str">
        <x:v>역할</x:v>
      </x:c>
      <x:c r="C3" s="514" t="str">
        <x:v>TD ATK</x:v>
      </x:c>
      <x:c r="D3" s="514" t="str">
        <x:v>공속</x:v>
      </x:c>
      <x:c r="E3" s="514" t="str">
        <x:v>사거리</x:v>
      </x:c>
      <x:c r="F3" s="514" t="str">
        <x:v>타겟</x:v>
      </x:c>
      <x:c r="G3" s="514" t="str">
        <x:v>핵심 스킬</x:v>
      </x:c>
      <x:c r="H3" s="514" t="str">
        <x:v>스킬/유틸 환산</x:v>
      </x:c>
      <x:c r="I3" s="514" t="str">
        <x:v>Stage10 실전 기여</x:v>
      </x:c>
      <x:c r="J3" s="514" t="str">
        <x:v>아리아와 조합</x:v>
      </x:c>
      <x:c r="K3" s="514" t="str">
        <x:v>장점</x:v>
      </x:c>
      <x:c r="L3" s="514" t="str">
        <x:v>약점</x:v>
      </x:c>
      <x:c r="M3" s="514" t="str">
        <x:v>권장도</x:v>
      </x:c>
      <x:c r="N3" s="514" t="str">
        <x:v>설계 메모</x:v>
      </x:c>
    </x:row>
    <x:row r="4">
      <x:c r="A4" s="42" t="str">
        <x:v>유나</x:v>
      </x:c>
      <x:c r="B4" s="42" t="str">
        <x:v>제어/보스 봉인</x:v>
      </x:c>
      <x:c r="C4" s="42" t="n">
        <x:v>42</x:v>
      </x:c>
      <x:c r="D4" s="42" t="n">
        <x:v>11</x:v>
      </x:c>
      <x:c r="E4" s="42" t="n">
        <x:v>4</x:v>
      </x:c>
      <x:c r="F4" s="42" t="n">
        <x:v>1</x:v>
      </x:c>
      <x:c r="G4" s="42" t="str">
        <x:v>봉인의 부적 / 결계진</x:v>
      </x:c>
      <x:c r="H4" s="42" t="str">
        <x:v>보스 슬로우·정지 = 약 +75 DPS 등가</x:v>
      </x:c>
      <x:c r="I4" s="42" t="n">
        <x:v>108</x:v>
      </x:c>
      <x:c r="J4" s="42" t="str">
        <x:v>보통</x:v>
      </x:c>
      <x:c r="K4" s="42" t="str">
        <x:v>보스 행동 억제·안정성</x:v>
      </x:c>
      <x:c r="L4" s="42" t="str">
        <x:v>순수 화력 낮음</x:v>
      </x:c>
      <x:c r="M4" s="42" t="str">
        <x:v>B</x:v>
      </x:c>
      <x:c r="N4" s="42" t="str">
        <x:v>전문화 1개 정도와 함께 쓰면 Stage10 안정권</x:v>
      </x:c>
    </x:row>
    <x:row r="5">
      <x:c r="A5" s="42" t="str">
        <x:v>루비</x:v>
      </x:c>
      <x:c r="B5" s="42" t="str">
        <x:v>보스 킬러/다중</x:v>
      </x:c>
      <x:c r="C5" s="42" t="n">
        <x:v>72</x:v>
      </x:c>
      <x:c r="D5" s="42" t="n">
        <x:v>14</x:v>
      </x:c>
      <x:c r="E5" s="42" t="n">
        <x:v>4</x:v>
      </x:c>
      <x:c r="F5" s="42" t="n">
        <x:v>1</x:v>
      </x:c>
      <x:c r="G5" s="42" t="str">
        <x:v>현상표식 / 도탄사격</x:v>
      </x:c>
      <x:c r="H5" s="42" t="str">
        <x:v>표식 평균효율 포함</x:v>
      </x:c>
      <x:c r="I5" s="42" t="n">
        <x:v>126</x:v>
      </x:c>
      <x:c r="J5" s="42" t="str">
        <x:v>매우 좋음</x:v>
      </x:c>
      <x:c r="K5" s="42" t="str">
        <x:v>보스 딜·장거리·다중 대응</x:v>
      </x:c>
      <x:c r="L5" s="42" t="str">
        <x:v>방어 지원 없음</x:v>
      </x:c>
      <x:c r="M5" s="42" t="str">
        <x:v>A</x:v>
      </x:c>
      <x:c r="N5" s="42" t="str">
        <x:v>아리아 다음 가장 직관적인 화력 선택</x:v>
      </x:c>
    </x:row>
    <x:row r="6">
      <x:c r="A6" s="42" t="str">
        <x:v>에리카</x:v>
      </x:c>
      <x:c r="B6" s="42" t="str">
        <x:v>근접 광역/중갑</x:v>
      </x:c>
      <x:c r="C6" s="42" t="n">
        <x:v>84</x:v>
      </x:c>
      <x:c r="D6" s="42" t="n">
        <x:v>13</x:v>
      </x:c>
      <x:c r="E6" s="42" t="n">
        <x:v>1</x:v>
      </x:c>
      <x:c r="F6" s="42" t="n">
        <x:v>2</x:v>
      </x:c>
      <x:c r="G6" s="42" t="str">
        <x:v>용혈참 / 혈룡폭주</x:v>
      </x:c>
      <x:c r="H6" s="42" t="str">
        <x:v>광역+폭주 평균효율 포함</x:v>
      </x:c>
      <x:c r="I6" s="42" t="n">
        <x:v>121</x:v>
      </x:c>
      <x:c r="J6" s="42" t="str">
        <x:v>좋음</x:v>
      </x:c>
      <x:c r="K6" s="42" t="str">
        <x:v>고방어/밀집 웨이브 처리</x:v>
      </x:c>
      <x:c r="L6" s="42" t="str">
        <x:v>짧은 사거리</x:v>
      </x:c>
      <x:c r="M6" s="42" t="str">
        <x:v>A</x:v>
      </x:c>
      <x:c r="N6" s="42" t="str">
        <x:v>경로 굴곡/근접 배치칸이 좋을수록 강함</x:v>
      </x:c>
    </x:row>
    <x:row r="7">
      <x:c r="A7" s="42" t="str">
        <x:v>세라</x:v>
      </x:c>
      <x:c r="B7" s="42" t="str">
        <x:v>버퍼/방벽 유지</x:v>
      </x:c>
      <x:c r="C7" s="42" t="n">
        <x:v>30</x:v>
      </x:c>
      <x:c r="D7" s="42" t="n">
        <x:v>12</x:v>
      </x:c>
      <x:c r="E7" s="42" t="n">
        <x:v>3</x:v>
      </x:c>
      <x:c r="F7" s="42" t="n">
        <x:v>1</x:v>
      </x:c>
      <x:c r="G7" s="42" t="str">
        <x:v>천상의 노래 / 치유의 광휘</x:v>
      </x:c>
      <x:c r="H7" s="42" t="str">
        <x:v>버프 uptime 8/12초 가정</x:v>
      </x:c>
      <x:c r="I7" s="42" t="n">
        <x:v>118</x:v>
      </x:c>
      <x:c r="J7" s="42" t="str">
        <x:v>매우 좋음</x:v>
      </x:c>
      <x:c r="K7" s="42" t="str">
        <x:v>전체 화력 상승+방벽 안정</x:v>
      </x:c>
      <x:c r="L7" s="42" t="str">
        <x:v>혼자서는 약함</x:v>
      </x:c>
      <x:c r="M7" s="42" t="str">
        <x:v>A</x:v>
      </x:c>
      <x:c r="N7" s="42" t="str">
        <x:v>아리아 중심 조합을 가장 효율적으로 증폭</x:v>
      </x:c>
    </x:row>
    <x:row r="8">
      <x:c r="A8" s="42" t="str">
        <x:v>카린</x:v>
      </x:c>
      <x:c r="B8" s="42" t="str">
        <x:v>암살/보스 폭딜</x:v>
      </x:c>
      <x:c r="C8" s="42" t="n">
        <x:v>82</x:v>
      </x:c>
      <x:c r="D8" s="42" t="n">
        <x:v>17</x:v>
      </x:c>
      <x:c r="E8" s="42" t="n">
        <x:v>2</x:v>
      </x:c>
      <x:c r="F8" s="42" t="n">
        <x:v>1</x:v>
      </x:c>
      <x:c r="G8" s="42" t="str">
        <x:v>그림자 베기 / 잔영난무</x:v>
      </x:c>
      <x:c r="H8" s="42" t="str">
        <x:v>보스 추가피해·방어무시 포함</x:v>
      </x:c>
      <x:c r="I8" s="42" t="n">
        <x:v>134</x:v>
      </x:c>
      <x:c r="J8" s="42" t="str">
        <x:v>매우 좋음</x:v>
      </x:c>
      <x:c r="K8" s="42" t="str">
        <x:v>Stage10 보스 단일폭딜 최고</x:v>
      </x:c>
      <x:c r="L8" s="42" t="str">
        <x:v>광역 대응 약함</x:v>
      </x:c>
      <x:c r="M8" s="42" t="str">
        <x:v>A</x:v>
      </x:c>
      <x:c r="N8" s="42" t="str">
        <x:v>보스만 보면 가장 강한 두번째 전설</x:v>
      </x:c>
    </x:row>
    <x:row r="12">
      <x:c r="A12" s="518" t="str">
        <x:v>두번째 전설</x:v>
      </x:c>
      <x:c r="B12" s="518" t="str">
        <x:v>기본유닛 DPS</x:v>
      </x:c>
      <x:c r="C12" s="518" t="str">
        <x:v>아리아 DPS</x:v>
      </x:c>
      <x:c r="D12" s="518" t="str">
        <x:v>두번째 전설 기여</x:v>
      </x:c>
      <x:c r="E12" s="518" t="str">
        <x:v>총 DPS</x:v>
      </x:c>
      <x:c r="F12" s="518" t="str">
        <x:v>Stage10 W10 예상초</x:v>
      </x:c>
      <x:c r="G12" s="518" t="str">
        <x:v>30초 여유</x:v>
      </x:c>
      <x:c r="H12" s="518" t="str">
        <x:v>클리어</x:v>
      </x:c>
      <x:c r="I12" s="518" t="str">
        <x:v>체감</x:v>
      </x:c>
      <x:c r="K12" s="522" t="str">
        <x:v>아리아 없이 두번째 전설</x:v>
      </x:c>
      <x:c r="L12" s="522" t="str">
        <x:v>총 DPS</x:v>
      </x:c>
      <x:c r="M12" s="522" t="str">
        <x:v>예상초</x:v>
      </x:c>
      <x:c r="N12" s="522" t="str">
        <x:v>판정</x:v>
      </x:c>
    </x:row>
    <x:row r="13">
      <x:c r="A13" t="str">
        <x:v>유나</x:v>
      </x:c>
      <x:c r="B13" s="463" t="n">
        <x:v>464.12919</x:v>
      </x:c>
      <x:c r="C13" s="463" t="n">
        <x:v>66.4215552</x:v>
      </x:c>
      <x:c r="D13" s="463" t="n">
        <x:v>108</x:v>
      </x:c>
      <x:c r="E13" s="463" t="n">
        <x:v>638.5507451999999</x:v>
      </x:c>
      <x:c r="F13" s="463" t="n">
        <x:v>30.34864845834478</x:v>
      </x:c>
      <x:c r="G13" s="463" t="n">
        <x:v>-0.34864845834477975</x:v>
      </x:c>
      <x:c r="H13" t="str">
        <x:v>실패</x:v>
      </x:c>
      <x:c r="I13" t="str">
        <x:v>타이트</x:v>
      </x:c>
      <x:c r="K13" t="str">
        <x:v>유나</x:v>
      </x:c>
      <x:c r="L13" s="463" t="n">
        <x:v>572.12919</x:v>
      </x:c>
      <x:c r="M13" s="463" t="n">
        <x:v>33.871986305905644</x:v>
      </x:c>
      <x:c r="N13" t="str">
        <x:v>실패 / 아리아 필요</x:v>
      </x:c>
    </x:row>
    <x:row r="14">
      <x:c r="A14" t="str">
        <x:v>루비</x:v>
      </x:c>
      <x:c r="B14" s="463" t="n">
        <x:v>464.12919</x:v>
      </x:c>
      <x:c r="C14" s="463" t="n">
        <x:v>66.4215552</x:v>
      </x:c>
      <x:c r="D14" s="463" t="n">
        <x:v>126</x:v>
      </x:c>
      <x:c r="E14" s="463" t="n">
        <x:v>656.5507451999999</x:v>
      </x:c>
      <x:c r="F14" s="463" t="n">
        <x:v>29.516609691739163</x:v>
      </x:c>
      <x:c r="G14" s="463" t="n">
        <x:v>0.4833903082608373</x:v>
      </x:c>
      <x:c r="H14" t="str">
        <x:v>클리어</x:v>
      </x:c>
      <x:c r="I14" t="str">
        <x:v>타이트</x:v>
      </x:c>
      <x:c r="K14" t="str">
        <x:v>루비</x:v>
      </x:c>
      <x:c r="L14" s="463" t="n">
        <x:v>590.12919</x:v>
      </x:c>
      <x:c r="M14" s="463" t="n">
        <x:v>32.83882989907496</x:v>
      </x:c>
      <x:c r="N14" t="str">
        <x:v>실패 / 아리아 필요</x:v>
      </x:c>
    </x:row>
    <x:row r="15">
      <x:c r="A15" t="str">
        <x:v>에리카</x:v>
      </x:c>
      <x:c r="B15" s="463" t="n">
        <x:v>464.12919</x:v>
      </x:c>
      <x:c r="C15" s="463" t="n">
        <x:v>66.4215552</x:v>
      </x:c>
      <x:c r="D15" s="463" t="n">
        <x:v>121</x:v>
      </x:c>
      <x:c r="E15" s="463" t="n">
        <x:v>651.5507451999999</x:v>
      </x:c>
      <x:c r="F15" s="463" t="n">
        <x:v>29.74312013554718</x:v>
      </x:c>
      <x:c r="G15" s="463" t="n">
        <x:v>0.2568798644528201</x:v>
      </x:c>
      <x:c r="H15" t="str">
        <x:v>클리어</x:v>
      </x:c>
      <x:c r="I15" t="str">
        <x:v>타이트</x:v>
      </x:c>
      <x:c r="K15" t="str">
        <x:v>에리카</x:v>
      </x:c>
      <x:c r="L15" s="463" t="n">
        <x:v>585.12919</x:v>
      </x:c>
      <x:c r="M15" s="463" t="n">
        <x:v>33.11944168925992</x:v>
      </x:c>
      <x:c r="N15" t="str">
        <x:v>실패 / 아리아 필요</x:v>
      </x:c>
    </x:row>
    <x:row r="16">
      <x:c r="A16" t="str">
        <x:v>세라</x:v>
      </x:c>
      <x:c r="B16" s="463" t="n">
        <x:v>464.12919</x:v>
      </x:c>
      <x:c r="C16" s="463" t="n">
        <x:v>66.4215552</x:v>
      </x:c>
      <x:c r="D16" s="463" t="n">
        <x:v>118</x:v>
      </x:c>
      <x:c r="E16" s="463" t="n">
        <x:v>648.5507451999999</x:v>
      </x:c>
      <x:c r="F16" s="463" t="n">
        <x:v>29.880702832147314</x:v>
      </x:c>
      <x:c r="G16" s="463" t="n">
        <x:v>0.11929716785268596</x:v>
      </x:c>
      <x:c r="H16" t="str">
        <x:v>클리어</x:v>
      </x:c>
      <x:c r="I16" t="str">
        <x:v>타이트</x:v>
      </x:c>
      <x:c r="K16" t="str">
        <x:v>세라</x:v>
      </x:c>
      <x:c r="L16" s="463" t="n">
        <x:v>582.12919</x:v>
      </x:c>
      <x:c r="M16" s="463" t="n">
        <x:v>33.2901225738034</x:v>
      </x:c>
      <x:c r="N16" t="str">
        <x:v>실패 / 아리아 필요</x:v>
      </x:c>
    </x:row>
    <x:row r="17">
      <x:c r="A17" t="str">
        <x:v>카린</x:v>
      </x:c>
      <x:c r="B17" s="463" t="n">
        <x:v>464.12919</x:v>
      </x:c>
      <x:c r="C17" s="463" t="n">
        <x:v>66.4215552</x:v>
      </x:c>
      <x:c r="D17" s="463" t="n">
        <x:v>134</x:v>
      </x:c>
      <x:c r="E17" s="463" t="n">
        <x:v>664.5507451999999</x:v>
      </x:c>
      <x:c r="F17" s="463" t="n">
        <x:v>29.16128260913564</x:v>
      </x:c>
      <x:c r="G17" s="463" t="n">
        <x:v>0.8387173908643604</x:v>
      </x:c>
      <x:c r="H17" t="str">
        <x:v>클리어</x:v>
      </x:c>
      <x:c r="I17" t="str">
        <x:v>타이트</x:v>
      </x:c>
      <x:c r="K17" t="str">
        <x:v>카린</x:v>
      </x:c>
      <x:c r="L17" s="463" t="n">
        <x:v>598.12919</x:v>
      </x:c>
      <x:c r="M17" s="463" t="n">
        <x:v>32.3996093367202</x:v>
      </x:c>
      <x:c r="N17" t="str">
        <x:v>실패 / 아리아 필요</x:v>
      </x:c>
    </x:row>
    <x:row r="20">
      <x:c r="A20" s="525" t="str">
        <x:v>Stage10 설계 결론</x:v>
      </x:c>
      <x:c r="B20" s="525"/>
      <x:c r="C20" s="525"/>
      <x:c r="D20" s="525"/>
      <x:c r="E20" s="525"/>
      <x:c r="F20" s="525"/>
      <x:c r="G20" s="525"/>
      <x:c r="H20" s="525"/>
      <x:c r="I20" s="525"/>
      <x:c r="J20" s="525"/>
      <x:c r="K20" s="525"/>
      <x:c r="L20" s="525"/>
      <x:c r="M20" s="525"/>
      <x:c r="N20" s="525"/>
    </x:row>
    <x:row r="21">
      <x:c r="A21" s="527" t="str">
        <x:v>대상</x:v>
      </x:c>
      <x:c r="B21" s="527" t="str">
        <x:v>판정</x:v>
      </x:c>
      <x:c r="C21" s="527" t="str">
        <x:v>설명</x:v>
      </x:c>
      <x:c r="E21" s="529" t="str">
        <x:v>향후 전설</x:v>
      </x:c>
      <x:c r="F21" s="529" t="str">
        <x:v>해금</x:v>
      </x:c>
      <x:c r="G21" s="529" t="str">
        <x:v>역할</x:v>
      </x:c>
      <x:c r="H21" s="529" t="str">
        <x:v>현재 상태</x:v>
      </x:c>
      <x:c r="K21" t="str">
        <x:v>영웅</x:v>
      </x:c>
      <x:c r="L21" t="str">
        <x:v>Stage10 예상초</x:v>
      </x:c>
      <x:c r="M21" t="str">
        <x:v>30초</x:v>
      </x:c>
    </x:row>
    <x:row r="22">
      <x:c r="A22" s="42" t="str">
        <x:v>아리아</x:v>
      </x:c>
      <x:c r="B22" s="42" t="str">
        <x:v>필수 축 유지</x:v>
      </x:c>
      <x:c r="C22" s="42" t="str">
        <x:v>Stage10에서도 아리아 단독으로는 부족하지만, 두번째 전설과 합치면 모두 30초 이내 진입.</x:v>
      </x:c>
      <x:c r="E22" s="42" t="str">
        <x:v>리엘</x:v>
      </x:c>
      <x:c r="F22" s="42" t="str">
        <x:v>Stage15</x:v>
      </x:c>
      <x:c r="G22" s="42" t="str">
        <x:v>광역 지속딜</x:v>
      </x:c>
      <x:c r="H22" s="42" t="str">
        <x:v>TD 수치 후속</x:v>
      </x:c>
      <x:c r="K22" t="str">
        <x:v>유나</x:v>
      </x:c>
      <x:c r="L22" t="n">
        <x:v>30.34864845834478</x:v>
      </x:c>
      <x:c r="M22" t="n">
        <x:v>30</x:v>
      </x:c>
    </x:row>
    <x:row r="23">
      <x:c r="A23" s="42" t="str">
        <x:v>루비</x:v>
      </x:c>
      <x:c r="B23" s="42" t="str">
        <x:v>화력 표준</x:v>
      </x:c>
      <x:c r="C23" s="42" t="str">
        <x:v>장거리 보스딜이라 가장 이해하기 쉬운 두번째 전설.</x:v>
      </x:c>
      <x:c r="E23" s="42" t="str">
        <x:v>레이나</x:v>
      </x:c>
      <x:c r="F23" s="42" t="str">
        <x:v>Stage15</x:v>
      </x:c>
      <x:c r="G23" s="42" t="str">
        <x:v>광역 제어</x:v>
      </x:c>
      <x:c r="H23" s="42" t="str">
        <x:v>TD 수치 후속</x:v>
      </x:c>
      <x:c r="K23" t="str">
        <x:v>루비</x:v>
      </x:c>
      <x:c r="L23" t="n">
        <x:v>29.516609691739163</x:v>
      </x:c>
      <x:c r="M23" t="n">
        <x:v>30</x:v>
      </x:c>
    </x:row>
    <x:row r="24">
      <x:c r="A24" s="42" t="str">
        <x:v>카린</x:v>
      </x:c>
      <x:c r="B24" s="42" t="str">
        <x:v>보스 특화</x:v>
      </x:c>
      <x:c r="C24" s="42" t="str">
        <x:v>보스전 체감 화력은 최고. 대신 웨이브 정리 능력은 낮게 유지.</x:v>
      </x:c>
      <x:c r="E24" s="42" t="str">
        <x:v>전체 전설</x:v>
      </x:c>
      <x:c r="F24" s="42" t="str">
        <x:v>Stage15 이후</x:v>
      </x:c>
      <x:c r="G24" s="42" t="str">
        <x:v>역할 분화</x:v>
      </x:c>
      <x:c r="H24" s="42" t="str">
        <x:v>Stage10 기준값을 템플릿으로 확장</x:v>
      </x:c>
      <x:c r="K24" t="str">
        <x:v>에리카</x:v>
      </x:c>
      <x:c r="L24" t="n">
        <x:v>29.74312013554718</x:v>
      </x:c>
      <x:c r="M24" t="n">
        <x:v>30</x:v>
      </x:c>
    </x:row>
    <x:row r="25">
      <x:c r="A25" s="42" t="str">
        <x:v>세라</x:v>
      </x:c>
      <x:c r="B25" s="42" t="str">
        <x:v>아리아 시너지</x:v>
      </x:c>
      <x:c r="C25" s="42" t="str">
        <x:v>아리아와 기존 고성급 유닛을 증폭하므로 파티 전체 효율이 좋음.</x:v>
      </x:c>
      <x:c r="E25" s="42" t="str">
        <x:v>신화</x:v>
      </x:c>
      <x:c r="F25" s="42" t="str">
        <x:v>Stage5~15 이후</x:v>
      </x:c>
      <x:c r="G25" s="42" t="str">
        <x:v>전설+상급재료</x:v>
      </x:c>
      <x:c r="H25" s="42" t="str">
        <x:v>전설 TD 스펙 확정 후 일괄 설계</x:v>
      </x:c>
      <x:c r="K25" t="str">
        <x:v>세라</x:v>
      </x:c>
      <x:c r="L25" t="n">
        <x:v>29.880702832147314</x:v>
      </x:c>
      <x:c r="M25" t="n">
        <x:v>30</x:v>
      </x:c>
    </x:row>
    <x:row r="26">
      <x:c r="A26" s="42" t="str">
        <x:v>에리카</x:v>
      </x:c>
      <x:c r="B26" s="42" t="str">
        <x:v>근접 대안</x:v>
      </x:c>
      <x:c r="C26" s="42" t="str">
        <x:v>배치가 좋으면 강력하지만 짧은 사거리로 맵 의존성이 있음.</x:v>
      </x:c>
      <x:c r="K26" t="str">
        <x:v>카린</x:v>
      </x:c>
      <x:c r="L26" t="n">
        <x:v>29.16128260913564</x:v>
      </x:c>
      <x:c r="M26" t="n">
        <x:v>30</x:v>
      </x:c>
    </x:row>
    <x:row r="27">
      <x:c r="A27" s="42" t="str">
        <x:v>유나</x:v>
      </x:c>
      <x:c r="B27" s="42" t="str">
        <x:v>제어 대안</x:v>
      </x:c>
      <x:c r="C27" s="42" t="str">
        <x:v>순수 딜은 가장 낮지만 실패 방지·보스 제어가 강점. 전문화와 함께 쓰는 타입.</x:v>
      </x:c>
    </x:row>
    <x:row r="28">
      <x:c r="A28" s="42" t="str">
        <x:v>설계 원칙</x:v>
      </x:c>
      <x:c r="B28" s="42" t="str">
        <x:v>다섯 후보 모두 정답</x:v>
      </x:c>
      <x:c r="C28" s="42" t="str">
        <x:v>'2번째 전설 = 한 명만 필수'로 만들지 않고 플레이 스타일 선택으로 전환.</x:v>
      </x:c>
    </x:row>
  </x:sheetData>
  <x:mergeCells>
    <x:mergeCell ref="A1:N1"/>
    <x:mergeCell ref="A20:N20"/>
  </x:mergeCells>
  <x:conditionalFormatting sqref="F13:F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f27e0c6734974f34"/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4" hidden="0" customWidth="1"/>
    <x:col min="10" max="10" width="14" hidden="0" customWidth="1"/>
    <x:col min="11" max="11" width="34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20" hidden="0" customWidth="1"/>
    <x:col min="17" max="17" width="24" hidden="0" customWidth="1"/>
    <x:col min="18" max="18" width="34" hidden="0" customWidth="1"/>
    <x:col min="19" max="19" width="16" hidden="0" customWidth="1"/>
    <x:col min="20" max="20" width="34" hidden="0" customWidth="1"/>
  </x:cols>
  <x:sheetData>
    <x:row r="1">
      <x:c r="A1" s="534" t="str">
        <x:v>전설 8 + 신화 12 — TD 빌드 기준 V1</x:v>
      </x:c>
      <x:c r="B1" s="534"/>
      <x:c r="C1" s="534"/>
      <x:c r="D1" s="534"/>
      <x:c r="E1" s="534"/>
      <x:c r="F1" s="534"/>
      <x:c r="G1" s="534"/>
      <x:c r="H1" s="534"/>
      <x:c r="I1" s="534"/>
      <x:c r="J1" s="534"/>
      <x:c r="K1" s="534"/>
      <x:c r="L1" s="534"/>
      <x:c r="M1" s="534"/>
      <x:c r="N1" s="534"/>
      <x:c r="O1" s="534"/>
      <x:c r="P1" s="534"/>
      <x:c r="Q1" s="534"/>
      <x:c r="R1" s="534"/>
    </x:row>
    <x:row r="3">
      <x:c r="A3" s="538" t="str">
        <x:v>등급</x:v>
      </x:c>
      <x:c r="B3" s="538" t="str">
        <x:v>영웅</x:v>
      </x:c>
      <x:c r="C3" s="538" t="str">
        <x:v>역할</x:v>
      </x:c>
      <x:c r="D3" s="538" t="str">
        <x:v>TD ATK</x:v>
      </x:c>
      <x:c r="E3" s="538" t="str">
        <x:v>공속</x:v>
      </x:c>
      <x:c r="F3" s="538" t="str">
        <x:v>사거리</x:v>
      </x:c>
      <x:c r="G3" s="538" t="str">
        <x:v>타겟</x:v>
      </x:c>
      <x:c r="H3" s="538" t="str">
        <x:v>기본공격 유효DPS</x:v>
      </x:c>
      <x:c r="I3" s="538" t="str">
        <x:v>스킬/유틸 등가</x:v>
      </x:c>
      <x:c r="J3" s="538" t="str">
        <x:v>실전 기여값</x:v>
      </x:c>
      <x:c r="K3" s="538" t="str">
        <x:v>조합재료</x:v>
      </x:c>
      <x:c r="L3" s="538" t="str">
        <x:v>최초 조합</x:v>
      </x:c>
      <x:c r="M3" s="538" t="str">
        <x:v>총원가</x:v>
      </x:c>
      <x:c r="N3" s="538" t="str">
        <x:v>전환후 슬롯</x:v>
      </x:c>
      <x:c r="O3" s="538" t="str">
        <x:v>권장 시점</x:v>
      </x:c>
      <x:c r="P3" s="538" t="str">
        <x:v>아리아와 관계</x:v>
      </x:c>
      <x:c r="Q3" s="538" t="str">
        <x:v>핵심 장점</x:v>
      </x:c>
      <x:c r="R3" s="538" t="str">
        <x:v>주의</x:v>
      </x:c>
      <x:c r="S3" s="556" t="str">
        <x:v>V3.1 통합기여 기준</x:v>
      </x:c>
      <x:c r="T3" s="556" t="str">
        <x:v>V3.1 메모</x:v>
      </x:c>
    </x:row>
    <x:row r="4">
      <x:c r="A4" s="42" t="str">
        <x:v>전설</x:v>
      </x:c>
      <x:c r="B4" s="42" t="str">
        <x:v>아리아</x:v>
      </x:c>
      <x:c r="C4" s="42" t="str">
        <x:v>성기사/초반축</x:v>
      </x:c>
      <x:c r="D4" s="477" t="n">
        <x:v>64</x:v>
      </x:c>
      <x:c r="E4" s="477" t="n">
        <x:v>12</x:v>
      </x:c>
      <x:c r="F4" s="477" t="n">
        <x:v>2</x:v>
      </x:c>
      <x:c r="G4" s="477" t="n">
        <x:v>1</x:v>
      </x:c>
      <x:c r="H4" s="477" t="n">
        <x:v>37.6</x:v>
      </x:c>
      <x:c r="I4" s="477" t="n">
        <x:v>28.4</x:v>
      </x:c>
      <x:c r="J4" s="477" t="n">
        <x:v>66</x:v>
      </x:c>
      <x:c r="K4" s="42" t="str">
        <x:v>기사단장 + 기사단장</x:v>
      </x:c>
      <x:c r="L4" s="42" t="n">
        <x:v>1</x:v>
      </x:c>
      <x:c r="M4" s="42" t="n">
        <x:v>730</x:v>
      </x:c>
      <x:c r="N4" s="42" t="n">
        <x:v>1</x:v>
      </x:c>
      <x:c r="O4" s="42" t="str">
        <x:v>초반 핵심</x:v>
      </x:c>
      <x:c r="P4" s="42" t="str">
        <x:v>기준축</x:v>
      </x:c>
      <x:c r="Q4" s="42" t="str">
        <x:v>근접 화력+방어선 보조</x:v>
      </x:c>
      <x:c r="R4" s="42" t="str">
        <x:v>후보값</x:v>
      </x:c>
      <x:c r="S4" s="463" t="n">
        <x:f>MAX(H4,J4)</x:f>
        <x:v>66</x:v>
      </x:c>
      <x:c r="T4" s="42" t="str">
        <x:v>기본 다중타겟 DPS보다 기존 실전기여값이 낮은 경우 기본값을 하한으로 사용</x:v>
      </x:c>
    </x:row>
    <x:row r="5">
      <x:c r="A5" s="42" t="str">
        <x:v>전설</x:v>
      </x:c>
      <x:c r="B5" s="42" t="str">
        <x:v>유나</x:v>
      </x:c>
      <x:c r="C5" s="42" t="str">
        <x:v>제어</x:v>
      </x:c>
      <x:c r="D5" s="477" t="n">
        <x:v>42</x:v>
      </x:c>
      <x:c r="E5" s="477" t="n">
        <x:v>11</x:v>
      </x:c>
      <x:c r="F5" s="477" t="n">
        <x:v>4</x:v>
      </x:c>
      <x:c r="G5" s="477" t="n">
        <x:v>1</x:v>
      </x:c>
      <x:c r="H5" s="477" t="n">
        <x:v>33.7</x:v>
      </x:c>
      <x:c r="I5" s="477" t="n">
        <x:v>74.3</x:v>
      </x:c>
      <x:c r="J5" s="477" t="n">
        <x:v>108</x:v>
      </x:c>
      <x:c r="K5" s="42" t="str">
        <x:v>주술사 + 대현자</x:v>
      </x:c>
      <x:c r="L5" s="42" t="n">
        <x:v>10</x:v>
      </x:c>
      <x:c r="M5" s="42" t="n">
        <x:v>946</x:v>
      </x:c>
      <x:c r="N5" s="42" t="n">
        <x:v>1</x:v>
      </x:c>
      <x:c r="O5" s="42" t="str">
        <x:v>전설 선택</x:v>
      </x:c>
      <x:c r="P5" s="42" t="str">
        <x:v>아리아 병행</x:v>
      </x:c>
      <x:c r="Q5" s="42" t="str">
        <x:v>제어/보스 봉인</x:v>
      </x:c>
      <x:c r="R5" s="42" t="str">
        <x:v>후보값</x:v>
      </x:c>
      <x:c r="S5" s="463" t="n">
        <x:f>MAX(H5,J5)</x:f>
        <x:v>108</x:v>
      </x:c>
      <x:c r="T5" s="42" t="str">
        <x:v>기본 다중타겟 DPS보다 기존 실전기여값이 낮은 경우 기본값을 하한으로 사용</x:v>
      </x:c>
    </x:row>
    <x:row r="6">
      <x:c r="A6" s="42" t="str">
        <x:v>전설</x:v>
      </x:c>
      <x:c r="B6" s="42" t="str">
        <x:v>리엘</x:v>
      </x:c>
      <x:c r="C6" s="42" t="str">
        <x:v>지속광역</x:v>
      </x:c>
      <x:c r="D6" s="477" t="n">
        <x:v>90</x:v>
      </x:c>
      <x:c r="E6" s="477" t="n">
        <x:v>12</x:v>
      </x:c>
      <x:c r="F6" s="477" t="n">
        <x:v>4</x:v>
      </x:c>
      <x:c r="G6" s="477" t="n">
        <x:v>1</x:v>
      </x:c>
      <x:c r="H6" s="477" t="n">
        <x:v>78.8</x:v>
      </x:c>
      <x:c r="I6" s="477" t="n">
        <x:v>63.2</x:v>
      </x:c>
      <x:c r="J6" s="477" t="n">
        <x:v>142</x:v>
      </x:c>
      <x:c r="K6" s="42" t="str">
        <x:v>1급 용암수정 + 대현자</x:v>
      </x:c>
      <x:c r="L6" s="42" t="n">
        <x:v>15</x:v>
      </x:c>
      <x:c r="M6" s="42" t="n">
        <x:v>1357</x:v>
      </x:c>
      <x:c r="N6" s="42" t="n">
        <x:v>1</x:v>
      </x:c>
      <x:c r="O6" s="42" t="str">
        <x:v>전설 선택</x:v>
      </x:c>
      <x:c r="P6" s="42" t="str">
        <x:v>아리아 병행</x:v>
      </x:c>
      <x:c r="Q6" s="42" t="str">
        <x:v>광역 지속딜</x:v>
      </x:c>
      <x:c r="R6" s="42" t="str">
        <x:v>후보값</x:v>
      </x:c>
      <x:c r="S6" s="463" t="n">
        <x:f>MAX(H6,J6)</x:f>
        <x:v>142</x:v>
      </x:c>
      <x:c r="T6" s="42" t="str">
        <x:v>기본 다중타겟 DPS보다 기존 실전기여값이 낮은 경우 기본값을 하한으로 사용</x:v>
      </x:c>
    </x:row>
    <x:row r="7">
      <x:c r="A7" s="42" t="str">
        <x:v>전설</x:v>
      </x:c>
      <x:c r="B7" s="42" t="str">
        <x:v>루비</x:v>
      </x:c>
      <x:c r="C7" s="42" t="str">
        <x:v>보스/다중</x:v>
      </x:c>
      <x:c r="D7" s="477" t="n">
        <x:v>72</x:v>
      </x:c>
      <x:c r="E7" s="477" t="n">
        <x:v>14</x:v>
      </x:c>
      <x:c r="F7" s="477" t="n">
        <x:v>4</x:v>
      </x:c>
      <x:c r="G7" s="477" t="n">
        <x:v>1</x:v>
      </x:c>
      <x:c r="H7" s="477" t="n">
        <x:v>73.6</x:v>
      </x:c>
      <x:c r="I7" s="477" t="n">
        <x:v>52.4</x:v>
      </x:c>
      <x:c r="J7" s="477" t="n">
        <x:v>126</x:v>
      </x:c>
      <x:c r="K7" s="42" t="str">
        <x:v>연사궁병 + 연사감시탑</x:v>
      </x:c>
      <x:c r="L7" s="42" t="n">
        <x:v>1</x:v>
      </x:c>
      <x:c r="M7" s="42" t="n">
        <x:v>685</x:v>
      </x:c>
      <x:c r="N7" s="42" t="n">
        <x:v>1</x:v>
      </x:c>
      <x:c r="O7" s="42" t="str">
        <x:v>전설 선택</x:v>
      </x:c>
      <x:c r="P7" s="42" t="str">
        <x:v>아리아 병행</x:v>
      </x:c>
      <x:c r="Q7" s="42" t="str">
        <x:v>보스 킬러/다중사격</x:v>
      </x:c>
      <x:c r="R7" s="42" t="str">
        <x:v>후보값</x:v>
      </x:c>
      <x:c r="S7" s="463" t="n">
        <x:f>MAX(H7,J7)</x:f>
        <x:v>126</x:v>
      </x:c>
      <x:c r="T7" s="42" t="str">
        <x:v>기본 다중타겟 DPS보다 기존 실전기여값이 낮은 경우 기본값을 하한으로 사용</x:v>
      </x:c>
    </x:row>
    <x:row r="8">
      <x:c r="A8" s="42" t="str">
        <x:v>전설</x:v>
      </x:c>
      <x:c r="B8" s="42" t="str">
        <x:v>에리카</x:v>
      </x:c>
      <x:c r="C8" s="42" t="str">
        <x:v>근접광역</x:v>
      </x:c>
      <x:c r="D8" s="477" t="n">
        <x:v>84</x:v>
      </x:c>
      <x:c r="E8" s="477" t="n">
        <x:v>13</x:v>
      </x:c>
      <x:c r="F8" s="477" t="n">
        <x:v>1</x:v>
      </x:c>
      <x:c r="G8" s="477" t="n">
        <x:v>2</x:v>
      </x:c>
      <x:c r="H8" s="477" t="n">
        <x:v>68.7</x:v>
      </x:c>
      <x:c r="I8" s="477" t="n">
        <x:v>52.3</x:v>
      </x:c>
      <x:c r="J8" s="477" t="n">
        <x:v>121</x:v>
      </x:c>
      <x:c r="K8" s="42" t="str">
        <x:v>광전사 + 마창병</x:v>
      </x:c>
      <x:c r="L8" s="42" t="n">
        <x:v>1</x:v>
      </x:c>
      <x:c r="M8" s="42" t="n">
        <x:v>771</x:v>
      </x:c>
      <x:c r="N8" s="42" t="n">
        <x:v>1</x:v>
      </x:c>
      <x:c r="O8" s="42" t="str">
        <x:v>전설 선택</x:v>
      </x:c>
      <x:c r="P8" s="42" t="str">
        <x:v>아리아 병행</x:v>
      </x:c>
      <x:c r="Q8" s="42" t="str">
        <x:v>근접 광역/중갑 대응</x:v>
      </x:c>
      <x:c r="R8" s="42" t="str">
        <x:v>후보값</x:v>
      </x:c>
      <x:c r="S8" s="463" t="n">
        <x:f>MAX(H8,J8)</x:f>
        <x:v>121</x:v>
      </x:c>
      <x:c r="T8" s="42" t="str">
        <x:v>기본 다중타겟 DPS보다 기존 실전기여값이 낮은 경우 기본값을 하한으로 사용</x:v>
      </x:c>
    </x:row>
    <x:row r="9">
      <x:c r="A9" s="42" t="str">
        <x:v>전설</x:v>
      </x:c>
      <x:c r="B9" s="42" t="str">
        <x:v>세라</x:v>
      </x:c>
      <x:c r="C9" s="42" t="str">
        <x:v>버퍼</x:v>
      </x:c>
      <x:c r="D9" s="477" t="n">
        <x:v>30</x:v>
      </x:c>
      <x:c r="E9" s="477" t="n">
        <x:v>12</x:v>
      </x:c>
      <x:c r="F9" s="477" t="n">
        <x:v>3</x:v>
      </x:c>
      <x:c r="G9" s="477" t="n">
        <x:v>1</x:v>
      </x:c>
      <x:c r="H9" s="477" t="n">
        <x:v>22</x:v>
      </x:c>
      <x:c r="I9" s="477" t="n">
        <x:v>96</x:v>
      </x:c>
      <x:c r="J9" s="477" t="n">
        <x:v>118</x:v>
      </x:c>
      <x:c r="K9" s="42" t="str">
        <x:v>아이돌 + 주술사</x:v>
      </x:c>
      <x:c r="L9" s="42" t="n">
        <x:v>10</x:v>
      </x:c>
      <x:c r="M9" s="42" t="n">
        <x:v>908</x:v>
      </x:c>
      <x:c r="N9" s="42" t="n">
        <x:v>1</x:v>
      </x:c>
      <x:c r="O9" s="42" t="str">
        <x:v>전설 선택</x:v>
      </x:c>
      <x:c r="P9" s="42" t="str">
        <x:v>아리아 병행</x:v>
      </x:c>
      <x:c r="Q9" s="42" t="str">
        <x:v>전역 버퍼/방벽 유지</x:v>
      </x:c>
      <x:c r="R9" s="42" t="str">
        <x:v>후보값</x:v>
      </x:c>
      <x:c r="S9" s="463" t="n">
        <x:f>MAX(H9,J9)</x:f>
        <x:v>118</x:v>
      </x:c>
      <x:c r="T9" s="42" t="str">
        <x:v>기본 다중타겟 DPS보다 기존 실전기여값이 낮은 경우 기본값을 하한으로 사용</x:v>
      </x:c>
    </x:row>
    <x:row r="10">
      <x:c r="A10" s="42" t="str">
        <x:v>전설</x:v>
      </x:c>
      <x:c r="B10" s="42" t="str">
        <x:v>레이나</x:v>
      </x:c>
      <x:c r="C10" s="42" t="str">
        <x:v>빙결제어</x:v>
      </x:c>
      <x:c r="D10" s="477" t="n">
        <x:v>58</x:v>
      </x:c>
      <x:c r="E10" s="477" t="n">
        <x:v>11</x:v>
      </x:c>
      <x:c r="F10" s="477" t="n">
        <x:v>4</x:v>
      </x:c>
      <x:c r="G10" s="477" t="n">
        <x:v>1</x:v>
      </x:c>
      <x:c r="H10" s="477" t="n">
        <x:v>46.6</x:v>
      </x:c>
      <x:c r="I10" s="477" t="n">
        <x:v>69.4</x:v>
      </x:c>
      <x:c r="J10" s="477" t="n">
        <x:v>116</x:v>
      </x:c>
      <x:c r="K10" s="42" t="str">
        <x:v>1급 얼음 수정 + 대현자</x:v>
      </x:c>
      <x:c r="L10" s="42" t="n">
        <x:v>15</x:v>
      </x:c>
      <x:c r="M10" s="42" t="n">
        <x:v>1357</x:v>
      </x:c>
      <x:c r="N10" s="42" t="n">
        <x:v>1</x:v>
      </x:c>
      <x:c r="O10" s="42" t="str">
        <x:v>전설 선택</x:v>
      </x:c>
      <x:c r="P10" s="42" t="str">
        <x:v>아리아 병행</x:v>
      </x:c>
      <x:c r="Q10" s="42" t="str">
        <x:v>광역 제어</x:v>
      </x:c>
      <x:c r="R10" s="42" t="str">
        <x:v>후보값</x:v>
      </x:c>
      <x:c r="S10" s="463" t="n">
        <x:f>MAX(H10,J10)</x:f>
        <x:v>116</x:v>
      </x:c>
      <x:c r="T10" s="42" t="str">
        <x:v>기본 다중타겟 DPS보다 기존 실전기여값이 낮은 경우 기본값을 하한으로 사용</x:v>
      </x:c>
    </x:row>
    <x:row r="11">
      <x:c r="A11" s="42" t="str">
        <x:v>전설</x:v>
      </x:c>
      <x:c r="B11" s="42" t="str">
        <x:v>카린</x:v>
      </x:c>
      <x:c r="C11" s="42" t="str">
        <x:v>암살/보스</x:v>
      </x:c>
      <x:c r="D11" s="477" t="n">
        <x:v>82</x:v>
      </x:c>
      <x:c r="E11" s="477" t="n">
        <x:v>17</x:v>
      </x:c>
      <x:c r="F11" s="477" t="n">
        <x:v>2</x:v>
      </x:c>
      <x:c r="G11" s="477" t="n">
        <x:v>1</x:v>
      </x:c>
      <x:c r="H11" s="477" t="n">
        <x:v>68.3</x:v>
      </x:c>
      <x:c r="I11" s="477" t="n">
        <x:v>65.7</x:v>
      </x:c>
      <x:c r="J11" s="477" t="n">
        <x:v>134</x:v>
      </x:c>
      <x:c r="K11" s="42" t="str">
        <x:v>광전사 + 연사궁병</x:v>
      </x:c>
      <x:c r="L11" s="42" t="n">
        <x:v>1</x:v>
      </x:c>
      <x:c r="M11" s="42" t="n">
        <x:v>730</x:v>
      </x:c>
      <x:c r="N11" s="42" t="n">
        <x:v>1</x:v>
      </x:c>
      <x:c r="O11" s="42" t="str">
        <x:v>전설 선택</x:v>
      </x:c>
      <x:c r="P11" s="42" t="str">
        <x:v>아리아 병행</x:v>
      </x:c>
      <x:c r="Q11" s="42" t="str">
        <x:v>암살/보스 폭딜</x:v>
      </x:c>
      <x:c r="R11" s="42" t="str">
        <x:v>후보값</x:v>
      </x:c>
      <x:c r="S11" s="463" t="n">
        <x:f>MAX(H11,J11)</x:f>
        <x:v>134</x:v>
      </x:c>
      <x:c r="T11" s="42" t="str">
        <x:v>기본 다중타겟 DPS보다 기존 실전기여값이 낮은 경우 기본값을 하한으로 사용</x:v>
      </x:c>
    </x:row>
    <x:row r="12">
      <x:c r="A12" s="42" t="str">
        <x:v>신화</x:v>
      </x:c>
      <x:c r="B12" s="42" t="str">
        <x:v>벨</x:v>
      </x:c>
      <x:c r="C12" s="42" t="str">
        <x:v>제어+추가타</x:v>
      </x:c>
      <x:c r="D12" s="477" t="n">
        <x:v>70</x:v>
      </x:c>
      <x:c r="E12" s="477" t="n">
        <x:v>12</x:v>
      </x:c>
      <x:c r="F12" s="477" t="n">
        <x:v>4</x:v>
      </x:c>
      <x:c r="G12" s="477" t="n">
        <x:v>1</x:v>
      </x:c>
      <x:c r="H12" s="477" t="n">
        <x:v>61.3</x:v>
      </x:c>
      <x:c r="I12" s="477" t="n">
        <x:v>92.7</x:v>
      </x:c>
      <x:c r="J12" s="477" t="n">
        <x:v>154</x:v>
      </x:c>
      <x:c r="K12" s="42" t="str">
        <x:v>주술사 + 충만한 마력수정 + 유나</x:v>
      </x:c>
      <x:c r="L12" s="42" t="n">
        <x:v>15</x:v>
      </x:c>
      <x:c r="M12" s="42" t="n">
        <x:v>1655</x:v>
      </x:c>
      <x:c r="N12" s="42" t="n">
        <x:v>1</x:v>
      </x:c>
      <x:c r="O12" s="42" t="str">
        <x:v>Stage15 신화</x:v>
      </x:c>
      <x:c r="P12" s="42" t="str">
        <x:v>재료전설 소모 후 상위역할</x:v>
      </x:c>
      <x:c r="Q12" s="42" t="str">
        <x:v>제어+추가타</x:v>
      </x:c>
      <x:c r="R12" s="42" t="str">
        <x:v>후보값</x:v>
      </x:c>
      <x:c r="S12" s="463" t="n">
        <x:f>MAX(H12,J12)</x:f>
        <x:v>154</x:v>
      </x:c>
      <x:c r="T12" s="42" t="str">
        <x:v>기본 다중타겟 DPS보다 기존 실전기여값이 낮은 경우 기본값을 하한으로 사용</x:v>
      </x:c>
    </x:row>
    <x:row r="13">
      <x:c r="A13" s="42" t="str">
        <x:v>신화</x:v>
      </x:c>
      <x:c r="B13" s="42" t="str">
        <x:v>미아</x:v>
      </x:c>
      <x:c r="C13" s="42" t="str">
        <x:v>경제+공성</x:v>
      </x:c>
      <x:c r="D13" s="477" t="n">
        <x:v>88</x:v>
      </x:c>
      <x:c r="E13" s="477" t="n">
        <x:v>15</x:v>
      </x:c>
      <x:c r="F13" s="477" t="n">
        <x:v>4</x:v>
      </x:c>
      <x:c r="G13" s="477" t="n">
        <x:v>3</x:v>
      </x:c>
      <x:c r="H13" s="477" t="n">
        <x:v>202.4</x:v>
      </x:c>
      <x:c r="I13" s="477" t="n">
        <x:v>-26.4</x:v>
      </x:c>
      <x:c r="J13" s="477" t="n">
        <x:v>176</x:v>
      </x:c>
      <x:c r="K13" s="42" t="str">
        <x:v>대형 발리스타 + 연사 감시탑 + 루비</x:v>
      </x:c>
      <x:c r="L13" s="42" t="n">
        <x:v>5</x:v>
      </x:c>
      <x:c r="M13" s="42" t="n">
        <x:v>1245</x:v>
      </x:c>
      <x:c r="N13" s="42" t="n">
        <x:v>1</x:v>
      </x:c>
      <x:c r="O13" s="42" t="str">
        <x:v>조기 신화</x:v>
      </x:c>
      <x:c r="P13" s="42" t="str">
        <x:v>재료전설 소모 후 상위역할</x:v>
      </x:c>
      <x:c r="Q13" s="42" t="str">
        <x:v>경제+공성 시너지</x:v>
      </x:c>
      <x:c r="R13" s="42" t="str">
        <x:v>후보값</x:v>
      </x:c>
      <x:c r="S13" s="463" t="n">
        <x:f>MAX(H13,J13)</x:f>
        <x:v>202.4</x:v>
      </x:c>
      <x:c r="T13" s="42" t="str">
        <x:v>기본 다중타겟 DPS보다 기존 실전기여값이 낮은 경우 기본값을 하한으로 사용</x:v>
      </x:c>
    </x:row>
    <x:row r="14">
      <x:c r="A14" s="42" t="str">
        <x:v>신화</x:v>
      </x:c>
      <x:c r="B14" s="42" t="str">
        <x:v>아이린</x:v>
      </x:c>
      <x:c r="C14" s="42" t="str">
        <x:v>광역+지원</x:v>
      </x:c>
      <x:c r="D14" s="477" t="n">
        <x:v>96</x:v>
      </x:c>
      <x:c r="E14" s="477" t="n">
        <x:v>13</x:v>
      </x:c>
      <x:c r="F14" s="477" t="n">
        <x:v>2</x:v>
      </x:c>
      <x:c r="G14" s="477" t="n">
        <x:v>2</x:v>
      </x:c>
      <x:c r="H14" s="477" t="n">
        <x:v>104</x:v>
      </x:c>
      <x:c r="I14" s="477" t="n">
        <x:v>64</x:v>
      </x:c>
      <x:c r="J14" s="477" t="n">
        <x:v>168</x:v>
      </x:c>
      <x:c r="K14" s="42" t="str">
        <x:v>기사단장 + 마력 캐논타워 + 아리아</x:v>
      </x:c>
      <x:c r="L14" s="42" t="n">
        <x:v>10</x:v>
      </x:c>
      <x:c r="M14" s="42" t="n">
        <x:v>1870</x:v>
      </x:c>
      <x:c r="N14" s="42" t="n">
        <x:v>1</x:v>
      </x:c>
      <x:c r="O14" s="42" t="str">
        <x:v>조기 신화</x:v>
      </x:c>
      <x:c r="P14" s="42" t="str">
        <x:v>재료전설 소모 후 상위역할</x:v>
      </x:c>
      <x:c r="Q14" s="42" t="str">
        <x:v>광역 정리/지원</x:v>
      </x:c>
      <x:c r="R14" s="42" t="str">
        <x:v>후보값</x:v>
      </x:c>
      <x:c r="S14" s="463" t="n">
        <x:f>MAX(H14,J14)</x:f>
        <x:v>168</x:v>
      </x:c>
      <x:c r="T14" s="42" t="str">
        <x:v>기본 다중타겟 DPS보다 기존 실전기여값이 낮은 경우 기본값을 하한으로 사용</x:v>
      </x:c>
    </x:row>
    <x:row r="15">
      <x:c r="A15" s="42" t="str">
        <x:v>신화</x:v>
      </x:c>
      <x:c r="B15" s="42" t="str">
        <x:v>네온</x:v>
      </x:c>
      <x:c r="C15" s="42" t="str">
        <x:v>다속성</x:v>
      </x:c>
      <x:c r="D15" s="477" t="n">
        <x:v>82</x:v>
      </x:c>
      <x:c r="E15" s="477" t="n">
        <x:v>14</x:v>
      </x:c>
      <x:c r="F15" s="477" t="n">
        <x:v>4</x:v>
      </x:c>
      <x:c r="G15" s="477" t="n">
        <x:v>2</x:v>
      </x:c>
      <x:c r="H15" s="477" t="n">
        <x:v>142.5</x:v>
      </x:c>
      <x:c r="I15" s="477" t="n">
        <x:v>35.5</x:v>
      </x:c>
      <x:c r="J15" s="477" t="n">
        <x:v>178</x:v>
      </x:c>
      <x:c r="K15" s="42" t="str">
        <x:v>흑마법사 + 대현자 + 유나</x:v>
      </x:c>
      <x:c r="L15" s="42" t="n">
        <x:v>10</x:v>
      </x:c>
      <x:c r="M15" s="42" t="n">
        <x:v>1930</x:v>
      </x:c>
      <x:c r="N15" s="42" t="n">
        <x:v>1</x:v>
      </x:c>
      <x:c r="O15" s="42" t="str">
        <x:v>조기 신화</x:v>
      </x:c>
      <x:c r="P15" s="42" t="str">
        <x:v>재료전설 소모 후 상위역할</x:v>
      </x:c>
      <x:c r="Q15" s="42" t="str">
        <x:v>유연한 속성 딜러</x:v>
      </x:c>
      <x:c r="R15" s="42" t="str">
        <x:v>후보값</x:v>
      </x:c>
      <x:c r="S15" s="463" t="n">
        <x:f>MAX(H15,J15)</x:f>
        <x:v>178</x:v>
      </x:c>
      <x:c r="T15" s="42" t="str">
        <x:v>기본 다중타겟 DPS보다 기존 실전기여값이 낮은 경우 기본값을 하한으로 사용</x:v>
      </x:c>
    </x:row>
    <x:row r="16">
      <x:c r="A16" s="42" t="str">
        <x:v>신화</x:v>
      </x:c>
      <x:c r="B16" s="42" t="str">
        <x:v>샤샤</x:v>
      </x:c>
      <x:c r="C16" s="42" t="str">
        <x:v>폭파광역</x:v>
      </x:c>
      <x:c r="D16" s="477" t="n">
        <x:v>100</x:v>
      </x:c>
      <x:c r="E16" s="477" t="n">
        <x:v>11</x:v>
      </x:c>
      <x:c r="F16" s="477" t="n">
        <x:v>5</x:v>
      </x:c>
      <x:c r="G16" s="477" t="n">
        <x:v>4</x:v>
      </x:c>
      <x:c r="H16" s="477" t="n">
        <x:v>289.9</x:v>
      </x:c>
      <x:c r="I16" s="477" t="n">
        <x:v>-101.9</x:v>
      </x:c>
      <x:c r="J16" s="477" t="n">
        <x:v>188</x:v>
      </x:c>
      <x:c r="K16" s="42" t="str">
        <x:v>봄버 캐논타워 + 석궁수 + 루비</x:v>
      </x:c>
      <x:c r="L16" s="42" t="n">
        <x:v>10</x:v>
      </x:c>
      <x:c r="M16" s="42" t="n">
        <x:v>1825</x:v>
      </x:c>
      <x:c r="N16" s="42" t="n">
        <x:v>1</x:v>
      </x:c>
      <x:c r="O16" s="42" t="str">
        <x:v>조기 신화</x:v>
      </x:c>
      <x:c r="P16" s="42" t="str">
        <x:v>재료전설 소모 후 상위역할</x:v>
      </x:c>
      <x:c r="Q16" s="42" t="str">
        <x:v>지형 폭파/광역</x:v>
      </x:c>
      <x:c r="R16" s="42" t="str">
        <x:v>후보값</x:v>
      </x:c>
      <x:c r="S16" s="463" t="n">
        <x:f>MAX(H16,J16)</x:f>
        <x:v>289.9</x:v>
      </x:c>
      <x:c r="T16" s="42" t="str">
        <x:v>기본 다중타겟 DPS보다 기존 실전기여값이 낮은 경우 기본값을 하한으로 사용</x:v>
      </x:c>
    </x:row>
    <x:row r="17">
      <x:c r="A17" s="42" t="str">
        <x:v>신화</x:v>
      </x:c>
      <x:c r="B17" s="42" t="str">
        <x:v>루나</x:v>
      </x:c>
      <x:c r="C17" s="42" t="str">
        <x:v>운명/경로제어</x:v>
      </x:c>
      <x:c r="D17" s="477" t="n">
        <x:v>60</x:v>
      </x:c>
      <x:c r="E17" s="477" t="n">
        <x:v>12</x:v>
      </x:c>
      <x:c r="F17" s="477" t="n">
        <x:v>5</x:v>
      </x:c>
      <x:c r="G17" s="477" t="n">
        <x:v>1</x:v>
      </x:c>
      <x:c r="H17" s="477" t="n">
        <x:v>61.2</x:v>
      </x:c>
      <x:c r="I17" s="477" t="n">
        <x:v>98.8</x:v>
      </x:c>
      <x:c r="J17" s="477" t="n">
        <x:v>160</x:v>
      </x:c>
      <x:c r="K17" s="42" t="str">
        <x:v>대현자 + 충만한 마력수정 + 레이나</x:v>
      </x:c>
      <x:c r="L17" s="42" t="n">
        <x:v>15</x:v>
      </x:c>
      <x:c r="M17" s="42" t="n">
        <x:v>2104</x:v>
      </x:c>
      <x:c r="N17" s="42" t="n">
        <x:v>1</x:v>
      </x:c>
      <x:c r="O17" s="42" t="str">
        <x:v>Stage15 신화</x:v>
      </x:c>
      <x:c r="P17" s="42" t="str">
        <x:v>재료전설 소모 후 상위역할</x:v>
      </x:c>
      <x:c r="Q17" s="42" t="str">
        <x:v>시간·운명 제어</x:v>
      </x:c>
      <x:c r="R17" s="42" t="str">
        <x:v>후보값</x:v>
      </x:c>
      <x:c r="S17" s="463" t="n">
        <x:f>MAX(H17,J17)</x:f>
        <x:v>160</x:v>
      </x:c>
      <x:c r="T17" s="42" t="str">
        <x:v>기본 다중타겟 DPS보다 기존 실전기여값이 낮은 경우 기본값을 하한으로 사용</x:v>
      </x:c>
    </x:row>
    <x:row r="18">
      <x:c r="A18" s="42" t="str">
        <x:v>신화</x:v>
      </x:c>
      <x:c r="B18" s="42" t="str">
        <x:v>비올라</x:v>
      </x:c>
      <x:c r="C18" s="42" t="str">
        <x:v>독/장기전</x:v>
      </x:c>
      <x:c r="D18" s="477" t="n">
        <x:v>78</x:v>
      </x:c>
      <x:c r="E18" s="477" t="n">
        <x:v>13</x:v>
      </x:c>
      <x:c r="F18" s="477" t="n">
        <x:v>4</x:v>
      </x:c>
      <x:c r="G18" s="477" t="n">
        <x:v>3</x:v>
      </x:c>
      <x:c r="H18" s="477" t="n">
        <x:v>177.7</x:v>
      </x:c>
      <x:c r="I18" s="477" t="n">
        <x:v>3.3</x:v>
      </x:c>
      <x:c r="J18" s="477" t="n">
        <x:v>181</x:v>
      </x:c>
      <x:c r="K18" s="42" t="str">
        <x:v>흑마법사 + 죽음의 화신 + 유나</x:v>
      </x:c>
      <x:c r="L18" s="42" t="n">
        <x:v>10</x:v>
      </x:c>
      <x:c r="M18" s="42" t="n">
        <x:v>1956</x:v>
      </x:c>
      <x:c r="N18" s="42" t="n">
        <x:v>1</x:v>
      </x:c>
      <x:c r="O18" s="42" t="str">
        <x:v>조기 신화</x:v>
      </x:c>
      <x:c r="P18" s="42" t="str">
        <x:v>재료전설 소모 후 상위역할</x:v>
      </x:c>
      <x:c r="Q18" s="42" t="str">
        <x:v>독/장기전</x:v>
      </x:c>
      <x:c r="R18" s="42" t="str">
        <x:v>후보값</x:v>
      </x:c>
      <x:c r="S18" s="463" t="n">
        <x:f>MAX(H18,J18)</x:f>
        <x:v>181</x:v>
      </x:c>
      <x:c r="T18" s="42" t="str">
        <x:v>기본 다중타겟 DPS보다 기존 실전기여값이 낮은 경우 기본값을 하한으로 사용</x:v>
      </x:c>
    </x:row>
    <x:row r="19">
      <x:c r="A19" s="42" t="str">
        <x:v>신화</x:v>
      </x:c>
      <x:c r="B19" s="42" t="str">
        <x:v>클로에</x:v>
      </x:c>
      <x:c r="C19" s="42" t="str">
        <x:v>글로벌버퍼</x:v>
      </x:c>
      <x:c r="D19" s="477" t="n">
        <x:v>45</x:v>
      </x:c>
      <x:c r="E19" s="477" t="n">
        <x:v>14</x:v>
      </x:c>
      <x:c r="F19" s="477" t="n">
        <x:v>4</x:v>
      </x:c>
      <x:c r="G19" s="477" t="n">
        <x:v>1</x:v>
      </x:c>
      <x:c r="H19" s="477" t="n">
        <x:v>46</x:v>
      </x:c>
      <x:c r="I19" s="477" t="n">
        <x:v>120</x:v>
      </x:c>
      <x:c r="J19" s="477" t="n">
        <x:v>166</x:v>
      </x:c>
      <x:c r="K19" s="42" t="str">
        <x:v>아이돌 + 주술사 + 세라</x:v>
      </x:c>
      <x:c r="L19" s="42" t="n">
        <x:v>10</x:v>
      </x:c>
      <x:c r="M19" s="42" t="n">
        <x:v>1816</x:v>
      </x:c>
      <x:c r="N19" s="42" t="n">
        <x:v>1</x:v>
      </x:c>
      <x:c r="O19" s="42" t="str">
        <x:v>조기 신화</x:v>
      </x:c>
      <x:c r="P19" s="42" t="str">
        <x:v>재료전설 소모 후 상위역할</x:v>
      </x:c>
      <x:c r="Q19" s="42" t="str">
        <x:v>글로벌 템포 버퍼</x:v>
      </x:c>
      <x:c r="R19" s="42" t="str">
        <x:v>후보값</x:v>
      </x:c>
      <x:c r="S19" s="463" t="n">
        <x:f>MAX(H19,J19)</x:f>
        <x:v>166</x:v>
      </x:c>
      <x:c r="T19" s="42" t="str">
        <x:v>기본 다중타겟 DPS보다 기존 실전기여값이 낮은 경우 기본값을 하한으로 사용</x:v>
      </x:c>
    </x:row>
    <x:row r="20">
      <x:c r="A20" s="42" t="str">
        <x:v>신화</x:v>
      </x:c>
      <x:c r="B20" s="42" t="str">
        <x:v>아델</x:v>
      </x:c>
      <x:c r="C20" s="42" t="str">
        <x:v>방벽수호</x:v>
      </x:c>
      <x:c r="D20" s="477" t="n">
        <x:v>76</x:v>
      </x:c>
      <x:c r="E20" s="477" t="n">
        <x:v>11</x:v>
      </x:c>
      <x:c r="F20" s="477" t="n">
        <x:v>1</x:v>
      </x:c>
      <x:c r="G20" s="477" t="n">
        <x:v>2</x:v>
      </x:c>
      <x:c r="H20" s="477" t="n">
        <x:v>52.6</x:v>
      </x:c>
      <x:c r="I20" s="477" t="n">
        <x:v>99.4</x:v>
      </x:c>
      <x:c r="J20" s="477" t="n">
        <x:v>152</x:v>
      </x:c>
      <x:c r="K20" s="42" t="str">
        <x:v>기사단장 + 미스릴 방어벽 + 아리아</x:v>
      </x:c>
      <x:c r="L20" s="42" t="n">
        <x:v>5</x:v>
      </x:c>
      <x:c r="M20" s="42" t="n">
        <x:v>1465</x:v>
      </x:c>
      <x:c r="N20" s="42" t="n">
        <x:v>1</x:v>
      </x:c>
      <x:c r="O20" s="42" t="str">
        <x:v>조기 신화</x:v>
      </x:c>
      <x:c r="P20" s="42" t="str">
        <x:v>재료전설 소모 후 상위역할</x:v>
      </x:c>
      <x:c r="Q20" s="42" t="str">
        <x:v>방어벽 특화 수호자</x:v>
      </x:c>
      <x:c r="R20" s="42" t="str">
        <x:v>후보값</x:v>
      </x:c>
      <x:c r="S20" s="463" t="n">
        <x:f>MAX(H20,J20)</x:f>
        <x:v>152</x:v>
      </x:c>
      <x:c r="T20" s="42" t="str">
        <x:v>기본 다중타겟 DPS보다 기존 실전기여값이 낮은 경우 기본값을 하한으로 사용</x:v>
      </x:c>
    </x:row>
    <x:row r="21">
      <x:c r="A21" s="42" t="str">
        <x:v>신화</x:v>
      </x:c>
      <x:c r="B21" s="42" t="str">
        <x:v>니아</x:v>
      </x:c>
      <x:c r="C21" s="42" t="str">
        <x:v>보스디버프</x:v>
      </x:c>
      <x:c r="D21" s="477" t="n">
        <x:v>98</x:v>
      </x:c>
      <x:c r="E21" s="477" t="n">
        <x:v>13</x:v>
      </x:c>
      <x:c r="F21" s="477" t="n">
        <x:v>4</x:v>
      </x:c>
      <x:c r="G21" s="477" t="n">
        <x:v>3</x:v>
      </x:c>
      <x:c r="H21" s="477" t="n">
        <x:v>195.3</x:v>
      </x:c>
      <x:c r="I21" s="477" t="n">
        <x:v>-1.3</x:v>
      </x:c>
      <x:c r="J21" s="477" t="n">
        <x:v>194</x:v>
      </x:c>
      <x:c r="K21" s="42" t="str">
        <x:v>흑마법사 + 마녀대모 + 리엘</x:v>
      </x:c>
      <x:c r="L21" s="42" t="n">
        <x:v>15</x:v>
      </x:c>
      <x:c r="M21" s="42" t="n">
        <x:v>1991</x:v>
      </x:c>
      <x:c r="N21" s="42" t="n">
        <x:v>1</x:v>
      </x:c>
      <x:c r="O21" s="42" t="str">
        <x:v>Stage15 신화</x:v>
      </x:c>
      <x:c r="P21" s="42" t="str">
        <x:v>재료전설 소모 후 상위역할</x:v>
      </x:c>
      <x:c r="Q21" s="42" t="str">
        <x:v>보스 디버프/지속딜</x:v>
      </x:c>
      <x:c r="R21" s="42" t="str">
        <x:v>후보값</x:v>
      </x:c>
      <x:c r="S21" s="463" t="n">
        <x:f>MAX(H21,J21)</x:f>
        <x:v>195.3</x:v>
      </x:c>
      <x:c r="T21" s="42" t="str">
        <x:v>기본 다중타겟 DPS보다 기존 실전기여값이 낮은 경우 기본값을 하한으로 사용</x:v>
      </x:c>
    </x:row>
    <x:row r="22">
      <x:c r="A22" s="42" t="str">
        <x:v>신화</x:v>
      </x:c>
      <x:c r="B22" s="42" t="str">
        <x:v>오로라</x:v>
      </x:c>
      <x:c r="C22" s="42" t="str">
        <x:v>광역시너지</x:v>
      </x:c>
      <x:c r="D22" s="477" t="n">
        <x:v>94</x:v>
      </x:c>
      <x:c r="E22" s="477" t="n">
        <x:v>12</x:v>
      </x:c>
      <x:c r="F22" s="477" t="n">
        <x:v>5</x:v>
      </x:c>
      <x:c r="G22" s="477" t="n">
        <x:v>3</x:v>
      </x:c>
      <x:c r="H22" s="477" t="n">
        <x:v>230.1</x:v>
      </x:c>
      <x:c r="I22" s="477" t="n">
        <x:v>-40.1</x:v>
      </x:c>
      <x:c r="J22" s="477" t="n">
        <x:v>190</x:v>
      </x:c>
      <x:c r="K22" s="42" t="str">
        <x:v>주술사 + 충만한 마력수정 + 세라</x:v>
      </x:c>
      <x:c r="L22" s="42" t="n">
        <x:v>15</x:v>
      </x:c>
      <x:c r="M22" s="42" t="n">
        <x:v>1617</x:v>
      </x:c>
      <x:c r="N22" s="42" t="n">
        <x:v>1</x:v>
      </x:c>
      <x:c r="O22" s="42" t="str">
        <x:v>Stage15 신화</x:v>
      </x:c>
      <x:c r="P22" s="42" t="str">
        <x:v>재료전설 소모 후 상위역할</x:v>
      </x:c>
      <x:c r="Q22" s="42" t="str">
        <x:v>광역/조합 시너지</x:v>
      </x:c>
      <x:c r="R22" s="42" t="str">
        <x:v>후보값</x:v>
      </x:c>
      <x:c r="S22" s="463" t="n">
        <x:f>MAX(H22,J22)</x:f>
        <x:v>230.1</x:v>
      </x:c>
      <x:c r="T22" s="42" t="str">
        <x:v>기본 다중타겟 DPS보다 기존 실전기여값이 낮은 경우 기본값을 하한으로 사용</x:v>
      </x:c>
    </x:row>
    <x:row r="23">
      <x:c r="A23" s="42" t="str">
        <x:v>신화</x:v>
      </x:c>
      <x:c r="B23" s="42" t="str">
        <x:v>이브</x:v>
      </x:c>
      <x:c r="C23" s="42" t="str">
        <x:v>시간제어</x:v>
      </x:c>
      <x:c r="D23" s="477" t="n">
        <x:v>62</x:v>
      </x:c>
      <x:c r="E23" s="477" t="n">
        <x:v>13</x:v>
      </x:c>
      <x:c r="F23" s="477" t="n">
        <x:v>5</x:v>
      </x:c>
      <x:c r="G23" s="477" t="n">
        <x:v>1</x:v>
      </x:c>
      <x:c r="H23" s="477" t="n">
        <x:v>68.5</x:v>
      </x:c>
      <x:c r="I23" s="477" t="n">
        <x:v>103.5</x:v>
      </x:c>
      <x:c r="J23" s="477" t="n">
        <x:v>172</x:v>
      </x:c>
      <x:c r="K23" s="42" t="str">
        <x:v>아이돌 + 1급 얼음수정 + 카린</x:v>
      </x:c>
      <x:c r="L23" s="42" t="n">
        <x:v>15</x:v>
      </x:c>
      <x:c r="M23" s="42" t="n">
        <x:v>2049</x:v>
      </x:c>
      <x:c r="N23" s="42" t="n">
        <x:v>1</x:v>
      </x:c>
      <x:c r="O23" s="42" t="str">
        <x:v>Stage15 신화</x:v>
      </x:c>
      <x:c r="P23" s="42" t="str">
        <x:v>재료전설 소모 후 상위역할</x:v>
      </x:c>
      <x:c r="Q23" s="42" t="str">
        <x:v>최상급 시간제어</x:v>
      </x:c>
      <x:c r="R23" s="42" t="str">
        <x:v>후보값</x:v>
      </x:c>
      <x:c r="S23" s="463" t="n">
        <x:f>MAX(H23,J23)</x:f>
        <x:v>172</x:v>
      </x:c>
      <x:c r="T23" s="42" t="str">
        <x:v>기본 다중타겟 DPS보다 기존 실전기여값이 낮은 경우 기본값을 하한으로 사용</x:v>
      </x:c>
    </x:row>
  </x:sheetData>
  <x:mergeCells>
    <x:mergeCell ref="A1:R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16" hidden="0" customWidth="1"/>
    <x:col min="8" max="8" width="10" hidden="0" customWidth="1"/>
    <x:col min="9" max="9" width="10" hidden="0" customWidth="1"/>
    <x:col min="10" max="10" width="14" hidden="0" customWidth="1"/>
    <x:col min="11" max="11" width="20" hidden="0" customWidth="1"/>
    <x:col min="12" max="12" width="14" hidden="0" customWidth="1"/>
    <x:col min="13" max="13" width="18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42" hidden="0" customWidth="1"/>
  </x:cols>
  <x:sheetData>
    <x:row r="1">
      <x:c r="A1" s="534" t="str">
        <x:v>신화 빌드 — 전환가치 / Stage 15·20 기준 V1</x:v>
      </x:c>
      <x:c r="B1" s="534"/>
      <x:c r="C1" s="534"/>
      <x:c r="D1" s="534"/>
      <x:c r="E1" s="534"/>
      <x:c r="F1" s="534"/>
      <x:c r="G1" s="534"/>
      <x:c r="H1" s="534"/>
      <x:c r="I1" s="534"/>
      <x:c r="J1" s="534"/>
      <x:c r="K1" s="534"/>
      <x:c r="L1" s="534"/>
      <x:c r="M1" s="534"/>
      <x:c r="N1" s="534"/>
      <x:c r="O1" s="534"/>
      <x:c r="P1" s="534"/>
      <x:c r="Q1" s="534"/>
      <x:c r="R1" s="534"/>
      <x:c r="S1" s="534"/>
      <x:c r="T1" s="534"/>
    </x:row>
    <x:row r="3">
      <x:c r="A3" s="538" t="str">
        <x:v>신화</x:v>
      </x:c>
      <x:c r="B3" s="538" t="str">
        <x:v>최초조합</x:v>
      </x:c>
      <x:c r="C3" s="538" t="str">
        <x:v>재료전설</x:v>
      </x:c>
      <x:c r="D3" s="538" t="str">
        <x:v>총원가</x:v>
      </x:c>
      <x:c r="E3" s="538" t="str">
        <x:v>실전기여</x:v>
      </x:c>
      <x:c r="F3" s="538" t="str">
        <x:v>주역할</x:v>
      </x:c>
      <x:c r="G3" s="538" t="str">
        <x:v>전환추천</x:v>
      </x:c>
      <x:c r="H3" s="538" t="str">
        <x:v>Stage15</x:v>
      </x:c>
      <x:c r="I3" s="538" t="str">
        <x:v>Stage20</x:v>
      </x:c>
      <x:c r="J3" s="538" t="str">
        <x:v>슬롯효율</x:v>
      </x:c>
      <x:c r="K3" s="538" t="str">
        <x:v>재료소모 리스크</x:v>
      </x:c>
      <x:c r="L3" s="538" t="str">
        <x:v>아리아 유지</x:v>
      </x:c>
      <x:c r="M3" s="538" t="str">
        <x:v>추천 빌드축</x:v>
      </x:c>
      <x:c r="N3" s="538" t="str">
        <x:v>보스</x:v>
      </x:c>
      <x:c r="O3" s="538" t="str">
        <x:v>웨이브</x:v>
      </x:c>
      <x:c r="P3" s="538" t="str">
        <x:v>제어</x:v>
      </x:c>
      <x:c r="Q3" s="538" t="str">
        <x:v>방벽</x:v>
      </x:c>
      <x:c r="R3" s="538" t="str">
        <x:v>경제</x:v>
      </x:c>
      <x:c r="S3" s="538" t="str">
        <x:v>범용</x:v>
      </x:c>
      <x:c r="T3" s="538" t="str">
        <x:v>메모</x:v>
      </x:c>
    </x:row>
    <x:row r="4">
      <x:c r="A4" s="42" t="str">
        <x:v>벨</x:v>
      </x:c>
      <x:c r="B4" s="42" t="n">
        <x:v>15</x:v>
      </x:c>
      <x:c r="C4" s="42" t="str">
        <x:v>유나</x:v>
      </x:c>
      <x:c r="D4" s="121" t="n">
        <x:v>1655</x:v>
      </x:c>
      <x:c r="E4" s="121" t="n">
        <x:v>154</x:v>
      </x:c>
      <x:c r="F4" s="42" t="str">
        <x:v>제어형</x:v>
      </x:c>
      <x:c r="G4" s="42" t="str">
        <x:v>추천</x:v>
      </x:c>
      <x:c r="H4" s="42" t="str">
        <x:v>△</x:v>
      </x:c>
      <x:c r="I4" s="42" t="str">
        <x:v>○</x:v>
      </x:c>
      <x:c r="J4" s="42" t="str">
        <x:v>높음</x:v>
      </x:c>
      <x:c r="K4" s="42" t="str">
        <x:v>유나 소모</x:v>
      </x:c>
      <x:c r="L4" s="42" t="str">
        <x:v>유지</x:v>
      </x:c>
      <x:c r="M4" s="42" t="str">
        <x:v>제어형</x:v>
      </x:c>
      <x:c r="N4" s="42" t="n">
        <x:v>3</x:v>
      </x:c>
      <x:c r="O4" s="42" t="n">
        <x:v>3</x:v>
      </x:c>
      <x:c r="P4" s="42" t="n">
        <x:v>5</x:v>
      </x:c>
      <x:c r="Q4" s="42" t="n">
        <x:v>2</x:v>
      </x:c>
      <x:c r="R4" s="42" t="n">
        <x:v>1</x:v>
      </x:c>
      <x:c r="S4" s="42" t="n">
        <x:v>4</x:v>
      </x:c>
      <x:c r="T4" s="42" t="str">
        <x:v>Stage15 이후 3~5영웅 체제에서 핵심 선택지.</x:v>
      </x:c>
    </x:row>
    <x:row r="5">
      <x:c r="A5" s="42" t="str">
        <x:v>미아</x:v>
      </x:c>
      <x:c r="B5" s="42" t="n">
        <x:v>5</x:v>
      </x:c>
      <x:c r="C5" s="42" t="str">
        <x:v>루비</x:v>
      </x:c>
      <x:c r="D5" s="121" t="n">
        <x:v>1245</x:v>
      </x:c>
      <x:c r="E5" s="121" t="n">
        <x:v>176</x:v>
      </x:c>
      <x:c r="F5" s="42" t="str">
        <x:v>경제/공성형</x:v>
      </x:c>
      <x:c r="G5" s="42" t="str">
        <x:v>조건부 추천</x:v>
      </x:c>
      <x:c r="H5" s="42" t="str">
        <x:v>○</x:v>
      </x:c>
      <x:c r="I5" s="42" t="str">
        <x:v>○</x:v>
      </x:c>
      <x:c r="J5" s="42" t="str">
        <x:v>매우 높음</x:v>
      </x:c>
      <x:c r="K5" s="42" t="str">
        <x:v>루비 소모</x:v>
      </x:c>
      <x:c r="L5" s="42" t="str">
        <x:v>유지</x:v>
      </x:c>
      <x:c r="M5" s="42" t="str">
        <x:v>경제/공성형</x:v>
      </x:c>
      <x:c r="N5" s="42" t="n">
        <x:v>4</x:v>
      </x:c>
      <x:c r="O5" s="42" t="n">
        <x:v>4</x:v>
      </x:c>
      <x:c r="P5" s="42" t="n">
        <x:v>2</x:v>
      </x:c>
      <x:c r="Q5" s="42" t="n">
        <x:v>2</x:v>
      </x:c>
      <x:c r="R5" s="42" t="n">
        <x:v>5</x:v>
      </x:c>
      <x:c r="S5" s="42" t="n">
        <x:v>5</x:v>
      </x:c>
      <x:c r="T5" s="42" t="str">
        <x:v>Stage10~15에서 재료/골드 여유가 있을 때 슬롯효율을 올리는 조기 신화.</x:v>
      </x:c>
    </x:row>
    <x:row r="6">
      <x:c r="A6" s="42" t="str">
        <x:v>아이린</x:v>
      </x:c>
      <x:c r="B6" s="42" t="n">
        <x:v>10</x:v>
      </x:c>
      <x:c r="C6" s="42" t="str">
        <x:v>아리아</x:v>
      </x:c>
      <x:c r="D6" s="121" t="n">
        <x:v>1870</x:v>
      </x:c>
      <x:c r="E6" s="121" t="n">
        <x:v>168</x:v>
      </x:c>
      <x:c r="F6" s="42" t="str">
        <x:v>광역/지원형</x:v>
      </x:c>
      <x:c r="G6" s="42" t="str">
        <x:v>초반 보류</x:v>
      </x:c>
      <x:c r="H6" s="42" t="str">
        <x:v>△</x:v>
      </x:c>
      <x:c r="I6" s="42" t="str">
        <x:v>○</x:v>
      </x:c>
      <x:c r="J6" s="42" t="str">
        <x:v>높음</x:v>
      </x:c>
      <x:c r="K6" s="42" t="str">
        <x:v>아리아 소모</x:v>
      </x:c>
      <x:c r="L6" s="42" t="str">
        <x:v>소모</x:v>
      </x:c>
      <x:c r="M6" s="42" t="str">
        <x:v>광역/지원형</x:v>
      </x:c>
      <x:c r="N6" s="42" t="n">
        <x:v>4</x:v>
      </x:c>
      <x:c r="O6" s="42" t="n">
        <x:v>4</x:v>
      </x:c>
      <x:c r="P6" s="42" t="n">
        <x:v>3</x:v>
      </x:c>
      <x:c r="Q6" s="42" t="n">
        <x:v>3</x:v>
      </x:c>
      <x:c r="R6" s="42" t="n">
        <x:v>1</x:v>
      </x:c>
      <x:c r="S6" s="42" t="n">
        <x:v>5</x:v>
      </x:c>
      <x:c r="T6" s="42" t="str">
        <x:v>아리아를 직접 소모하므로 표준 무과금 루트에서는 손해. 아리아 재조합 여유가 생긴 뒤 전환.</x:v>
      </x:c>
    </x:row>
    <x:row r="7">
      <x:c r="A7" s="42" t="str">
        <x:v>네온</x:v>
      </x:c>
      <x:c r="B7" s="42" t="n">
        <x:v>10</x:v>
      </x:c>
      <x:c r="C7" s="42" t="str">
        <x:v>유나</x:v>
      </x:c>
      <x:c r="D7" s="121" t="n">
        <x:v>1930</x:v>
      </x:c>
      <x:c r="E7" s="121" t="n">
        <x:v>178</x:v>
      </x:c>
      <x:c r="F7" s="42" t="str">
        <x:v>다속성형</x:v>
      </x:c>
      <x:c r="G7" s="42" t="str">
        <x:v>조건부 추천</x:v>
      </x:c>
      <x:c r="H7" s="42" t="str">
        <x:v>○</x:v>
      </x:c>
      <x:c r="I7" s="42" t="str">
        <x:v>◎</x:v>
      </x:c>
      <x:c r="J7" s="42" t="str">
        <x:v>매우 높음</x:v>
      </x:c>
      <x:c r="K7" s="42" t="str">
        <x:v>유나 소모</x:v>
      </x:c>
      <x:c r="L7" s="42" t="str">
        <x:v>유지</x:v>
      </x:c>
      <x:c r="M7" s="42" t="str">
        <x:v>다속성형</x:v>
      </x:c>
      <x:c r="N7" s="42" t="n">
        <x:v>4</x:v>
      </x:c>
      <x:c r="O7" s="42" t="n">
        <x:v>4</x:v>
      </x:c>
      <x:c r="P7" s="42" t="n">
        <x:v>4</x:v>
      </x:c>
      <x:c r="Q7" s="42" t="n">
        <x:v>2</x:v>
      </x:c>
      <x:c r="R7" s="42" t="n">
        <x:v>1</x:v>
      </x:c>
      <x:c r="S7" s="42" t="n">
        <x:v>5</x:v>
      </x:c>
      <x:c r="T7" s="42" t="str">
        <x:v>Stage10~15에서 재료/골드 여유가 있을 때 슬롯효율을 올리는 조기 신화.</x:v>
      </x:c>
    </x:row>
    <x:row r="8">
      <x:c r="A8" s="42" t="str">
        <x:v>샤샤</x:v>
      </x:c>
      <x:c r="B8" s="42" t="n">
        <x:v>10</x:v>
      </x:c>
      <x:c r="C8" s="42" t="str">
        <x:v>루비</x:v>
      </x:c>
      <x:c r="D8" s="121" t="n">
        <x:v>1825</x:v>
      </x:c>
      <x:c r="E8" s="121" t="n">
        <x:v>188</x:v>
      </x:c>
      <x:c r="F8" s="42" t="str">
        <x:v>폭파형</x:v>
      </x:c>
      <x:c r="G8" s="42" t="str">
        <x:v>조건부 추천</x:v>
      </x:c>
      <x:c r="H8" s="42" t="str">
        <x:v>◎</x:v>
      </x:c>
      <x:c r="I8" s="42" t="str">
        <x:v>◎</x:v>
      </x:c>
      <x:c r="J8" s="42" t="str">
        <x:v>매우 높음</x:v>
      </x:c>
      <x:c r="K8" s="42" t="str">
        <x:v>루비 소모</x:v>
      </x:c>
      <x:c r="L8" s="42" t="str">
        <x:v>유지</x:v>
      </x:c>
      <x:c r="M8" s="42" t="str">
        <x:v>폭파형</x:v>
      </x:c>
      <x:c r="N8" s="42" t="n">
        <x:v>5</x:v>
      </x:c>
      <x:c r="O8" s="42" t="n">
        <x:v>5</x:v>
      </x:c>
      <x:c r="P8" s="42" t="n">
        <x:v>2</x:v>
      </x:c>
      <x:c r="Q8" s="42" t="n">
        <x:v>1</x:v>
      </x:c>
      <x:c r="R8" s="42" t="n">
        <x:v>1</x:v>
      </x:c>
      <x:c r="S8" s="42" t="n">
        <x:v>4</x:v>
      </x:c>
      <x:c r="T8" s="42" t="str">
        <x:v>Stage10~15에서 재료/골드 여유가 있을 때 슬롯효율을 올리는 조기 신화.</x:v>
      </x:c>
    </x:row>
    <x:row r="9">
      <x:c r="A9" s="42" t="str">
        <x:v>루나</x:v>
      </x:c>
      <x:c r="B9" s="42" t="n">
        <x:v>15</x:v>
      </x:c>
      <x:c r="C9" s="42" t="str">
        <x:v>레이나</x:v>
      </x:c>
      <x:c r="D9" s="121" t="n">
        <x:v>2104</x:v>
      </x:c>
      <x:c r="E9" s="121" t="n">
        <x:v>160</x:v>
      </x:c>
      <x:c r="F9" s="42" t="str">
        <x:v>제어형</x:v>
      </x:c>
      <x:c r="G9" s="42" t="str">
        <x:v>추천</x:v>
      </x:c>
      <x:c r="H9" s="42" t="str">
        <x:v>◎</x:v>
      </x:c>
      <x:c r="I9" s="42" t="str">
        <x:v>◎</x:v>
      </x:c>
      <x:c r="J9" s="42" t="str">
        <x:v>높음</x:v>
      </x:c>
      <x:c r="K9" s="42" t="str">
        <x:v>레이나 소모</x:v>
      </x:c>
      <x:c r="L9" s="42" t="str">
        <x:v>유지</x:v>
      </x:c>
      <x:c r="M9" s="42" t="str">
        <x:v>제어형</x:v>
      </x:c>
      <x:c r="N9" s="42" t="n">
        <x:v>4</x:v>
      </x:c>
      <x:c r="O9" s="42" t="n">
        <x:v>3</x:v>
      </x:c>
      <x:c r="P9" s="42" t="n">
        <x:v>5</x:v>
      </x:c>
      <x:c r="Q9" s="42" t="n">
        <x:v>2</x:v>
      </x:c>
      <x:c r="R9" s="42" t="n">
        <x:v>1</x:v>
      </x:c>
      <x:c r="S9" s="42" t="n">
        <x:v>5</x:v>
      </x:c>
      <x:c r="T9" s="42" t="str">
        <x:v>Stage15 이후 3~5영웅 체제에서 핵심 선택지.</x:v>
      </x:c>
    </x:row>
    <x:row r="10">
      <x:c r="A10" s="42" t="str">
        <x:v>비올라</x:v>
      </x:c>
      <x:c r="B10" s="42" t="n">
        <x:v>10</x:v>
      </x:c>
      <x:c r="C10" s="42" t="str">
        <x:v>유나</x:v>
      </x:c>
      <x:c r="D10" s="121" t="n">
        <x:v>1956</x:v>
      </x:c>
      <x:c r="E10" s="121" t="n">
        <x:v>181</x:v>
      </x:c>
      <x:c r="F10" s="42" t="str">
        <x:v>독/장기전</x:v>
      </x:c>
      <x:c r="G10" s="42" t="str">
        <x:v>조건부 추천</x:v>
      </x:c>
      <x:c r="H10" s="42" t="str">
        <x:v>○</x:v>
      </x:c>
      <x:c r="I10" s="42" t="str">
        <x:v>◎</x:v>
      </x:c>
      <x:c r="J10" s="42" t="str">
        <x:v>매우 높음</x:v>
      </x:c>
      <x:c r="K10" s="42" t="str">
        <x:v>유나 소모</x:v>
      </x:c>
      <x:c r="L10" s="42" t="str">
        <x:v>유지</x:v>
      </x:c>
      <x:c r="M10" s="42" t="str">
        <x:v>독/장기전</x:v>
      </x:c>
      <x:c r="N10" s="42" t="n">
        <x:v>5</x:v>
      </x:c>
      <x:c r="O10" s="42" t="n">
        <x:v>4</x:v>
      </x:c>
      <x:c r="P10" s="42" t="n">
        <x:v>4</x:v>
      </x:c>
      <x:c r="Q10" s="42" t="n">
        <x:v>1</x:v>
      </x:c>
      <x:c r="R10" s="42" t="n">
        <x:v>1</x:v>
      </x:c>
      <x:c r="S10" s="42" t="n">
        <x:v>5</x:v>
      </x:c>
      <x:c r="T10" s="42" t="str">
        <x:v>Stage10~15에서 재료/골드 여유가 있을 때 슬롯효율을 올리는 조기 신화.</x:v>
      </x:c>
    </x:row>
    <x:row r="11">
      <x:c r="A11" s="42" t="str">
        <x:v>클로에</x:v>
      </x:c>
      <x:c r="B11" s="42" t="n">
        <x:v>10</x:v>
      </x:c>
      <x:c r="C11" s="42" t="str">
        <x:v>세라</x:v>
      </x:c>
      <x:c r="D11" s="121" t="n">
        <x:v>1816</x:v>
      </x:c>
      <x:c r="E11" s="121" t="n">
        <x:v>166</x:v>
      </x:c>
      <x:c r="F11" s="42" t="str">
        <x:v>버퍼형</x:v>
      </x:c>
      <x:c r="G11" s="42" t="str">
        <x:v>조건부 추천</x:v>
      </x:c>
      <x:c r="H11" s="42" t="str">
        <x:v>○</x:v>
      </x:c>
      <x:c r="I11" s="42" t="str">
        <x:v>◎</x:v>
      </x:c>
      <x:c r="J11" s="42" t="str">
        <x:v>높음</x:v>
      </x:c>
      <x:c r="K11" s="42" t="str">
        <x:v>세라 소모</x:v>
      </x:c>
      <x:c r="L11" s="42" t="str">
        <x:v>유지</x:v>
      </x:c>
      <x:c r="M11" s="42" t="str">
        <x:v>버퍼형</x:v>
      </x:c>
      <x:c r="N11" s="42" t="n">
        <x:v>3</x:v>
      </x:c>
      <x:c r="O11" s="42" t="n">
        <x:v>3</x:v>
      </x:c>
      <x:c r="P11" s="42" t="n">
        <x:v>5</x:v>
      </x:c>
      <x:c r="Q11" s="42" t="n">
        <x:v>3</x:v>
      </x:c>
      <x:c r="R11" s="42" t="n">
        <x:v>1</x:v>
      </x:c>
      <x:c r="S11" s="42" t="n">
        <x:v>5</x:v>
      </x:c>
      <x:c r="T11" s="42" t="str">
        <x:v>Stage10~15에서 재료/골드 여유가 있을 때 슬롯효율을 올리는 조기 신화.</x:v>
      </x:c>
    </x:row>
    <x:row r="12">
      <x:c r="A12" s="42" t="str">
        <x:v>아델</x:v>
      </x:c>
      <x:c r="B12" s="42" t="n">
        <x:v>5</x:v>
      </x:c>
      <x:c r="C12" s="42" t="str">
        <x:v>아리아</x:v>
      </x:c>
      <x:c r="D12" s="121" t="n">
        <x:v>1465</x:v>
      </x:c>
      <x:c r="E12" s="121" t="n">
        <x:v>152</x:v>
      </x:c>
      <x:c r="F12" s="42" t="str">
        <x:v>방벽형</x:v>
      </x:c>
      <x:c r="G12" s="42" t="str">
        <x:v>초반 보류</x:v>
      </x:c>
      <x:c r="H12" s="42" t="str">
        <x:v>△</x:v>
      </x:c>
      <x:c r="I12" s="42" t="str">
        <x:v>○</x:v>
      </x:c>
      <x:c r="J12" s="42" t="str">
        <x:v>높음</x:v>
      </x:c>
      <x:c r="K12" s="42" t="str">
        <x:v>아리아 소모</x:v>
      </x:c>
      <x:c r="L12" s="42" t="str">
        <x:v>소모</x:v>
      </x:c>
      <x:c r="M12" s="42" t="str">
        <x:v>방벽형</x:v>
      </x:c>
      <x:c r="N12" s="42" t="n">
        <x:v>3</x:v>
      </x:c>
      <x:c r="O12" s="42" t="n">
        <x:v>2</x:v>
      </x:c>
      <x:c r="P12" s="42" t="n">
        <x:v>3</x:v>
      </x:c>
      <x:c r="Q12" s="42" t="n">
        <x:v>5</x:v>
      </x:c>
      <x:c r="R12" s="42" t="n">
        <x:v>1</x:v>
      </x:c>
      <x:c r="S12" s="42" t="n">
        <x:v>4</x:v>
      </x:c>
      <x:c r="T12" s="42" t="str">
        <x:v>아리아를 직접 소모하므로 표준 무과금 루트에서는 손해. 아리아 재조합 여유가 생긴 뒤 전환.</x:v>
      </x:c>
    </x:row>
    <x:row r="13">
      <x:c r="A13" s="42" t="str">
        <x:v>니아</x:v>
      </x:c>
      <x:c r="B13" s="42" t="n">
        <x:v>15</x:v>
      </x:c>
      <x:c r="C13" s="42" t="str">
        <x:v>리엘</x:v>
      </x:c>
      <x:c r="D13" s="121" t="n">
        <x:v>1991</x:v>
      </x:c>
      <x:c r="E13" s="121" t="n">
        <x:v>194</x:v>
      </x:c>
      <x:c r="F13" s="42" t="str">
        <x:v>보스형</x:v>
      </x:c>
      <x:c r="G13" s="42" t="str">
        <x:v>추천</x:v>
      </x:c>
      <x:c r="H13" s="42" t="str">
        <x:v>◎</x:v>
      </x:c>
      <x:c r="I13" s="42" t="str">
        <x:v>◎</x:v>
      </x:c>
      <x:c r="J13" s="42" t="str">
        <x:v>매우 높음</x:v>
      </x:c>
      <x:c r="K13" s="42" t="str">
        <x:v>리엘 소모</x:v>
      </x:c>
      <x:c r="L13" s="42" t="str">
        <x:v>유지</x:v>
      </x:c>
      <x:c r="M13" s="42" t="str">
        <x:v>보스형</x:v>
      </x:c>
      <x:c r="N13" s="42" t="n">
        <x:v>5</x:v>
      </x:c>
      <x:c r="O13" s="42" t="n">
        <x:v>4</x:v>
      </x:c>
      <x:c r="P13" s="42" t="n">
        <x:v>4</x:v>
      </x:c>
      <x:c r="Q13" s="42" t="n">
        <x:v>1</x:v>
      </x:c>
      <x:c r="R13" s="42" t="n">
        <x:v>1</x:v>
      </x:c>
      <x:c r="S13" s="42" t="n">
        <x:v>5</x:v>
      </x:c>
      <x:c r="T13" s="42" t="str">
        <x:v>Stage15 이후 3~5영웅 체제에서 핵심 선택지.</x:v>
      </x:c>
    </x:row>
    <x:row r="14">
      <x:c r="A14" s="42" t="str">
        <x:v>오로라</x:v>
      </x:c>
      <x:c r="B14" s="42" t="n">
        <x:v>15</x:v>
      </x:c>
      <x:c r="C14" s="42" t="str">
        <x:v>세라</x:v>
      </x:c>
      <x:c r="D14" s="121" t="n">
        <x:v>1617</x:v>
      </x:c>
      <x:c r="E14" s="121" t="n">
        <x:v>190</x:v>
      </x:c>
      <x:c r="F14" s="42" t="str">
        <x:v>광역형</x:v>
      </x:c>
      <x:c r="G14" s="42" t="str">
        <x:v>추천</x:v>
      </x:c>
      <x:c r="H14" s="42" t="str">
        <x:v>◎</x:v>
      </x:c>
      <x:c r="I14" s="42" t="str">
        <x:v>◎</x:v>
      </x:c>
      <x:c r="J14" s="42" t="str">
        <x:v>매우 높음</x:v>
      </x:c>
      <x:c r="K14" s="42" t="str">
        <x:v>세라 소모</x:v>
      </x:c>
      <x:c r="L14" s="42" t="str">
        <x:v>유지</x:v>
      </x:c>
      <x:c r="M14" s="42" t="str">
        <x:v>광역형</x:v>
      </x:c>
      <x:c r="N14" s="42" t="n">
        <x:v>4</x:v>
      </x:c>
      <x:c r="O14" s="42" t="n">
        <x:v>5</x:v>
      </x:c>
      <x:c r="P14" s="42" t="n">
        <x:v>3</x:v>
      </x:c>
      <x:c r="Q14" s="42" t="n">
        <x:v>1</x:v>
      </x:c>
      <x:c r="R14" s="42" t="n">
        <x:v>1</x:v>
      </x:c>
      <x:c r="S14" s="42" t="n">
        <x:v>5</x:v>
      </x:c>
      <x:c r="T14" s="42" t="str">
        <x:v>Stage15 이후 3~5영웅 체제에서 핵심 선택지.</x:v>
      </x:c>
    </x:row>
    <x:row r="15">
      <x:c r="A15" s="42" t="str">
        <x:v>이브</x:v>
      </x:c>
      <x:c r="B15" s="42" t="n">
        <x:v>15</x:v>
      </x:c>
      <x:c r="C15" s="42" t="str">
        <x:v>카린</x:v>
      </x:c>
      <x:c r="D15" s="121" t="n">
        <x:v>2049</x:v>
      </x:c>
      <x:c r="E15" s="121" t="n">
        <x:v>172</x:v>
      </x:c>
      <x:c r="F15" s="42" t="str">
        <x:v>시간제어형</x:v>
      </x:c>
      <x:c r="G15" s="42" t="str">
        <x:v>추천</x:v>
      </x:c>
      <x:c r="H15" s="42" t="str">
        <x:v>○</x:v>
      </x:c>
      <x:c r="I15" s="42" t="str">
        <x:v>◎</x:v>
      </x:c>
      <x:c r="J15" s="42" t="str">
        <x:v>높음</x:v>
      </x:c>
      <x:c r="K15" s="42" t="str">
        <x:v>카린 소모</x:v>
      </x:c>
      <x:c r="L15" s="42" t="str">
        <x:v>유지</x:v>
      </x:c>
      <x:c r="M15" s="42" t="str">
        <x:v>시간제어형</x:v>
      </x:c>
      <x:c r="N15" s="42" t="n">
        <x:v>4</x:v>
      </x:c>
      <x:c r="O15" s="42" t="n">
        <x:v>3</x:v>
      </x:c>
      <x:c r="P15" s="42" t="n">
        <x:v>5</x:v>
      </x:c>
      <x:c r="Q15" s="42" t="n">
        <x:v>2</x:v>
      </x:c>
      <x:c r="R15" s="42" t="n">
        <x:v>1</x:v>
      </x:c>
      <x:c r="S15" s="42" t="n">
        <x:v>5</x:v>
      </x:c>
      <x:c r="T15" s="42" t="str">
        <x:v>Stage15 이후 3~5영웅 체제에서 핵심 선택지.</x:v>
      </x:c>
    </x:row>
    <x:row r="18">
      <x:c r="A18" s="541" t="str">
        <x:v>Stage 15 / 20 신화 빌드 벤치마크</x:v>
      </x:c>
      <x:c r="B18" s="541"/>
      <x:c r="C18" s="541"/>
      <x:c r="D18" s="541"/>
      <x:c r="E18" s="541"/>
      <x:c r="F18" s="541"/>
      <x:c r="G18" s="541"/>
      <x:c r="H18" s="541"/>
      <x:c r="I18" s="541"/>
      <x:c r="J18" s="541"/>
      <x:c r="K18" s="541"/>
      <x:c r="L18" s="541"/>
      <x:c r="M18" s="541"/>
      <x:c r="N18" s="541"/>
      <x:c r="O18" s="541"/>
      <x:c r="P18" s="541"/>
      <x:c r="Q18" s="541"/>
      <x:c r="R18" s="541"/>
      <x:c r="S18" s="541"/>
      <x:c r="T18" s="541"/>
    </x:row>
    <x:row r="19">
      <x:c r="A19" s="544" t="str">
        <x:v>체크포인트</x:v>
      </x:c>
      <x:c r="B19" s="544" t="str">
        <x:v>30초 최소 DPS</x:v>
      </x:c>
      <x:c r="C19" s="544" t="str">
        <x:v>권장 총DPS</x:v>
      </x:c>
      <x:c r="D19" s="544" t="str">
        <x:v>권장 영웅수</x:v>
      </x:c>
      <x:c r="E19" s="544" t="str">
        <x:v>전설/신화 구성</x:v>
      </x:c>
      <x:c r="F19" s="544" t="str">
        <x:v>예시 빌드</x:v>
      </x:c>
      <x:c r="G19" s="544" t="str">
        <x:v>영웅 기여합</x:v>
      </x:c>
      <x:c r="H19" s="544" t="str">
        <x:v>일반/구조물 요구DPS</x:v>
      </x:c>
      <x:c r="I19" s="544" t="str">
        <x:v>판정</x:v>
      </x:c>
      <x:c r="J19" s="544" t="str">
        <x:v>설계 의도</x:v>
      </x:c>
      <x:c r="L19" s="547" t="str">
        <x:v>구간</x:v>
      </x:c>
      <x:c r="M19" s="547" t="str">
        <x:v>표준 무과금 빌드</x:v>
      </x:c>
      <x:c r="N19" s="547" t="str">
        <x:v>영웅수</x:v>
      </x:c>
      <x:c r="O19" s="547" t="str">
        <x:v>신화수</x:v>
      </x:c>
      <x:c r="P19" s="547" t="str">
        <x:v>핵심</x:v>
      </x:c>
      <x:c r="Q19" s="547" t="str">
        <x:v>피해야 할 것</x:v>
      </x:c>
      <x:c r="R19" s="547" t="str">
        <x:v>대체축</x:v>
      </x:c>
      <x:c r="S19" s="547" t="str">
        <x:v>판정</x:v>
      </x:c>
      <x:c r="T19" s="547" t="str">
        <x:v>메모</x:v>
      </x:c>
    </x:row>
    <x:row r="20">
      <x:c r="A20" t="str">
        <x:v>Stage15</x:v>
      </x:c>
      <x:c r="B20" s="463" t="n">
        <x:v>1220.3101813333333</x:v>
      </x:c>
      <x:c r="C20" s="463" t="n">
        <x:v>1317.93499584</x:v>
      </x:c>
      <x:c r="D20" s="463" t="n">
        <x:v>3</x:v>
      </x:c>
      <x:c r="E20" s="463" t="str">
        <x:v>전설2 + 신화1</x:v>
      </x:c>
      <x:c r="F20" s="463" t="str">
        <x:v>아리아 + 루비 + 미아</x:v>
      </x:c>
      <x:c r="G20" s="463" t="n">
        <x:v>368</x:v>
      </x:c>
      <x:c r="H20" s="463" t="n">
        <x:v>949.93499584</x:v>
      </x:c>
      <x:c r="I20" t="str">
        <x:v>가능</x:v>
      </x:c>
      <x:c r="J20" t="str">
        <x:v>신화1명을 넣되 아리아 축 유지</x:v>
      </x:c>
      <x:c r="L20" s="42" t="str">
        <x:v>Stage1~6</x:v>
      </x:c>
      <x:c r="M20" s="42" t="str">
        <x:v>아리아 중심</x:v>
      </x:c>
      <x:c r="N20" s="42" t="n">
        <x:v>1</x:v>
      </x:c>
      <x:c r="O20" s="42" t="n">
        <x:v>0</x:v>
      </x:c>
      <x:c r="P20" s="42" t="str">
        <x:v>아리아</x:v>
      </x:c>
      <x:c r="Q20" s="42" t="str">
        <x:v>아리아 조기소모</x:v>
      </x:c>
      <x:c r="R20" s="42" t="str">
        <x:v>루비/에리카/카린은 선택</x:v>
      </x:c>
      <x:c r="S20" s="42" t="str">
        <x:v>확정 방향</x:v>
      </x:c>
      <x:c r="T20" s="42" t="str">
        <x:v>초반 필수 전설</x:v>
      </x:c>
    </x:row>
    <x:row r="21">
      <x:c r="A21" t="str">
        <x:v>Stage20</x:v>
      </x:c>
      <x:c r="B21" s="463" t="n">
        <x:v>2381.2262086666665</x:v>
      </x:c>
      <x:c r="C21" s="463" t="n">
        <x:v>2571.72430536</x:v>
      </x:c>
      <x:c r="D21" s="463" t="n">
        <x:v>4</x:v>
      </x:c>
      <x:c r="E21" s="463" t="str">
        <x:v>전설2 + 신화2</x:v>
      </x:c>
      <x:c r="F21" s="463" t="str">
        <x:v>아리아 + 샤샤 + 네온 + 세라</x:v>
      </x:c>
      <x:c r="G21" s="463" t="n">
        <x:v>550</x:v>
      </x:c>
      <x:c r="H21" s="463" t="n">
        <x:v>2021.72430536</x:v>
      </x:c>
      <x:c r="I21" t="str">
        <x:v>가능</x:v>
      </x:c>
      <x:c r="J21" t="str">
        <x:v>4인 영웅체제, 신화2명부터 주력 체감</x:v>
      </x:c>
      <x:c r="L21" s="42" t="str">
        <x:v>Stage7~10</x:v>
      </x:c>
      <x:c r="M21" s="42" t="str">
        <x:v>아리아 + 2번째 전설/전문화</x:v>
      </x:c>
      <x:c r="N21" s="42" t="n">
        <x:v>2</x:v>
      </x:c>
      <x:c r="O21" s="42" t="n">
        <x:v>0</x:v>
      </x:c>
      <x:c r="P21" s="42" t="str">
        <x:v>아리아+선택전설</x:v>
      </x:c>
      <x:c r="Q21" s="42" t="str">
        <x:v>신화 무리조합</x:v>
      </x:c>
      <x:c r="R21" s="42" t="str">
        <x:v>루비/카린/세라/에리카</x:v>
      </x:c>
      <x:c r="S21" s="42" t="str">
        <x:v>권장</x:v>
      </x:c>
      <x:c r="T21" s="42" t="str">
        <x:v>Stage10 첫 빌드 확장</x:v>
      </x:c>
    </x:row>
    <x:row r="22">
      <x:c r="L22" s="42" t="str">
        <x:v>Stage11~15</x:v>
      </x:c>
      <x:c r="M22" s="42" t="str">
        <x:v>아리아 + 전설1 + 신화1</x:v>
      </x:c>
      <x:c r="N22" s="42" t="n">
        <x:v>3</x:v>
      </x:c>
      <x:c r="O22" s="42" t="n">
        <x:v>1</x:v>
      </x:c>
      <x:c r="P22" s="42" t="str">
        <x:v>아리아 유지</x:v>
      </x:c>
      <x:c r="Q22" s="42" t="str">
        <x:v>아이린/아델로 아리아 소모</x:v>
      </x:c>
      <x:c r="R22" s="42" t="str">
        <x:v>미아/네온/샤샤/비올라/클로에</x:v>
      </x:c>
      <x:c r="S22" s="42" t="str">
        <x:v>권장</x:v>
      </x:c>
      <x:c r="T22" s="42" t="str">
        <x:v>신화 진입</x:v>
      </x:c>
    </x:row>
    <x:row r="23">
      <x:c r="L23" s="42" t="str">
        <x:v>Stage16~20</x:v>
      </x:c>
      <x:c r="M23" s="42" t="str">
        <x:v>아리아 + 전설1 + 신화2</x:v>
      </x:c>
      <x:c r="N23" s="42" t="n">
        <x:v>4</x:v>
      </x:c>
      <x:c r="O23" s="42" t="n">
        <x:v>2</x:v>
      </x:c>
      <x:c r="P23" s="42" t="str">
        <x:v>슬롯효율</x:v>
      </x:c>
      <x:c r="Q23" s="42" t="str">
        <x:v>전설 전부 즉시 신화전환</x:v>
      </x:c>
      <x:c r="R23" s="42" t="str">
        <x:v>샤샤/네온/니아/오로라</x:v>
      </x:c>
      <x:c r="S23" s="42" t="str">
        <x:v>권장</x:v>
      </x:c>
      <x:c r="T23" s="42" t="str">
        <x:v>신화가 주력으로 넘어가기 시작</x:v>
      </x:c>
    </x:row>
    <x:row r="24">
      <x:c r="L24" s="42" t="str">
        <x:v>Stage21 이후</x:v>
      </x:c>
      <x:c r="M24" s="42" t="str">
        <x:v>3~5영웅 혼합</x:v>
      </x:c>
      <x:c r="N24" s="42" t="n">
        <x:v>5</x:v>
      </x:c>
      <x:c r="O24" s="42" t="n">
        <x:v>3</x:v>
      </x:c>
      <x:c r="P24" s="42" t="str">
        <x:v>역할조합</x:v>
      </x:c>
      <x:c r="Q24" s="42" t="str">
        <x:v>단일 정답</x:v>
      </x:c>
      <x:c r="R24" s="42" t="str">
        <x:v>보스/광역/제어/버퍼 조합</x:v>
      </x:c>
      <x:c r="S24" s="42" t="str">
        <x:v>후속</x:v>
      </x:c>
      <x:c r="T24" s="42" t="str">
        <x:v>맵과 보스 특성으로 변주</x:v>
      </x:c>
    </x:row>
    <x:row r="25">
      <x:c r="A25" s="550" t="str">
        <x:v>아리아를 재료로 쓰는 신화 처리</x:v>
      </x:c>
      <x:c r="B25" s="550"/>
      <x:c r="C25" s="550"/>
      <x:c r="D25" s="550"/>
      <x:c r="E25" s="550"/>
      <x:c r="F25" s="550"/>
      <x:c r="G25" s="550"/>
      <x:c r="H25" s="550"/>
      <x:c r="I25" s="550"/>
      <x:c r="J25" s="550"/>
    </x:row>
    <x:row r="26">
      <x:c r="A26" s="547" t="str">
        <x:v>신화</x:v>
      </x:c>
      <x:c r="B26" s="547" t="str">
        <x:v>문제</x:v>
      </x:c>
      <x:c r="C26" s="547" t="str">
        <x:v>권장 타이밍</x:v>
      </x:c>
      <x:c r="D26" s="547" t="str">
        <x:v>결론</x:v>
      </x:c>
    </x:row>
    <x:row r="27">
      <x:c r="A27" s="42" t="str">
        <x:v>아이린</x:v>
      </x:c>
      <x:c r="B27" s="42" t="str">
        <x:v>아리아 소모</x:v>
      </x:c>
      <x:c r="C27" s="42" t="str">
        <x:v>아리아 재조합 가능 시점</x:v>
      </x:c>
      <x:c r="D27" s="42" t="str">
        <x:v>초반 보류</x:v>
      </x:c>
      <x:c r="L27" t="str">
        <x:v>신화</x:v>
      </x:c>
      <x:c r="M27" t="str">
        <x:v>실전기여</x:v>
      </x:c>
      <x:c r="N27" t="str">
        <x:v>총원가</x:v>
      </x:c>
    </x:row>
    <x:row r="28">
      <x:c r="A28" s="42" t="str">
        <x:v>아델</x:v>
      </x:c>
      <x:c r="B28" s="42" t="str">
        <x:v>아리아 소모</x:v>
      </x:c>
      <x:c r="C28" s="42" t="str">
        <x:v>방벽 특화맵 + 아리아 재조합 여유</x:v>
      </x:c>
      <x:c r="D28" s="42" t="str">
        <x:v>초반 보류</x:v>
      </x:c>
      <x:c r="L28" t="str">
        <x:v>벨</x:v>
      </x:c>
      <x:c r="M28" t="n">
        <x:v>154</x:v>
      </x:c>
      <x:c r="N28" t="n">
        <x:v>1655</x:v>
      </x:c>
    </x:row>
    <x:row r="29">
      <x:c r="A29" s="42" t="str">
        <x:v>원칙</x:v>
      </x:c>
      <x:c r="B29" s="42" t="str">
        <x:v>아리아 필수축을 신화 전환으로 끊지 않음</x:v>
      </x:c>
      <x:c r="C29" s="42" t="str">
        <x:v>Stage15~20 이후</x:v>
      </x:c>
      <x:c r="D29" s="42" t="str">
        <x:v>아리아 재조합 또는 대체핵 확보 후 전환</x:v>
      </x:c>
      <x:c r="L29" t="str">
        <x:v>미아</x:v>
      </x:c>
      <x:c r="M29" t="n">
        <x:v>176</x:v>
      </x:c>
      <x:c r="N29" t="n">
        <x:v>1245</x:v>
      </x:c>
    </x:row>
    <x:row r="30">
      <x:c r="L30" t="str">
        <x:v>아이린</x:v>
      </x:c>
      <x:c r="M30" t="n">
        <x:v>168</x:v>
      </x:c>
      <x:c r="N30" t="n">
        <x:v>1870</x:v>
      </x:c>
    </x:row>
    <x:row r="31">
      <x:c r="L31" t="str">
        <x:v>네온</x:v>
      </x:c>
      <x:c r="M31" t="n">
        <x:v>178</x:v>
      </x:c>
      <x:c r="N31" t="n">
        <x:v>1930</x:v>
      </x:c>
    </x:row>
    <x:row r="32">
      <x:c r="A32" s="556" t="str">
        <x:v>Normal21~30 5영웅 V3.1</x:v>
      </x:c>
      <x:c r="B32" s="556" t="str">
        <x:v>표준 구성</x:v>
      </x:c>
      <x:c r="C32" s="556" t="str">
        <x:v>신화 수</x:v>
      </x:c>
      <x:c r="D32" s="556" t="str">
        <x:v>전설 수</x:v>
      </x:c>
      <x:c r="E32" s="556" t="str">
        <x:v>TD 원가 기준</x:v>
      </x:c>
      <x:c r="F32" s="556" t="str">
        <x:v>경제 판정</x:v>
      </x:c>
      <x:c r="G32" s="556" t="str">
        <x:v>역할</x:v>
      </x:c>
      <x:c r="H32" s="556" t="str">
        <x:v>아리아</x:v>
      </x:c>
      <x:c r="I32" s="556" t="str">
        <x:v>주의</x:v>
      </x:c>
      <x:c r="J32" s="556" t="str">
        <x:v>결론</x:v>
      </x:c>
      <x:c r="L32" t="str">
        <x:v>샤샤</x:v>
      </x:c>
      <x:c r="M32" t="n">
        <x:v>188</x:v>
      </x:c>
      <x:c r="N32" t="n">
        <x:v>1825</x:v>
      </x:c>
    </x:row>
    <x:row r="33">
      <x:c r="A33" s="42" t="str">
        <x:v>Stage21~25</x:v>
      </x:c>
      <x:c r="B33" s="42" t="str">
        <x:v>아리아+카린+미아+벨+오로라</x:v>
      </x:c>
      <x:c r="C33" s="42" t="n">
        <x:v>3</x:v>
      </x:c>
      <x:c r="D33" s="42" t="n">
        <x:v>2</x:v>
      </x:c>
      <x:c r="E33" s="42" t="n">
        <x:v>5977</x:v>
      </x:c>
      <x:c r="F33" s="42" t="str">
        <x:v>표준 가능</x:v>
      </x:c>
      <x:c r="G33" s="42" t="str">
        <x:v>균형</x:v>
      </x:c>
      <x:c r="H33" s="42" t="str">
        <x:v>유지</x:v>
      </x:c>
      <x:c r="I33" s="42" t="str">
        <x:v>3신화+2전설이 기준</x:v>
      </x:c>
      <x:c r="J33" s="42" t="str">
        <x:v>기준</x:v>
      </x:c>
      <x:c r="L33" t="str">
        <x:v>루나</x:v>
      </x:c>
      <x:c r="M33" t="n">
        <x:v>160</x:v>
      </x:c>
      <x:c r="N33" t="n">
        <x:v>2104</x:v>
      </x:c>
    </x:row>
    <x:row r="34">
      <x:c r="A34" s="42" t="str">
        <x:v>Stage26~28</x:v>
      </x:c>
      <x:c r="B34" s="42" t="str">
        <x:v>아리아+카린+미아+벨+오로라</x:v>
      </x:c>
      <x:c r="C34" s="42" t="n">
        <x:v>3</x:v>
      </x:c>
      <x:c r="D34" s="42" t="n">
        <x:v>2</x:v>
      </x:c>
      <x:c r="E34" s="42" t="n">
        <x:v>5977</x:v>
      </x:c>
      <x:c r="F34" s="42" t="str">
        <x:v>표준 가능</x:v>
      </x:c>
      <x:c r="G34" s="42" t="str">
        <x:v>성장 유지</x:v>
      </x:c>
      <x:c r="H34" s="42" t="str">
        <x:v>유지</x:v>
      </x:c>
      <x:c r="I34" s="42" t="str">
        <x:v>신화 수보다 로비 성장 우선</x:v>
      </x:c>
      <x:c r="J34" s="42" t="str">
        <x:v>기준</x:v>
      </x:c>
      <x:c r="L34" t="str">
        <x:v>비올라</x:v>
      </x:c>
      <x:c r="M34" t="n">
        <x:v>181</x:v>
      </x:c>
      <x:c r="N34" t="n">
        <x:v>1956</x:v>
      </x:c>
    </x:row>
    <x:row r="35">
      <x:c r="A35" s="42" t="str">
        <x:v>Stage29</x:v>
      </x:c>
      <x:c r="B35" s="42" t="str">
        <x:v>아리아+미아+벨+오로라+이브</x:v>
      </x:c>
      <x:c r="C35" s="42" t="n">
        <x:v>4</x:v>
      </x:c>
      <x:c r="D35" s="42" t="n">
        <x:v>1</x:v>
      </x:c>
      <x:c r="E35" s="42" t="n">
        <x:v>7296</x:v>
      </x:c>
      <x:c r="F35" s="42" t="str">
        <x:v>타이트 가능</x:v>
      </x:c>
      <x:c r="G35" s="42" t="str">
        <x:v>공중/제어</x:v>
      </x:c>
      <x:c r="H35" s="42" t="str">
        <x:v>유지</x:v>
      </x:c>
      <x:c r="I35" s="42" t="str">
        <x:v>대공 구조물 필요</x:v>
      </x:c>
      <x:c r="J35" s="42" t="str">
        <x:v>후보</x:v>
      </x:c>
      <x:c r="L35" t="str">
        <x:v>클로에</x:v>
      </x:c>
      <x:c r="M35" t="n">
        <x:v>166</x:v>
      </x:c>
      <x:c r="N35" t="n">
        <x:v>1816</x:v>
      </x:c>
    </x:row>
    <x:row r="36">
      <x:c r="A36" s="42" t="str">
        <x:v>Stage30</x:v>
      </x:c>
      <x:c r="B36" s="42" t="str">
        <x:v>아리아+미아+니아+오로라+클로에</x:v>
      </x:c>
      <x:c r="C36" s="42" t="n">
        <x:v>4</x:v>
      </x:c>
      <x:c r="D36" s="42" t="n">
        <x:v>1</x:v>
      </x:c>
      <x:c r="E36" s="42" t="n">
        <x:v>7399</x:v>
      </x:c>
      <x:c r="F36" s="42" t="str">
        <x:v>표준 가능</x:v>
      </x:c>
      <x:c r="G36" s="42" t="str">
        <x:v>최종 균형</x:v>
      </x:c>
      <x:c r="H36" s="42" t="str">
        <x:v>유지</x:v>
      </x:c>
      <x:c r="I36" s="42" t="str">
        <x:v>보스딜+광역+버프</x:v>
      </x:c>
      <x:c r="J36" s="42" t="str">
        <x:v>후보</x:v>
      </x:c>
      <x:c r="L36" t="str">
        <x:v>아델</x:v>
      </x:c>
      <x:c r="M36" t="n">
        <x:v>152</x:v>
      </x:c>
      <x:c r="N36" t="n">
        <x:v>1465</x:v>
      </x:c>
    </x:row>
    <x:row r="37">
      <x:c r="A37" s="42" t="str">
        <x:v>아델/아이린</x:v>
      </x:c>
      <x:c r="B37" s="42" t="str">
        <x:v>아리아 소모 신화</x:v>
      </x:c>
      <x:c r="C37" s="42" t="str">
        <x:v>-</x:v>
      </x:c>
      <x:c r="D37" s="42" t="str">
        <x:v>-</x:v>
      </x:c>
      <x:c r="E37" s="42" t="str">
        <x:v>재소환비 고려</x:v>
      </x:c>
      <x:c r="F37" s="42" t="str">
        <x:v>상황형</x:v>
      </x:c>
      <x:c r="G37" s="42" t="str">
        <x:v>특화</x:v>
      </x:c>
      <x:c r="H37" s="42" t="str">
        <x:v>재소환</x:v>
      </x:c>
      <x:c r="I37" s="42" t="str">
        <x:v>초반 전환 금지</x:v>
      </x:c>
      <x:c r="J37" s="42" t="str">
        <x:v>유지</x:v>
      </x:c>
      <x:c r="L37" t="str">
        <x:v>니아</x:v>
      </x:c>
      <x:c r="M37" t="n">
        <x:v>194</x:v>
      </x:c>
      <x:c r="N37" t="n">
        <x:v>1991</x:v>
      </x:c>
    </x:row>
    <x:row r="38">
      <x:c r="A38" s="42" t="str">
        <x:v>5신화</x:v>
      </x:c>
      <x:c r="B38" s="42" t="str">
        <x:v>숙련/고경제</x:v>
      </x:c>
      <x:c r="C38" s="42" t="n">
        <x:v>5</x:v>
      </x:c>
      <x:c r="D38" s="42" t="n">
        <x:v>0</x:v>
      </x:c>
      <x:c r="E38" s="42" t="str">
        <x:v>약 7,800G 전후</x:v>
      </x:c>
      <x:c r="F38" s="42" t="str">
        <x:v>숙련골드권</x:v>
      </x:c>
      <x:c r="G38" s="42" t="str">
        <x:v>최적화</x:v>
      </x:c>
      <x:c r="H38" s="42" t="str">
        <x:v>선택</x:v>
      </x:c>
      <x:c r="I38" s="42" t="str">
        <x:v>필수화 금지</x:v>
      </x:c>
      <x:c r="J38" s="42" t="str">
        <x:v>상한</x:v>
      </x:c>
      <x:c r="L38" t="str">
        <x:v>오로라</x:v>
      </x:c>
      <x:c r="M38" t="n">
        <x:v>190</x:v>
      </x:c>
      <x:c r="N38" t="n">
        <x:v>1617</x:v>
      </x:c>
    </x:row>
    <x:row r="39">
      <x:c r="L39" t="str">
        <x:v>이브</x:v>
      </x:c>
      <x:c r="M39" t="n">
        <x:v>172</x:v>
      </x:c>
      <x:c r="N39" t="n">
        <x:v>2049</x:v>
      </x:c>
    </x:row>
    <x:row r="41">
      <x:c r="A41" s="719" t="str">
        <x:v>5영웅 슬롯 연계 V3.7</x:v>
      </x:c>
      <x:c r="B41" s="719" t="str">
        <x:v>조건</x:v>
      </x:c>
      <x:c r="C41" s="719" t="str">
        <x:v>슬롯 처리</x:v>
      </x:c>
      <x:c r="D41" s="719" t="str">
        <x:v>성급</x:v>
      </x:c>
      <x:c r="E41" s="719" t="str">
        <x:v>RPG</x:v>
      </x:c>
      <x:c r="F41" s="719" t="str">
        <x:v>가능</x:v>
      </x:c>
      <x:c r="G41" s="719" t="str">
        <x:v>불가</x:v>
      </x:c>
      <x:c r="H41" s="719" t="str">
        <x:v>전략</x:v>
      </x:c>
      <x:c r="I41" s="719" t="str">
        <x:v>예시</x:v>
      </x:c>
      <x:c r="J41" s="719" t="str">
        <x:v>결론</x:v>
      </x:c>
    </x:row>
    <x:row r="42">
      <x:c r="A42" s="42" t="str">
        <x:v>전설 생성</x:v>
      </x:c>
      <x:c r="B42" s="42" t="str">
        <x:v>슬롯&lt;5</x:v>
      </x:c>
      <x:c r="C42" s="42" t="str">
        <x:v>빈 슬롯 점유</x:v>
      </x:c>
      <x:c r="D42" s="42" t="str">
        <x:v>★1</x:v>
      </x:c>
      <x:c r="E42" s="42" t="str">
        <x:v>동일영웅</x:v>
      </x:c>
      <x:c r="F42" s="42" t="str">
        <x:v>O</x:v>
      </x:c>
      <x:c r="G42" s="42" t="str">
        <x:v>5/5 신규전설</x:v>
      </x:c>
      <x:c r="H42" s="42" t="str">
        <x:v>선행 선택</x:v>
      </x:c>
      <x:c r="I42" s="42" t="str">
        <x:v>아리아</x:v>
      </x:c>
      <x:c r="J42" s="42" t="str">
        <x:v>유지</x:v>
      </x:c>
    </x:row>
    <x:row r="43">
      <x:c r="A43" s="42" t="str">
        <x:v>신화 생성</x:v>
      </x:c>
      <x:c r="B43" s="42" t="str">
        <x:v>재료전설 존재</x:v>
      </x:c>
      <x:c r="C43" s="42" t="str">
        <x:v>전설 슬롯 계승</x:v>
      </x:c>
      <x:c r="D43" s="42" t="str">
        <x:v>★1 재시작</x:v>
      </x:c>
      <x:c r="E43" s="42" t="str">
        <x:v>신화로 교체</x:v>
      </x:c>
      <x:c r="F43" s="42" t="str">
        <x:v>5/5도 O</x:v>
      </x:c>
      <x:c r="G43" s="42" t="str">
        <x:v>6번째 슬롯</x:v>
      </x:c>
      <x:c r="H43" s="42" t="str">
        <x:v>승급 타이밍</x:v>
      </x:c>
      <x:c r="I43" s="42" t="str">
        <x:v>카린→이브</x:v>
      </x:c>
      <x:c r="J43" s="42" t="str">
        <x:v>핵심</x:v>
      </x:c>
    </x:row>
    <x:row r="44">
      <x:c r="A44" s="42" t="str">
        <x:v>아리아계 신화</x:v>
      </x:c>
      <x:c r="B44" s="42" t="str">
        <x:v>아리아 필요</x:v>
      </x:c>
      <x:c r="C44" s="42" t="str">
        <x:v>아리아 슬롯→아델/아이린</x:v>
      </x:c>
      <x:c r="D44" s="42" t="str">
        <x:v>★1</x:v>
      </x:c>
      <x:c r="E44" s="42" t="str">
        <x:v>아리아 빠짐</x:v>
      </x:c>
      <x:c r="F44" s="42" t="str">
        <x:v>빈 슬롯 재소환</x:v>
      </x:c>
      <x:c r="G44" s="42" t="str">
        <x:v>5/5 재소환</x:v>
      </x:c>
      <x:c r="H44" s="42" t="str">
        <x:v>순서 중요</x:v>
      </x:c>
      <x:c r="I44" s="42" t="str">
        <x:v>아델 후 아리아</x:v>
      </x:c>
      <x:c r="J44" s="42" t="str">
        <x:v>주의</x:v>
      </x:c>
    </x:row>
    <x:row r="45">
      <x:c r="A45" s="42" t="str">
        <x:v>5신화 완성</x:v>
      </x:c>
      <x:c r="B45" s="42" t="str">
        <x:v>5개 슬롯 모두 신화</x:v>
      </x:c>
      <x:c r="C45" s="42" t="str">
        <x:v>5/5 유지</x:v>
      </x:c>
      <x:c r="D45" s="42" t="str">
        <x:v>각각 강화</x:v>
      </x:c>
      <x:c r="E45" s="42" t="str">
        <x:v>동일5명</x:v>
      </x:c>
      <x:c r="F45" s="42" t="str">
        <x:v>O</x:v>
      </x:c>
      <x:c r="G45" s="42" t="str">
        <x:v>추가영웅</x:v>
      </x:c>
      <x:c r="H45" s="42" t="str">
        <x:v>최종 조합</x:v>
      </x:c>
      <x:c r="I45" s="42" t="str">
        <x:v>아델·니아·오로라·클로에·이브</x:v>
      </x:c>
      <x:c r="J45" s="42" t="str">
        <x:v>Hard45~50</x:v>
      </x:c>
    </x:row>
    <x:row r="46">
      <x:c r="A46" s="42" t="str">
        <x:v>직접 교체</x:v>
      </x:c>
      <x:c r="B46" s="42" t="str">
        <x:v>5/5</x:v>
      </x:c>
      <x:c r="C46" s="42" t="str">
        <x:v>불가</x:v>
      </x:c>
      <x:c r="D46" s="42" t="str">
        <x:v>-</x:v>
      </x:c>
      <x:c r="E46" s="42" t="str">
        <x:v>-</x:v>
      </x:c>
      <x:c r="F46" s="42" t="str">
        <x:v>신화승급</x:v>
      </x:c>
      <x:c r="G46" s="42" t="str">
        <x:v>판매→새영웅</x:v>
      </x:c>
      <x:c r="H46" s="42" t="str">
        <x:v>스킬 순환 방지</x:v>
      </x:c>
      <x:c r="I46" s="42" t="str">
        <x:v>-</x:v>
      </x:c>
      <x:c r="J46" s="42" t="str">
        <x:v>V1 차단</x:v>
      </x:c>
    </x:row>
    <x:row r="47">
      <x:c r="A47" s="42" t="str">
        <x:v>TD 종료</x:v>
      </x:c>
      <x:c r="B47" s="42" t="str">
        <x:v>W10 HP0</x:v>
      </x:c>
      <x:c r="C47" s="42" t="str">
        <x:v>현재 슬롯 잠금</x:v>
      </x:c>
      <x:c r="D47" s="42" t="str">
        <x:v>현재성급</x:v>
      </x:c>
      <x:c r="E47" s="42" t="str">
        <x:v>그대로 출전</x:v>
      </x:c>
      <x:c r="F47" s="42" t="str">
        <x:v>O</x:v>
      </x:c>
      <x:c r="G47" s="42" t="str">
        <x:v>편성변경</x:v>
      </x:c>
      <x:c r="H47" s="42" t="str">
        <x:v>최종 검증</x:v>
      </x:c>
      <x:c r="I47" s="42" t="str">
        <x:v>-</x:v>
      </x:c>
      <x:c r="J47" s="42" t="str">
        <x:v>확정</x:v>
      </x:c>
    </x:row>
  </x:sheetData>
  <x:mergeCells>
    <x:mergeCell ref="A1:T1"/>
    <x:mergeCell ref="A18:T18"/>
    <x:mergeCell ref="A25:J25"/>
  </x:mergeCells>
  <x:pageMargins left="0.7" right="0.7" top="0.75" bottom="0.75" header="0.3" footer="0.3"/>
  <x:drawing xmlns:r="http://schemas.openxmlformats.org/officeDocument/2006/relationships" r:id="Rb195e729e87842cc"/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4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4" hidden="0" customWidth="1"/>
    <x:col min="20" max="20" width="17" hidden="0" customWidth="1"/>
    <x:col min="21" max="21" width="13" hidden="0" customWidth="1"/>
    <x:col min="22" max="22" width="4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</x:cols>
  <x:sheetData>
    <x:row r="1">
      <x:c r="A1" s="559" t="str">
        <x:v>Normal Stage 21~30 — 5영웅 / 신화 빌드 V3.1</x:v>
      </x:c>
      <x:c r="B1" s="559"/>
      <x:c r="C1" s="559"/>
      <x:c r="D1" s="559"/>
      <x:c r="E1" s="559"/>
      <x:c r="F1" s="559"/>
      <x:c r="G1" s="559"/>
      <x:c r="H1" s="559"/>
      <x:c r="I1" s="559"/>
      <x:c r="J1" s="559"/>
      <x:c r="K1" s="559"/>
      <x:c r="L1" s="559"/>
      <x:c r="M1" s="559"/>
      <x:c r="N1" s="559"/>
      <x:c r="O1" s="559"/>
      <x:c r="P1" s="559"/>
      <x:c r="Q1" s="559"/>
      <x:c r="R1" s="559"/>
      <x:c r="S1" s="559"/>
      <x:c r="T1" s="559"/>
      <x:c r="U1" s="559"/>
      <x:c r="V1" s="559"/>
    </x:row>
    <x:row r="3">
      <x:c r="A3" s="563" t="str">
        <x:v>Stage</x:v>
      </x:c>
      <x:c r="B3" s="563" t="str">
        <x:v>구간</x:v>
      </x:c>
      <x:c r="C3" s="563" t="str">
        <x:v>영웅1</x:v>
      </x:c>
      <x:c r="D3" s="563" t="str">
        <x:v>영웅2</x:v>
      </x:c>
      <x:c r="E3" s="563" t="str">
        <x:v>영웅3</x:v>
      </x:c>
      <x:c r="F3" s="563" t="str">
        <x:v>영웅4</x:v>
      </x:c>
      <x:c r="G3" s="563" t="str">
        <x:v>영웅5</x:v>
      </x:c>
      <x:c r="H3" s="563" t="str">
        <x:v>구성</x:v>
      </x:c>
      <x:c r="I3" s="563" t="str">
        <x:v>영웅조합 원가</x:v>
      </x:c>
      <x:c r="J3" s="563" t="str">
        <x:v>W9 표준G</x:v>
      </x:c>
      <x:c r="K3" s="563" t="str">
        <x:v>W9 숙련G</x:v>
      </x:c>
      <x:c r="L3" s="563" t="str">
        <x:v>표준 잔여G</x:v>
      </x:c>
      <x:c r="M3" s="563" t="str">
        <x:v>권장Lv</x:v>
      </x:c>
      <x:c r="N3" s="563" t="str">
        <x:v>평균 성급배율</x:v>
      </x:c>
      <x:c r="O3" s="563" t="str">
        <x:v>로비배율</x:v>
      </x:c>
      <x:c r="P3" s="563" t="str">
        <x:v>영웅 기준기여합</x:v>
      </x:c>
      <x:c r="Q3" s="563" t="str">
        <x:v>성장후 영웅기여</x:v>
      </x:c>
      <x:c r="R3" s="563" t="str">
        <x:v>W10 최소DPS</x:v>
      </x:c>
      <x:c r="S3" s="563" t="str">
        <x:v>영웅 분담률</x:v>
      </x:c>
      <x:c r="T3" s="563" t="str">
        <x:v>비영웅 필요DPS</x:v>
      </x:c>
      <x:c r="U3" s="563" t="str">
        <x:v>판정</x:v>
      </x:c>
      <x:c r="V3" s="563" t="str">
        <x:v>설계 메모</x:v>
      </x:c>
    </x:row>
    <x:row r="4">
      <x:c r="A4" t="n">
        <x:v>21</x:v>
      </x:c>
      <x:c r="B4" t="str">
        <x:v>표준 균형</x:v>
      </x:c>
      <x:c r="C4" t="str">
        <x:v>아리아</x:v>
      </x:c>
      <x:c r="D4" t="str">
        <x:v>카린</x:v>
      </x:c>
      <x:c r="E4" t="str">
        <x:v>미아</x:v>
      </x:c>
      <x:c r="F4" t="str">
        <x:v>벨</x:v>
      </x:c>
      <x:c r="G4" t="str">
        <x:v>오로라</x:v>
      </x:c>
      <x:c r="H4" t="str">
        <x:v>신화3+전설2</x:v>
      </x:c>
      <x:c r="I4" s="564" t="n">
        <x:f>SUM(X4:AB4)</x:f>
        <x:v>5977</x:v>
      </x:c>
      <x:c r="J4" s="564" t="n">
        <x:v>7386</x:v>
      </x:c>
      <x:c r="K4" s="564" t="n">
        <x:v>7887</x:v>
      </x:c>
      <x:c r="L4" s="564" t="n">
        <x:f>J4-I4</x:f>
        <x:v>1409</x:v>
      </x:c>
      <x:c r="M4" t="n">
        <x:v>40</x:v>
      </x:c>
      <x:c r="N4" s="458" t="n">
        <x:v>1.52</x:v>
      </x:c>
      <x:c r="O4" s="458" t="n">
        <x:v>1.2355</x:v>
      </x:c>
      <x:c r="P4" s="463" t="n">
        <x:f>SUM(AC4:AG4)</x:f>
        <x:v>786.5</x:v>
      </x:c>
      <x:c r="Q4" s="463" t="n">
        <x:f>P4*N4*O4</x:f>
        <x:v>1477.01554</x:v>
      </x:c>
      <x:c r="R4" s="463" t="n">
        <x:v>2911.965688666666</x:v>
      </x:c>
      <x:c r="S4" s="238" t="n">
        <x:f>Q4/R4</x:f>
        <x:v>0.5072228514740149</x:v>
      </x:c>
      <x:c r="T4" s="463" t="n">
        <x:f>MAX(0,R4-Q4)</x:f>
        <x:v>1434.950148666666</x:v>
      </x:c>
      <x:c r="U4" t="str">
        <x:f>IF(L4&gt;=700,"표준 가능",IF(K4-I4&gt;=700,"숙련 가능","과투자"))</x:f>
        <x:v>표준 가능</x:v>
      </x:c>
      <x:c r="V4" t="str">
        <x:v>3신화+2전설. 초반 5인 완성 표준.</x:v>
      </x:c>
      <x:c r="X4" t="n">
        <x:v>730</x:v>
      </x:c>
      <x:c r="Y4" t="n">
        <x:v>730</x:v>
      </x:c>
      <x:c r="Z4" t="n">
        <x:v>1245</x:v>
      </x:c>
      <x:c r="AA4" t="n">
        <x:v>1655</x:v>
      </x:c>
      <x:c r="AB4" t="n">
        <x:v>1617</x:v>
      </x:c>
      <x:c r="AC4" t="n">
        <x:v>66</x:v>
      </x:c>
      <x:c r="AD4" t="n">
        <x:v>134</x:v>
      </x:c>
      <x:c r="AE4" t="n">
        <x:v>202.4</x:v>
      </x:c>
      <x:c r="AF4" t="n">
        <x:v>154</x:v>
      </x:c>
      <x:c r="AG4" t="n">
        <x:v>230.1</x:v>
      </x:c>
    </x:row>
    <x:row r="5">
      <x:c r="A5" t="n">
        <x:v>25</x:v>
      </x:c>
      <x:c r="B5" t="str">
        <x:v>교황령 마감</x:v>
      </x:c>
      <x:c r="C5" t="str">
        <x:v>아리아</x:v>
      </x:c>
      <x:c r="D5" t="str">
        <x:v>카린</x:v>
      </x:c>
      <x:c r="E5" t="str">
        <x:v>미아</x:v>
      </x:c>
      <x:c r="F5" t="str">
        <x:v>벨</x:v>
      </x:c>
      <x:c r="G5" t="str">
        <x:v>오로라</x:v>
      </x:c>
      <x:c r="H5" t="str">
        <x:v>신화3+전설2</x:v>
      </x:c>
      <x:c r="I5" s="564" t="n">
        <x:f>SUM(X5:AB5)</x:f>
        <x:v>5977</x:v>
      </x:c>
      <x:c r="J5" s="564" t="n">
        <x:v>8027</x:v>
      </x:c>
      <x:c r="K5" s="564" t="n">
        <x:v>8528</x:v>
      </x:c>
      <x:c r="L5" s="564" t="n">
        <x:f>J5-I5</x:f>
        <x:v>2050</x:v>
      </x:c>
      <x:c r="M5" t="n">
        <x:v>45</x:v>
      </x:c>
      <x:c r="N5" s="458" t="n">
        <x:v>1.52</x:v>
      </x:c>
      <x:c r="O5" s="458" t="n">
        <x:v>1.318</x:v>
      </x:c>
      <x:c r="P5" s="463" t="n">
        <x:f>SUM(AC5:AG5)</x:f>
        <x:v>786.5</x:v>
      </x:c>
      <x:c r="Q5" s="463" t="n">
        <x:f>P5*N5*O5</x:f>
        <x:v>1575.64264</x:v>
      </x:c>
      <x:c r="R5" s="463" t="n">
        <x:v>4467.93248</x:v>
      </x:c>
      <x:c r="S5" s="238" t="n">
        <x:f>Q5/R5</x:f>
        <x:v>0.3526558754083947</x:v>
      </x:c>
      <x:c r="T5" s="463" t="n">
        <x:f>MAX(0,R5-Q5)</x:f>
        <x:v>2892.2898400000004</x:v>
      </x:c>
      <x:c r="U5" t="str">
        <x:f>IF(L5&gt;=700,"표준 가능",IF(K5-I5&gt;=700,"숙련 가능","과투자"))</x:f>
        <x:v>표준 가능</x:v>
      </x:c>
      <x:c r="V5" t="str">
        <x:v>동일 조합 성장으로 재조합 비용 절약.</x:v>
      </x:c>
      <x:c r="X5" t="n">
        <x:v>730</x:v>
      </x:c>
      <x:c r="Y5" t="n">
        <x:v>730</x:v>
      </x:c>
      <x:c r="Z5" t="n">
        <x:v>1245</x:v>
      </x:c>
      <x:c r="AA5" t="n">
        <x:v>1655</x:v>
      </x:c>
      <x:c r="AB5" t="n">
        <x:v>1617</x:v>
      </x:c>
      <x:c r="AC5" t="n">
        <x:v>66</x:v>
      </x:c>
      <x:c r="AD5" t="n">
        <x:v>134</x:v>
      </x:c>
      <x:c r="AE5" t="n">
        <x:v>202.4</x:v>
      </x:c>
      <x:c r="AF5" t="n">
        <x:v>154</x:v>
      </x:c>
      <x:c r="AG5" t="n">
        <x:v>230.1</x:v>
      </x:c>
    </x:row>
    <x:row r="6">
      <x:c r="A6" t="n">
        <x:v>26</x:v>
      </x:c>
      <x:c r="B6" t="str">
        <x:v>상드라크 진입</x:v>
      </x:c>
      <x:c r="C6" t="str">
        <x:v>아리아</x:v>
      </x:c>
      <x:c r="D6" t="str">
        <x:v>카린</x:v>
      </x:c>
      <x:c r="E6" t="str">
        <x:v>미아</x:v>
      </x:c>
      <x:c r="F6" t="str">
        <x:v>벨</x:v>
      </x:c>
      <x:c r="G6" t="str">
        <x:v>오로라</x:v>
      </x:c>
      <x:c r="H6" t="str">
        <x:v>신화3+전설2</x:v>
      </x:c>
      <x:c r="I6" s="564" t="n">
        <x:f>SUM(X6:AB6)</x:f>
        <x:v>5977</x:v>
      </x:c>
      <x:c r="J6" s="564" t="n">
        <x:v>7652</x:v>
      </x:c>
      <x:c r="K6" s="564" t="n">
        <x:v>8153</x:v>
      </x:c>
      <x:c r="L6" s="564" t="n">
        <x:f>J6-I6</x:f>
        <x:v>1675</x:v>
      </x:c>
      <x:c r="M6" t="n">
        <x:v>50</x:v>
      </x:c>
      <x:c r="N6" s="458" t="n">
        <x:v>1.52</x:v>
      </x:c>
      <x:c r="O6" s="458" t="n">
        <x:v>1.3405</x:v>
      </x:c>
      <x:c r="P6" s="463" t="n">
        <x:f>SUM(AC6:AG6)</x:f>
        <x:v>786.5</x:v>
      </x:c>
      <x:c r="Q6" s="463" t="n">
        <x:f>P6*N6*O6</x:f>
        <x:v>1602.54094</x:v>
      </x:c>
      <x:c r="R6" s="463" t="n">
        <x:v>5239.537009333333</x:v>
      </x:c>
      <x:c r="S6" s="238" t="n">
        <x:f>Q6/R6</x:f>
        <x:v>0.3058554481331746</x:v>
      </x:c>
      <x:c r="T6" s="463" t="n">
        <x:f>MAX(0,R6-Q6)</x:f>
        <x:v>3636.9960693333333</x:v>
      </x:c>
      <x:c r="U6" t="str">
        <x:f>IF(L6&gt;=700,"표준 가능",IF(K6-I6&gt;=700,"숙련 가능","과투자"))</x:f>
        <x:v>표준 가능</x:v>
      </x:c>
      <x:c r="V6" t="str">
        <x:v>첫 성장벽 뒤에도 3신화+2전설 유지.</x:v>
      </x:c>
      <x:c r="X6" t="n">
        <x:v>730</x:v>
      </x:c>
      <x:c r="Y6" t="n">
        <x:v>730</x:v>
      </x:c>
      <x:c r="Z6" t="n">
        <x:v>1245</x:v>
      </x:c>
      <x:c r="AA6" t="n">
        <x:v>1655</x:v>
      </x:c>
      <x:c r="AB6" t="n">
        <x:v>1617</x:v>
      </x:c>
      <x:c r="AC6" t="n">
        <x:v>66</x:v>
      </x:c>
      <x:c r="AD6" t="n">
        <x:v>134</x:v>
      </x:c>
      <x:c r="AE6" t="n">
        <x:v>202.4</x:v>
      </x:c>
      <x:c r="AF6" t="n">
        <x:v>154</x:v>
      </x:c>
      <x:c r="AG6" t="n">
        <x:v>230.1</x:v>
      </x:c>
    </x:row>
    <x:row r="7">
      <x:c r="A7" t="n">
        <x:v>29</x:v>
      </x:c>
      <x:c r="B7" t="str">
        <x:v>공중요새 대응</x:v>
      </x:c>
      <x:c r="C7" t="str">
        <x:v>아리아</x:v>
      </x:c>
      <x:c r="D7" t="str">
        <x:v>미아</x:v>
      </x:c>
      <x:c r="E7" t="str">
        <x:v>벨</x:v>
      </x:c>
      <x:c r="F7" t="str">
        <x:v>오로라</x:v>
      </x:c>
      <x:c r="G7" t="str">
        <x:v>이브</x:v>
      </x:c>
      <x:c r="H7" t="str">
        <x:v>신화4+전설1</x:v>
      </x:c>
      <x:c r="I7" s="564" t="n">
        <x:f>SUM(X7:AB7)</x:f>
        <x:v>7296</x:v>
      </x:c>
      <x:c r="J7" s="564" t="n">
        <x:v>8038</x:v>
      </x:c>
      <x:c r="K7" s="564" t="n">
        <x:v>8539</x:v>
      </x:c>
      <x:c r="L7" s="564" t="n">
        <x:f>J7-I7</x:f>
        <x:v>742</x:v>
      </x:c>
      <x:c r="M7" t="n">
        <x:v>55</x:v>
      </x:c>
      <x:c r="N7" s="458" t="n">
        <x:v>1.6</x:v>
      </x:c>
      <x:c r="O7" s="458" t="n">
        <x:v>1.363</x:v>
      </x:c>
      <x:c r="P7" s="463" t="n">
        <x:f>SUM(AC7:AG7)</x:f>
        <x:v>824.5</x:v>
      </x:c>
      <x:c r="Q7" s="463" t="n">
        <x:f>P7*N7*O7</x:f>
        <x:v>1798.0696</x:v>
      </x:c>
      <x:c r="R7" s="463" t="n">
        <x:v>7150.881422666667</x:v>
      </x:c>
      <x:c r="S7" s="238" t="n">
        <x:f>Q7/R7</x:f>
        <x:v>0.25144726834660247</x:v>
      </x:c>
      <x:c r="T7" s="463" t="n">
        <x:f>MAX(0,R7-Q7)</x:f>
        <x:v>5352.8118226666675</x:v>
      </x:c>
      <x:c r="U7" t="str">
        <x:f>IF(L7&gt;=700,"표준 가능",IF(K7-I7&gt;=700,"숙련 가능","과투자"))</x:f>
        <x:v>표준 가능</x:v>
      </x:c>
      <x:c r="V7" t="str">
        <x:v>4신화+1전설. 영웅 대공 판정 미정이라 대공 구조물 병행.</x:v>
      </x:c>
      <x:c r="X7" t="n">
        <x:v>730</x:v>
      </x:c>
      <x:c r="Y7" t="n">
        <x:v>1245</x:v>
      </x:c>
      <x:c r="Z7" t="n">
        <x:v>1655</x:v>
      </x:c>
      <x:c r="AA7" t="n">
        <x:v>1617</x:v>
      </x:c>
      <x:c r="AB7" t="n">
        <x:v>2049</x:v>
      </x:c>
      <x:c r="AC7" t="n">
        <x:v>66</x:v>
      </x:c>
      <x:c r="AD7" t="n">
        <x:v>202.4</x:v>
      </x:c>
      <x:c r="AE7" t="n">
        <x:v>154</x:v>
      </x:c>
      <x:c r="AF7" t="n">
        <x:v>230.1</x:v>
      </x:c>
      <x:c r="AG7" t="n">
        <x:v>172</x:v>
      </x:c>
    </x:row>
    <x:row r="8">
      <x:c r="A8" t="n">
        <x:v>30</x:v>
      </x:c>
      <x:c r="B8" t="str">
        <x:v>Normal 최종</x:v>
      </x:c>
      <x:c r="C8" t="str">
        <x:v>아리아</x:v>
      </x:c>
      <x:c r="D8" t="str">
        <x:v>미아</x:v>
      </x:c>
      <x:c r="E8" t="str">
        <x:v>니아</x:v>
      </x:c>
      <x:c r="F8" t="str">
        <x:v>오로라</x:v>
      </x:c>
      <x:c r="G8" t="str">
        <x:v>클로에</x:v>
      </x:c>
      <x:c r="H8" t="str">
        <x:v>신화4+전설1</x:v>
      </x:c>
      <x:c r="I8" s="564" t="n">
        <x:f>SUM(X8:AB8)</x:f>
        <x:v>7399</x:v>
      </x:c>
      <x:c r="J8" s="564" t="n">
        <x:v>8418</x:v>
      </x:c>
      <x:c r="K8" s="564" t="n">
        <x:v>8919</x:v>
      </x:c>
      <x:c r="L8" s="564" t="n">
        <x:f>J8-I8</x:f>
        <x:v>1019</x:v>
      </x:c>
      <x:c r="M8" t="n">
        <x:v>58</x:v>
      </x:c>
      <x:c r="N8" s="458" t="n">
        <x:v>1.65</x:v>
      </x:c>
      <x:c r="O8" s="458" t="n">
        <x:v>1.3765</x:v>
      </x:c>
      <x:c r="P8" s="463" t="n">
        <x:f>SUM(AC8:AG8)</x:f>
        <x:v>859.8</x:v>
      </x:c>
      <x:c r="Q8" s="463" t="n">
        <x:f>P8*N8*O8</x:f>
        <x:v>1952.799255</x:v>
      </x:c>
      <x:c r="R8" s="463" t="n">
        <x:v>8080.131614</x:v>
      </x:c>
      <x:c r="S8" s="238" t="n">
        <x:f>Q8/R8</x:f>
        <x:v>0.2416791394358592</x:v>
      </x:c>
      <x:c r="T8" s="463" t="n">
        <x:f>MAX(0,R8-Q8)</x:f>
        <x:v>6127.332359</x:v>
      </x:c>
      <x:c r="U8" t="str">
        <x:f>IF(L8&gt;=700,"표준 가능",IF(K8-I8&gt;=700,"숙련 가능","과투자"))</x:f>
        <x:v>표준 가능</x:v>
      </x:c>
      <x:c r="V8" t="str">
        <x:v>4신화+1전설. 보스딜+광역+버프 균형.</x:v>
      </x:c>
      <x:c r="X8" t="n">
        <x:v>730</x:v>
      </x:c>
      <x:c r="Y8" t="n">
        <x:v>1245</x:v>
      </x:c>
      <x:c r="Z8" t="n">
        <x:v>1991</x:v>
      </x:c>
      <x:c r="AA8" t="n">
        <x:v>1617</x:v>
      </x:c>
      <x:c r="AB8" t="n">
        <x:v>1816</x:v>
      </x:c>
      <x:c r="AC8" t="n">
        <x:v>66</x:v>
      </x:c>
      <x:c r="AD8" t="n">
        <x:v>202.4</x:v>
      </x:c>
      <x:c r="AE8" t="n">
        <x:v>195.3</x:v>
      </x:c>
      <x:c r="AF8" t="n">
        <x:v>230.1</x:v>
      </x:c>
      <x:c r="AG8" t="n">
        <x:v>166</x:v>
      </x:c>
    </x:row>
    <x:row r="12">
      <x:c r="A12" s="567" t="str">
        <x:v>Stage 29~30 대체 신화 빌드</x:v>
      </x:c>
      <x:c r="B12" s="567"/>
      <x:c r="C12" s="567"/>
      <x:c r="D12" s="567"/>
      <x:c r="E12" s="567"/>
      <x:c r="F12" s="567"/>
      <x:c r="G12" s="567"/>
      <x:c r="H12" s="567"/>
      <x:c r="I12" s="567"/>
      <x:c r="J12" s="567"/>
      <x:c r="K12" s="567"/>
      <x:c r="L12" s="567"/>
      <x:c r="M12" s="567"/>
      <x:c r="N12" s="567"/>
      <x:c r="O12" s="567"/>
      <x:c r="P12" s="567"/>
      <x:c r="Q12" s="567"/>
      <x:c r="R12" s="567"/>
      <x:c r="S12" s="567"/>
      <x:c r="T12" s="567"/>
      <x:c r="U12" s="567"/>
      <x:c r="V12" s="567"/>
    </x:row>
    <x:row r="13">
      <x:c r="A13" s="570" t="str">
        <x:v>빌드</x:v>
      </x:c>
      <x:c r="B13" s="570" t="str">
        <x:v>영웅1</x:v>
      </x:c>
      <x:c r="C13" s="570" t="str">
        <x:v>영웅2</x:v>
      </x:c>
      <x:c r="D13" s="570" t="str">
        <x:v>영웅3</x:v>
      </x:c>
      <x:c r="E13" s="570" t="str">
        <x:v>영웅4</x:v>
      </x:c>
      <x:c r="F13" s="570" t="str">
        <x:v>영웅5</x:v>
      </x:c>
      <x:c r="G13" s="570" t="str">
        <x:v>구성</x:v>
      </x:c>
      <x:c r="H13" s="570" t="str">
        <x:v>총원가</x:v>
      </x:c>
      <x:c r="I13" s="570" t="str">
        <x:v>Stage30 표준G 잔여</x:v>
      </x:c>
      <x:c r="J13" s="570" t="str">
        <x:v>주역할</x:v>
      </x:c>
      <x:c r="K13" s="570" t="str">
        <x:v>추천 상황</x:v>
      </x:c>
      <x:c r="L13" s="570" t="str">
        <x:v>아리아 처리</x:v>
      </x:c>
      <x:c r="M13" s="570" t="str">
        <x:v>경제 판정</x:v>
      </x:c>
      <x:c r="N13" s="570" t="str">
        <x:v>주의</x:v>
      </x:c>
    </x:row>
    <x:row r="14">
      <x:c r="A14" s="42" t="str">
        <x:v>보스 특화</x:v>
      </x:c>
      <x:c r="B14" s="42" t="str">
        <x:v>아리아</x:v>
      </x:c>
      <x:c r="C14" s="42" t="str">
        <x:v>카린</x:v>
      </x:c>
      <x:c r="D14" s="42" t="str">
        <x:v>니아</x:v>
      </x:c>
      <x:c r="E14" s="42" t="str">
        <x:v>비올라</x:v>
      </x:c>
      <x:c r="F14" s="42" t="str">
        <x:v>루나</x:v>
      </x:c>
      <x:c r="G14" s="42" t="str">
        <x:v>신화3+전설2</x:v>
      </x:c>
      <x:c r="H14" s="338" t="n">
        <x:v>7511</x:v>
      </x:c>
      <x:c r="I14" s="338" t="n">
        <x:v>907</x:v>
      </x:c>
      <x:c r="J14" s="42" t="str">
        <x:v>단일보스/디버프/제어</x:v>
      </x:c>
      <x:c r="K14" s="42" t="str">
        <x:v>고HP·회복·고방어 보스</x:v>
      </x:c>
      <x:c r="L14" s="42" t="str">
        <x:v>유지</x:v>
      </x:c>
      <x:c r="M14" s="42" t="str">
        <x:v>표준 가능</x:v>
      </x:c>
      <x:c r="N14" s="42" t="str">
        <x:v>광역 정리는 구조물이 보완</x:v>
      </x:c>
    </x:row>
    <x:row r="15">
      <x:c r="A15" s="42" t="str">
        <x:v>다중경로 폭파</x:v>
      </x:c>
      <x:c r="B15" s="42" t="str">
        <x:v>아리아</x:v>
      </x:c>
      <x:c r="C15" s="42" t="str">
        <x:v>샤샤</x:v>
      </x:c>
      <x:c r="D15" s="42" t="str">
        <x:v>네온</x:v>
      </x:c>
      <x:c r="E15" s="42" t="str">
        <x:v>오로라</x:v>
      </x:c>
      <x:c r="F15" s="42" t="str">
        <x:v>이브</x:v>
      </x:c>
      <x:c r="G15" s="42" t="str">
        <x:v>신화4+전설1</x:v>
      </x:c>
      <x:c r="H15" s="338" t="n">
        <x:v>8151</x:v>
      </x:c>
      <x:c r="I15" s="338" t="n">
        <x:v>267</x:v>
      </x:c>
      <x:c r="J15" s="42" t="str">
        <x:v>광역/속성/시간제어</x:v>
      </x:c>
      <x:c r="K15" s="42" t="str">
        <x:v>4경로·물량 스테이지</x:v>
      </x:c>
      <x:c r="L15" s="42" t="str">
        <x:v>유지</x:v>
      </x:c>
      <x:c r="M15" s="42" t="str">
        <x:v>숙련 가능</x:v>
      </x:c>
      <x:c r="N15" s="42" t="str">
        <x:v>원가가 높아 표준 W9 골드에 매우 타이트</x:v>
      </x:c>
    </x:row>
    <x:row r="16">
      <x:c r="A16" s="42" t="str">
        <x:v>방벽 특화</x:v>
      </x:c>
      <x:c r="B16" s="42" t="str">
        <x:v>아리아</x:v>
      </x:c>
      <x:c r="C16" s="42" t="str">
        <x:v>아델</x:v>
      </x:c>
      <x:c r="D16" s="42" t="str">
        <x:v>클로에</x:v>
      </x:c>
      <x:c r="E16" s="42" t="str">
        <x:v>루나</x:v>
      </x:c>
      <x:c r="F16" s="42" t="str">
        <x:v>미아</x:v>
      </x:c>
      <x:c r="G16" s="42" t="str">
        <x:v>신화4+전설1</x:v>
      </x:c>
      <x:c r="H16" s="338" t="n">
        <x:v>7360</x:v>
      </x:c>
      <x:c r="I16" s="338" t="n">
        <x:v>1058</x:v>
      </x:c>
      <x:c r="J16" s="42" t="str">
        <x:v>방벽/버프/제어</x:v>
      </x:c>
      <x:c r="K16" s="42" t="str">
        <x:v>방어벽 압박 보스</x:v>
      </x:c>
      <x:c r="L16" s="42" t="str">
        <x:v>아델 제작 후 아리아 재소환</x:v>
      </x:c>
      <x:c r="M16" s="42" t="str">
        <x:v>표준 가능</x:v>
      </x:c>
      <x:c r="N16" s="42" t="str">
        <x:v>아델 원가에 소모 아리아 포함, 살아있는 아리아는 재소환 필요</x:v>
      </x:c>
    </x:row>
    <x:row r="17">
      <x:c r="A17" s="42" t="str">
        <x:v>경제/범용</x:v>
      </x:c>
      <x:c r="B17" s="42" t="str">
        <x:v>아리아</x:v>
      </x:c>
      <x:c r="C17" s="42" t="str">
        <x:v>미아</x:v>
      </x:c>
      <x:c r="D17" s="42" t="str">
        <x:v>벨</x:v>
      </x:c>
      <x:c r="E17" s="42" t="str">
        <x:v>오로라</x:v>
      </x:c>
      <x:c r="F17" s="42" t="str">
        <x:v>클로에</x:v>
      </x:c>
      <x:c r="G17" s="42" t="str">
        <x:v>신화4+전설1</x:v>
      </x:c>
      <x:c r="H17" s="338" t="n">
        <x:v>7063</x:v>
      </x:c>
      <x:c r="I17" s="338" t="n">
        <x:v>1355</x:v>
      </x:c>
      <x:c r="J17" s="42" t="str">
        <x:v>경제/제어/광역/버프</x:v>
      </x:c>
      <x:c r="K17" s="42" t="str">
        <x:v>파밍 안정성과 범용성</x:v>
      </x:c>
      <x:c r="L17" s="42" t="str">
        <x:v>유지</x:v>
      </x:c>
      <x:c r="M17" s="42" t="str">
        <x:v>표준 가능</x:v>
      </x:c>
      <x:c r="N17" s="42" t="str">
        <x:v>순수 보스딜은 니아/카린 빌드보다 낮음</x:v>
      </x:c>
    </x:row>
    <x:row r="20">
      <x:c r="A20" s="573" t="str">
        <x:v>Stage 21~30 보스별 5영웅 운용 포인트</x:v>
      </x:c>
      <x:c r="B20" s="573"/>
      <x:c r="C20" s="573"/>
      <x:c r="D20" s="573"/>
      <x:c r="E20" s="573"/>
      <x:c r="F20" s="573"/>
      <x:c r="G20" s="573"/>
      <x:c r="H20" s="573"/>
      <x:c r="I20" s="573"/>
      <x:c r="J20" s="573"/>
      <x:c r="K20" s="573"/>
      <x:c r="L20" s="573"/>
      <x:c r="M20" s="573"/>
      <x:c r="N20" s="573"/>
      <x:c r="O20" s="573"/>
      <x:c r="P20" s="573"/>
      <x:c r="Q20" s="573"/>
      <x:c r="R20" s="573"/>
      <x:c r="S20" s="573"/>
      <x:c r="T20" s="573"/>
      <x:c r="U20" s="573"/>
      <x:c r="V20" s="573"/>
    </x:row>
    <x:row r="21">
      <x:c r="A21" s="576" t="str">
        <x:v>Stage</x:v>
      </x:c>
      <x:c r="B21" s="576" t="str">
        <x:v>보스</x:v>
      </x:c>
      <x:c r="C21" s="576" t="str">
        <x:v>보스 특성</x:v>
      </x:c>
      <x:c r="D21" s="576" t="str">
        <x:v>기본 빌드</x:v>
      </x:c>
      <x:c r="E21" s="576" t="str">
        <x:v>우선 역할</x:v>
      </x:c>
      <x:c r="F21" s="576" t="str">
        <x:v>교체 후보</x:v>
      </x:c>
      <x:c r="G21" s="576" t="str">
        <x:v>대공</x:v>
      </x:c>
      <x:c r="H21" s="576" t="str">
        <x:v>판정</x:v>
      </x:c>
      <x:c r="I21" s="576" t="str">
        <x:v>메모</x:v>
      </x:c>
      <x:c r="K21" s="576" t="str">
        <x:v>체크</x:v>
      </x:c>
      <x:c r="L21" s="576" t="str">
        <x:v>Stage21</x:v>
      </x:c>
      <x:c r="M21" s="576" t="str">
        <x:v>Stage25</x:v>
      </x:c>
      <x:c r="N21" s="576" t="str">
        <x:v>Stage26</x:v>
      </x:c>
      <x:c r="O21" s="576" t="str">
        <x:v>Stage29</x:v>
      </x:c>
      <x:c r="P21" s="576" t="str">
        <x:v>Stage30</x:v>
      </x:c>
      <x:c r="Q21" s="576" t="str">
        <x:v>원칙</x:v>
      </x:c>
      <x:c r="R21" s="576" t="str">
        <x:v>표준</x:v>
      </x:c>
      <x:c r="S21" s="576" t="str">
        <x:v>숙련</x:v>
      </x:c>
      <x:c r="T21" s="576" t="str">
        <x:v>리스크</x:v>
      </x:c>
      <x:c r="U21" s="576" t="str">
        <x:v>결론</x:v>
      </x:c>
      <x:c r="V21" s="576" t="str">
        <x:v>후속</x:v>
      </x:c>
    </x:row>
    <x:row r="22">
      <x:c r="A22" s="42" t="n">
        <x:v>21</x:v>
      </x:c>
      <x:c r="B22" s="42" t="str">
        <x:v>배교성기사 라미엘</x:v>
      </x:c>
      <x:c r="C22" s="42" t="str">
        <x:v>중갑·성광</x:v>
      </x:c>
      <x:c r="D22" s="42" t="str">
        <x:v>표준 균형</x:v>
      </x:c>
      <x:c r="E22" s="42" t="str">
        <x:v>중갑 대응+제어</x:v>
      </x:c>
      <x:c r="F22" s="42" t="str">
        <x:v>카린→에리카</x:v>
      </x:c>
      <x:c r="G22" s="42" t="str">
        <x:v>해당없음</x:v>
      </x:c>
      <x:c r="H22" s="42" t="str">
        <x:v>유지</x:v>
      </x:c>
      <x:c r="I22" s="42" t="str">
        <x:v>중갑/방벽압박이면 근접 중갑 대응 강화</x:v>
      </x:c>
      <x:c r="K22" s="42" t="str">
        <x:v>W9 표준골드</x:v>
      </x:c>
      <x:c r="L22" s="338" t="n">
        <x:v>7386</x:v>
      </x:c>
      <x:c r="M22" s="338" t="n">
        <x:v>8027</x:v>
      </x:c>
      <x:c r="N22" s="338" t="n">
        <x:v>7652</x:v>
      </x:c>
      <x:c r="O22" s="338" t="n">
        <x:v>8038</x:v>
      </x:c>
      <x:c r="P22" s="338" t="n">
        <x:v>8418</x:v>
      </x:c>
      <x:c r="Q22" s="42" t="str">
        <x:v>영웅+방어선 동시운영</x:v>
      </x:c>
      <x:c r="R22" s="42" t="str">
        <x:v>700G 이상 잔여 목표</x:v>
      </x:c>
      <x:c r="S22" s="42" t="str">
        <x:v>고경제는 4~5신화</x:v>
      </x:c>
      <x:c r="T22" s="42" t="str">
        <x:v>원가 과투자</x:v>
      </x:c>
      <x:c r="U22" s="42" t="str">
        <x:v>타이트 유지</x:v>
      </x:c>
      <x:c r="V22" s="42" t="str">
        <x:v>엔진 골드소모 재검증</x:v>
      </x:c>
    </x:row>
    <x:row r="23">
      <x:c r="A23" s="42" t="n">
        <x:v>22</x:v>
      </x:c>
      <x:c r="B23" s="42" t="str">
        <x:v>성당의 가고일왕 그레고르</x:v>
      </x:c>
      <x:c r="C23" s="42" t="str">
        <x:v>공중·석화</x:v>
      </x:c>
      <x:c r="D23" s="42" t="str">
        <x:v>표준 균형</x:v>
      </x:c>
      <x:c r="E23" s="42" t="str">
        <x:v>공중 대응</x:v>
      </x:c>
      <x:c r="F23" s="42" t="str">
        <x:v>카린→네온</x:v>
      </x:c>
      <x:c r="G23" s="42" t="str">
        <x:v>구조물 필수</x:v>
      </x:c>
      <x:c r="H23" s="42" t="str">
        <x:v>주의</x:v>
      </x:c>
      <x:c r="I23" s="42" t="str">
        <x:v>영웅 공중 타겟 판정 미정. 저격/연사/마력 계열로 대공 보증</x:v>
      </x:c>
      <x:c r="K23" s="42" t="str">
        <x:v>표준 빌드 원가</x:v>
      </x:c>
      <x:c r="L23" s="338" t="n">
        <x:v>5977</x:v>
      </x:c>
      <x:c r="M23" s="338" t="n">
        <x:v>5977</x:v>
      </x:c>
      <x:c r="N23" s="338" t="n">
        <x:v>5977</x:v>
      </x:c>
      <x:c r="O23" s="338" t="n">
        <x:v>7296</x:v>
      </x:c>
      <x:c r="P23" s="338" t="n">
        <x:v>7399</x:v>
      </x:c>
      <x:c r="Q23" s="42" t="str">
        <x:v>3신화→4신화 점진전환</x:v>
      </x:c>
      <x:c r="R23" s="42" t="str">
        <x:v>3신화+2전설</x:v>
      </x:c>
      <x:c r="S23" s="42" t="str">
        <x:v>4신화+1전설</x:v>
      </x:c>
      <x:c r="T23" s="42" t="str">
        <x:v>Stage29 이전 4신화 무리</x:v>
      </x:c>
      <x:c r="U23" s="42" t="str">
        <x:v>의도 일치</x:v>
      </x:c>
      <x:c r="V23" s="42" t="str">
        <x:v>계정패시브 반영</x:v>
      </x:c>
    </x:row>
    <x:row r="24">
      <x:c r="A24" s="42" t="n">
        <x:v>23</x:v>
      </x:c>
      <x:c r="B24" s="42" t="str">
        <x:v>순교자 세베라</x:v>
      </x:c>
      <x:c r="C24" s="42" t="str">
        <x:v>사망버프·증원</x:v>
      </x:c>
      <x:c r="D24" s="42" t="str">
        <x:v>표준 균형</x:v>
      </x:c>
      <x:c r="E24" s="42" t="str">
        <x:v>증원/광역</x:v>
      </x:c>
      <x:c r="F24" s="42" t="str">
        <x:v>카린→샤샤</x:v>
      </x:c>
      <x:c r="G24" s="42" t="str">
        <x:v>해당없음</x:v>
      </x:c>
      <x:c r="H24" s="42" t="str">
        <x:v>유지</x:v>
      </x:c>
      <x:c r="I24" s="42" t="str">
        <x:v>증원 물량이면 폭파형 우위</x:v>
      </x:c>
      <x:c r="K24" s="42" t="str">
        <x:v>표준 잔여골드</x:v>
      </x:c>
      <x:c r="L24" s="338" t="n">
        <x:v>1409</x:v>
      </x:c>
      <x:c r="M24" s="338" t="n">
        <x:v>2050</x:v>
      </x:c>
      <x:c r="N24" s="338" t="n">
        <x:v>1675</x:v>
      </x:c>
      <x:c r="O24" s="338" t="n">
        <x:v>742</x:v>
      </x:c>
      <x:c r="P24" s="338" t="n">
        <x:v>1019</x:v>
      </x:c>
      <x:c r="Q24" s="42" t="str">
        <x:v>700~1400G 선호</x:v>
      </x:c>
      <x:c r="R24" s="42" t="str">
        <x:v>방어선/성급 유지</x:v>
      </x:c>
      <x:c r="S24" s="42" t="str">
        <x:v>숙련은 추가 신화</x:v>
      </x:c>
      <x:c r="T24" s="42" t="str">
        <x:v>Stage29 742G</x:v>
      </x:c>
      <x:c r="U24" s="42" t="str">
        <x:v>허용</x:v>
      </x:c>
      <x:c r="V24" s="42" t="str">
        <x:v>실전 배치비 확인</x:v>
      </x:c>
    </x:row>
    <x:row r="25">
      <x:c r="A25" s="42" t="n">
        <x:v>24</x:v>
      </x:c>
      <x:c r="B25" s="42" t="str">
        <x:v>성유물폭주체 렐릭스</x:v>
      </x:c>
      <x:c r="C25" s="42" t="str">
        <x:v>고방어·마력</x:v>
      </x:c>
      <x:c r="D25" s="42" t="str">
        <x:v>표준 균형</x:v>
      </x:c>
      <x:c r="E25" s="42" t="str">
        <x:v>고방어/마력</x:v>
      </x:c>
      <x:c r="F25" s="42" t="str">
        <x:v>카린→니아</x:v>
      </x:c>
      <x:c r="G25" s="42" t="str">
        <x:v>해당없음</x:v>
      </x:c>
      <x:c r="H25" s="42" t="str">
        <x:v>유지</x:v>
      </x:c>
      <x:c r="I25" s="42" t="str">
        <x:v>방깎/보스 디버프 효율</x:v>
      </x:c>
    </x:row>
    <x:row r="26">
      <x:c r="A26" s="42" t="n">
        <x:v>25</x:v>
      </x:c>
      <x:c r="B26" s="42" t="str">
        <x:v>검은대주교 말키엘</x:v>
      </x:c>
      <x:c r="C26" s="42" t="str">
        <x:v>버프·침묵</x:v>
      </x:c>
      <x:c r="D26" s="42" t="str">
        <x:v>교황령 마감</x:v>
      </x:c>
      <x:c r="E26" s="42" t="str">
        <x:v>침묵/버프</x:v>
      </x:c>
      <x:c r="F26" s="42" t="str">
        <x:v>카린→이브</x:v>
      </x:c>
      <x:c r="G26" s="42" t="str">
        <x:v>해당없음</x:v>
      </x:c>
      <x:c r="H26" s="42" t="str">
        <x:v>유지</x:v>
      </x:c>
      <x:c r="I26" s="42" t="str">
        <x:v>시간제어로 스킬 템포 지연</x:v>
      </x:c>
    </x:row>
    <x:row r="27">
      <x:c r="A27" s="42" t="n">
        <x:v>26</x:v>
      </x:c>
      <x:c r="B27" s="42" t="str">
        <x:v>황실골렘 아르카논</x:v>
      </x:c>
      <x:c r="C27" s="42" t="str">
        <x:v>종합형</x:v>
      </x:c>
      <x:c r="D27" s="42" t="str">
        <x:v>상드라크 진입</x:v>
      </x:c>
      <x:c r="E27" s="42" t="str">
        <x:v>종합 대응</x:v>
      </x:c>
      <x:c r="F27" s="42" t="str">
        <x:v>카린→니아</x:v>
      </x:c>
      <x:c r="G27" s="42" t="str">
        <x:v>해당없음</x:v>
      </x:c>
      <x:c r="H27" s="42" t="str">
        <x:v>유지</x:v>
      </x:c>
      <x:c r="I27" s="42" t="str">
        <x:v>새 지역 첫 성장체크</x:v>
      </x:c>
    </x:row>
    <x:row r="28">
      <x:c r="A28" s="42" t="n">
        <x:v>27</x:v>
      </x:c>
      <x:c r="B28" s="42" t="str">
        <x:v>반역장군 드라켄</x:v>
      </x:c>
      <x:c r="C28" s="42" t="str">
        <x:v>지휘·증원</x:v>
      </x:c>
      <x:c r="D28" s="42" t="str">
        <x:v>상드라크 진입</x:v>
      </x:c>
      <x:c r="E28" s="42" t="str">
        <x:v>증원/방벽압박</x:v>
      </x:c>
      <x:c r="F28" s="42" t="str">
        <x:v>미아→클로에</x:v>
      </x:c>
      <x:c r="G28" s="42" t="str">
        <x:v>해당없음</x:v>
      </x:c>
      <x:c r="H28" s="42" t="str">
        <x:v>유지</x:v>
      </x:c>
      <x:c r="I28" s="42" t="str">
        <x:v>버프와 템포 안정</x:v>
      </x:c>
    </x:row>
    <x:row r="29">
      <x:c r="A29" s="42" t="n">
        <x:v>28</x:v>
      </x:c>
      <x:c r="B29" s="42" t="str">
        <x:v>실험체 제로</x:v>
      </x:c>
      <x:c r="C29" s="42" t="str">
        <x:v>폭주·변이</x:v>
      </x:c>
      <x:c r="D29" s="42" t="str">
        <x:v>상드라크 진입</x:v>
      </x:c>
      <x:c r="E29" s="42" t="str">
        <x:v>재생/폭주</x:v>
      </x:c>
      <x:c r="F29" s="42" t="str">
        <x:v>벨→비올라</x:v>
      </x:c>
      <x:c r="G29" s="42" t="str">
        <x:v>해당없음</x:v>
      </x:c>
      <x:c r="H29" s="42" t="str">
        <x:v>유지</x:v>
      </x:c>
      <x:c r="I29" s="42" t="str">
        <x:v>지속딜/방깎으로 재생 대응</x:v>
      </x:c>
    </x:row>
    <x:row r="30">
      <x:c r="A30" s="42" t="n">
        <x:v>29</x:v>
      </x:c>
      <x:c r="B30" s="42" t="str">
        <x:v>공중요새 코르부스</x:v>
      </x:c>
      <x:c r="C30" s="42" t="str">
        <x:v>공중·광역</x:v>
      </x:c>
      <x:c r="D30" s="42" t="str">
        <x:v>공중요새 대응</x:v>
      </x:c>
      <x:c r="E30" s="42" t="str">
        <x:v>공중/광역</x:v>
      </x:c>
      <x:c r="F30" s="42" t="str">
        <x:v>벨→네온</x:v>
      </x:c>
      <x:c r="G30" s="42" t="str">
        <x:v>구조물 필수</x:v>
      </x:c>
      <x:c r="H30" s="42" t="str">
        <x:v>주의</x:v>
      </x:c>
      <x:c r="I30" s="42" t="str">
        <x:v>영웅 대공 규칙 확정 전 대공 구조물 필수</x:v>
      </x:c>
    </x:row>
    <x:row r="31">
      <x:c r="A31" s="42" t="n">
        <x:v>30</x:v>
      </x:c>
      <x:c r="B31" s="42" t="str">
        <x:v>균열군주 네메시스</x:v>
      </x:c>
      <x:c r="C31" s="42" t="str">
        <x:v>심연·최종</x:v>
      </x:c>
      <x:c r="D31" s="42" t="str">
        <x:v>Normal 최종</x:v>
      </x:c>
      <x:c r="E31" s="42" t="str">
        <x:v>심연/HP흡수</x:v>
      </x:c>
      <x:c r="F31" s="42" t="str">
        <x:v>미아→비올라</x:v>
      </x:c>
      <x:c r="G31" s="42" t="str">
        <x:v>해당없음</x:v>
      </x:c>
      <x:c r="H31" s="42" t="str">
        <x:v>유지</x:v>
      </x:c>
      <x:c r="I31" s="42" t="str">
        <x:v>니아+버퍼+광역축으로 최종보스 대응</x:v>
      </x:c>
    </x:row>
    <x:row r="34">
      <x:c r="K34" t="str">
        <x:v>Stage</x:v>
      </x:c>
      <x:c r="L34" t="str">
        <x:v>영웅분담률</x:v>
      </x:c>
      <x:c r="M34" t="str">
        <x:v>표준 잔여G</x:v>
      </x:c>
    </x:row>
    <x:row r="35">
      <x:c r="K35" t="n">
        <x:f>A4</x:f>
        <x:v>21</x:v>
      </x:c>
      <x:c r="L35" t="n">
        <x:f>S4</x:f>
        <x:v>0.5072228514740149</x:v>
      </x:c>
      <x:c r="M35" t="n">
        <x:f>L4</x:f>
        <x:v>1409</x:v>
      </x:c>
    </x:row>
    <x:row r="36">
      <x:c r="K36" t="n">
        <x:f>A5</x:f>
        <x:v>25</x:v>
      </x:c>
      <x:c r="L36" t="n">
        <x:f>S5</x:f>
        <x:v>0.3526558754083947</x:v>
      </x:c>
      <x:c r="M36" t="n">
        <x:f>L5</x:f>
        <x:v>2050</x:v>
      </x:c>
    </x:row>
    <x:row r="37">
      <x:c r="K37" t="n">
        <x:f>A6</x:f>
        <x:v>26</x:v>
      </x:c>
      <x:c r="L37" t="n">
        <x:f>S6</x:f>
        <x:v>0.3058554481331746</x:v>
      </x:c>
      <x:c r="M37" t="n">
        <x:f>L6</x:f>
        <x:v>1675</x:v>
      </x:c>
    </x:row>
    <x:row r="38">
      <x:c r="K38" t="n">
        <x:f>A7</x:f>
        <x:v>29</x:v>
      </x:c>
      <x:c r="L38" t="n">
        <x:f>S7</x:f>
        <x:v>0.25144726834660247</x:v>
      </x:c>
      <x:c r="M38" t="n">
        <x:f>L7</x:f>
        <x:v>742</x:v>
      </x:c>
    </x:row>
    <x:row r="39">
      <x:c r="K39" t="n">
        <x:f>A8</x:f>
        <x:v>30</x:v>
      </x:c>
      <x:c r="L39" t="n">
        <x:f>S8</x:f>
        <x:v>0.2416791394358592</x:v>
      </x:c>
      <x:c r="M39" t="n">
        <x:f>L8</x:f>
        <x:v>1019</x:v>
      </x:c>
    </x:row>
  </x:sheetData>
  <x:mergeCells>
    <x:mergeCell ref="A1:V1"/>
    <x:mergeCell ref="A12:V12"/>
    <x:mergeCell ref="A20:V20"/>
  </x:mergeCells>
  <x:conditionalFormatting sqref="L4:L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S4:S8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{2F2C493A-3AD0-BD71-5729-6B512763F3FC}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348598c4f1c472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F2C493A-3AD0-BD71-5729-6B512763F3FC}">
            <x14:dataBar gradient="1">
              <x14:cfvo type="min"/>
              <x14:cfvo type="max"/>
              <x14:fillColor rgb="FFA02B93"/>
            </x14:dataBar>
          </x14:cfRule>
          <xm:sqref>S4:S8</xm:sqref>
        </x14:conditionalFormatting>
      </x14:conditionalFormattings>
    </x:ext>
  </x:extLst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0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38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2" hidden="0" customWidth="1"/>
    <x:col min="14" max="14" width="36" hidden="0" customWidth="1"/>
    <x:col min="15" max="15" width="15" hidden="0" customWidth="1"/>
    <x:col min="16" max="16" width="15" hidden="0" customWidth="1"/>
    <x:col min="17" max="17" width="15" hidden="0" customWidth="1"/>
    <x:col min="18" max="18" width="14" hidden="0" customWidth="1"/>
    <x:col min="19" max="19" width="12" hidden="0" customWidth="1"/>
    <x:col min="20" max="20" width="17" hidden="0" customWidth="1"/>
    <x:col min="21" max="21" width="18" hidden="0" customWidth="1"/>
    <x:col min="22" max="22" width="24" hidden="0" customWidth="1"/>
    <x:col min="23" max="23" width="42" hidden="0" customWidth="1"/>
  </x:cols>
  <x:sheetData>
    <x:row r="1">
      <x:c r="A1" s="580" t="str">
        <x:v>HARD 31~36 — 구버전 검수 보존 / Stage31~33는 V3.3 재설계로 대체</x:v>
      </x:c>
      <x:c r="B1" s="580"/>
      <x:c r="C1" s="580"/>
      <x:c r="D1" s="580"/>
      <x:c r="E1" s="580"/>
      <x:c r="F1" s="580"/>
      <x:c r="G1" s="580"/>
      <x:c r="H1" s="580"/>
      <x:c r="I1" s="580"/>
      <x:c r="J1" s="580"/>
      <x:c r="K1" s="580"/>
      <x:c r="L1" s="580"/>
      <x:c r="M1" s="580"/>
      <x:c r="N1" s="580"/>
      <x:c r="O1" s="580"/>
      <x:c r="P1" s="580"/>
      <x:c r="Q1" s="580"/>
      <x:c r="R1" s="580"/>
      <x:c r="S1" s="580"/>
      <x:c r="T1" s="580"/>
      <x:c r="U1" s="580"/>
      <x:c r="V1" s="580"/>
      <x:c r="W1" s="580"/>
    </x:row>
    <x:row r="3">
      <x:c r="A3" s="584" t="str">
        <x:v>Stage</x:v>
      </x:c>
      <x:c r="B3" s="584" t="str">
        <x:v>보스</x:v>
      </x:c>
      <x:c r="C3" s="584" t="str">
        <x:v>권장Lv</x:v>
      </x:c>
      <x:c r="D3" s="584" t="str">
        <x:v>W9 표준G</x:v>
      </x:c>
      <x:c r="E3" s="584" t="str">
        <x:v>W9 숙련G</x:v>
      </x:c>
      <x:c r="F3" s="584" t="str">
        <x:v>W10 총EHP</x:v>
      </x:c>
      <x:c r="G3" s="584" t="str">
        <x:v>30초 최소DPS</x:v>
      </x:c>
      <x:c r="H3" s="584" t="str">
        <x:v>표준 파티</x:v>
      </x:c>
      <x:c r="I3" s="584" t="str">
        <x:v>표준 영웅기여</x:v>
      </x:c>
      <x:c r="J3" s="584" t="str">
        <x:v>표준 지원기여</x:v>
      </x:c>
      <x:c r="K3" s="584" t="str">
        <x:v>표준 총DPS</x:v>
      </x:c>
      <x:c r="L3" s="584" t="str">
        <x:v>표준 예상초</x:v>
      </x:c>
      <x:c r="M3" s="584" t="str">
        <x:v>표준 판정</x:v>
      </x:c>
      <x:c r="N3" s="584" t="str">
        <x:v>최적 파티</x:v>
      </x:c>
      <x:c r="O3" s="584" t="str">
        <x:v>최적 영웅기여</x:v>
      </x:c>
      <x:c r="P3" s="584" t="str">
        <x:v>최적 지원기여</x:v>
      </x:c>
      <x:c r="Q3" s="584" t="str">
        <x:v>최적 총DPS</x:v>
      </x:c>
      <x:c r="R3" s="584" t="str">
        <x:v>최적 예상초</x:v>
      </x:c>
      <x:c r="S3" s="584" t="str">
        <x:v>최적 판정</x:v>
      </x:c>
      <x:c r="T3" s="584" t="str">
        <x:v>클리어에 필요한 추가배율</x:v>
      </x:c>
      <x:c r="U3" s="584" t="str">
        <x:v>현재 수치 판정</x:v>
      </x:c>
      <x:c r="V3" s="584" t="str">
        <x:v>실패 허용 해석</x:v>
      </x:c>
      <x:c r="W3" s="584" t="str">
        <x:v>비고</x:v>
      </x:c>
    </x:row>
    <x:row r="4">
      <x:c r="A4" s="42" t="n">
        <x:v>31</x:v>
      </x:c>
      <x:c r="B4" s="42" t="str">
        <x:v>타락한 철각왕 브라움</x:v>
      </x:c>
      <x:c r="C4" s="42" t="n">
        <x:v>65</x:v>
      </x:c>
      <x:c r="D4" s="587" t="n">
        <x:v>8688</x:v>
      </x:c>
      <x:c r="E4" s="587" t="n">
        <x:v>9196</x:v>
      </x:c>
      <x:c r="F4" s="587" t="n">
        <x:v>365011.90099999995</x:v>
      </x:c>
      <x:c r="G4" s="587" t="n">
        <x:v>12167.063366666665</x:v>
      </x:c>
      <x:c r="H4" s="42" t="str">
        <x:v>아리아+미아+니아+오로라+클로에</x:v>
      </x:c>
      <x:c r="I4" s="477" t="n">
        <x:v>2057.3638319999995</x:v>
      </x:c>
      <x:c r="J4" s="477" t="n">
        <x:v>3396.845992784</x:v>
      </x:c>
      <x:c r="K4" s="477" t="n">
        <x:v>5454.2098247839995</x:v>
      </x:c>
      <x:c r="L4" s="477" t="n">
        <x:v>66.92296642886403</x:v>
      </x:c>
      <x:c r="M4" s="42" t="str">
        <x:v>실패</x:v>
      </x:c>
      <x:c r="N4" s="42" t="str">
        <x:v>샤샤+니아+오로라+네온+이브</x:v>
      </x:c>
      <x:c r="O4" s="477" t="n">
        <x:v>2736.7556999999997</x:v>
      </x:c>
      <x:c r="P4" s="477" t="n">
        <x:v>3646.9205444000004</x:v>
      </x:c>
      <x:c r="Q4" s="477" t="n">
        <x:v>6383.6762444</x:v>
      </x:c>
      <x:c r="R4" s="477" t="n">
        <x:v>57.178949405556416</x:v>
      </x:c>
      <x:c r="S4" s="42" t="str">
        <x:v>실패</x:v>
      </x:c>
      <x:c r="T4" s="588" t="n">
        <x:v>1.9059649801852139</x:v>
      </x:c>
      <x:c r="U4" s="42" t="str">
        <x:v>구조적 부족</x:v>
      </x:c>
      <x:c r="V4" s="42" t="str">
        <x:v>실패 허용</x:v>
      </x:c>
      <x:c r="W4" s="42" t="str">
        <x:v>보스 스킬/경로분산 미반영이므로 실제는 더 어려울 수 있음</x:v>
      </x:c>
    </x:row>
    <x:row r="5">
      <x:c r="A5" s="42" t="n">
        <x:v>32</x:v>
      </x:c>
      <x:c r="B5" s="42" t="str">
        <x:v>침식된 광산왕 모르겐</x:v>
      </x:c>
      <x:c r="C5" s="42" t="n">
        <x:v>65</x:v>
      </x:c>
      <x:c r="D5" s="587" t="n">
        <x:v>8826</x:v>
      </x:c>
      <x:c r="E5" s="587" t="n">
        <x:v>9334</x:v>
      </x:c>
      <x:c r="F5" s="587" t="n">
        <x:v>421160.04839999997</x:v>
      </x:c>
      <x:c r="G5" s="587" t="n">
        <x:v>14038.66828</x:v>
      </x:c>
      <x:c r="H5" s="42" t="str">
        <x:v>아리아+미아+니아+오로라+클로에</x:v>
      </x:c>
      <x:c r="I5" s="477" t="n">
        <x:v>2057.3638319999995</x:v>
      </x:c>
      <x:c r="J5" s="477" t="n">
        <x:v>3396.845992784</x:v>
      </x:c>
      <x:c r="K5" s="477" t="n">
        <x:v>5454.2098247839995</x:v>
      </x:c>
      <x:c r="L5" s="477" t="n">
        <x:v>77.21742689220413</x:v>
      </x:c>
      <x:c r="M5" s="42" t="str">
        <x:v>실패</x:v>
      </x:c>
      <x:c r="N5" s="42" t="str">
        <x:v>샤샤+니아+오로라+네온+이브</x:v>
      </x:c>
      <x:c r="O5" s="477" t="n">
        <x:v>2736.7556999999997</x:v>
      </x:c>
      <x:c r="P5" s="477" t="n">
        <x:v>3646.9205444000004</x:v>
      </x:c>
      <x:c r="Q5" s="477" t="n">
        <x:v>6383.6762444</x:v>
      </x:c>
      <x:c r="R5" s="477" t="n">
        <x:v>65.97453133207647</x:v>
      </x:c>
      <x:c r="S5" s="42" t="str">
        <x:v>실패</x:v>
      </x:c>
      <x:c r="T5" s="588" t="n">
        <x:v>2.199151044402549</x:v>
      </x:c>
      <x:c r="U5" s="42" t="str">
        <x:v>구조적 부족</x:v>
      </x:c>
      <x:c r="V5" s="42" t="str">
        <x:v>연속 진행 실패는 성장/빌드 체크로 허용</x:v>
      </x:c>
      <x:c r="W5" s="42" t="str">
        <x:v>보스 스킬/경로분산 미반영이므로 실제는 더 어려울 수 있음</x:v>
      </x:c>
    </x:row>
    <x:row r="6">
      <x:c r="A6" s="42" t="n">
        <x:v>33</x:v>
      </x:c>
      <x:c r="B6" s="42" t="str">
        <x:v>침식에 물들은 서부의 설화</x:v>
      </x:c>
      <x:c r="C6" s="42" t="n">
        <x:v>65</x:v>
      </x:c>
      <x:c r="D6" s="587" t="n">
        <x:v>9248</x:v>
      </x:c>
      <x:c r="E6" s="587" t="n">
        <x:v>9756</x:v>
      </x:c>
      <x:c r="F6" s="587" t="n">
        <x:v>488030.9649999999</x:v>
      </x:c>
      <x:c r="G6" s="587" t="n">
        <x:v>16267.69883333333</x:v>
      </x:c>
      <x:c r="H6" s="42" t="str">
        <x:v>아리아+미아+니아+오로라+클로에</x:v>
      </x:c>
      <x:c r="I6" s="477" t="n">
        <x:v>2057.3638319999995</x:v>
      </x:c>
      <x:c r="J6" s="477" t="n">
        <x:v>3396.845992784</x:v>
      </x:c>
      <x:c r="K6" s="477" t="n">
        <x:v>5454.2098247839995</x:v>
      </x:c>
      <x:c r="L6" s="477" t="n">
        <x:v>89.47784934535906</x:v>
      </x:c>
      <x:c r="M6" s="42" t="str">
        <x:v>실패</x:v>
      </x:c>
      <x:c r="N6" s="42" t="str">
        <x:v>샤샤+니아+오로라+네온+이브</x:v>
      </x:c>
      <x:c r="O6" s="477" t="n">
        <x:v>2736.7556999999997</x:v>
      </x:c>
      <x:c r="P6" s="477" t="n">
        <x:v>3646.9205444000004</x:v>
      </x:c>
      <x:c r="Q6" s="477" t="n">
        <x:v>6383.6762444</x:v>
      </x:c>
      <x:c r="R6" s="477" t="n">
        <x:v>76.44983021000148</x:v>
      </x:c>
      <x:c r="S6" s="42" t="str">
        <x:v>실패</x:v>
      </x:c>
      <x:c r="T6" s="588" t="n">
        <x:v>2.548327673666716</x:v>
      </x:c>
      <x:c r="U6" s="42" t="str">
        <x:v>구조적 부족</x:v>
      </x:c>
      <x:c r="V6" s="42" t="str">
        <x:v>연속 진행 실패는 성장/빌드 체크로 허용</x:v>
      </x:c>
      <x:c r="W6" s="42" t="str">
        <x:v>보스 스킬/경로분산 미반영이므로 실제는 더 어려울 수 있음</x:v>
      </x:c>
    </x:row>
    <x:row r="7">
      <x:c r="A7" s="42" t="n">
        <x:v>34</x:v>
      </x:c>
      <x:c r="B7" s="42" t="str">
        <x:v>침식된 백야왕 펜리르</x:v>
      </x:c>
      <x:c r="C7" s="42" t="n">
        <x:v>65</x:v>
      </x:c>
      <x:c r="D7" s="587" t="n">
        <x:v>9131</x:v>
      </x:c>
      <x:c r="E7" s="587" t="n">
        <x:v>9639</x:v>
      </x:c>
      <x:c r="F7" s="587" t="n">
        <x:v>555601.0008</x:v>
      </x:c>
      <x:c r="G7" s="587" t="n">
        <x:v>18520.03336</x:v>
      </x:c>
      <x:c r="H7" s="42" t="str">
        <x:v>아리아+미아+니아+오로라+클로에</x:v>
      </x:c>
      <x:c r="I7" s="477" t="n">
        <x:v>2057.3638319999995</x:v>
      </x:c>
      <x:c r="J7" s="477" t="n">
        <x:v>3396.845992784</x:v>
      </x:c>
      <x:c r="K7" s="477" t="n">
        <x:v>5454.2098247839995</x:v>
      </x:c>
      <x:c r="L7" s="477" t="n">
        <x:v>101.8664515390189</x:v>
      </x:c>
      <x:c r="M7" s="42" t="str">
        <x:v>실패</x:v>
      </x:c>
      <x:c r="N7" s="42" t="str">
        <x:v>샤샤+니아+오로라+네온+이브</x:v>
      </x:c>
      <x:c r="O7" s="477" t="n">
        <x:v>2736.7556999999997</x:v>
      </x:c>
      <x:c r="P7" s="477" t="n">
        <x:v>3646.9205444000004</x:v>
      </x:c>
      <x:c r="Q7" s="477" t="n">
        <x:v>6383.6762444</x:v>
      </x:c>
      <x:c r="R7" s="477" t="n">
        <x:v>87.03464579479483</x:v>
      </x:c>
      <x:c r="S7" s="42" t="str">
        <x:v>실패</x:v>
      </x:c>
      <x:c r="T7" s="588" t="n">
        <x:v>2.901154859826494</x:v>
      </x:c>
      <x:c r="U7" s="42" t="str">
        <x:v>구조적 부족</x:v>
      </x:c>
      <x:c r="V7" s="42" t="str">
        <x:v>실패 허용</x:v>
      </x:c>
      <x:c r="W7" s="42" t="str">
        <x:v>보스 스킬/경로분산 미반영이므로 실제는 더 어려울 수 있음</x:v>
      </x:c>
    </x:row>
    <x:row r="8">
      <x:c r="A8" s="42" t="n">
        <x:v>35</x:v>
      </x:c>
      <x:c r="B8" s="42" t="str">
        <x:v>검은 빙벽거인 요툰</x:v>
      </x:c>
      <x:c r="C8" s="42" t="n">
        <x:v>66</x:v>
      </x:c>
      <x:c r="D8" s="587" t="n">
        <x:v>9269</x:v>
      </x:c>
      <x:c r="E8" s="587" t="n">
        <x:v>9777</x:v>
      </x:c>
      <x:c r="F8" s="587" t="n">
        <x:v>640749.1998000001</x:v>
      </x:c>
      <x:c r="G8" s="587" t="n">
        <x:v>21358.306660000002</x:v>
      </x:c>
      <x:c r="H8" s="42" t="str">
        <x:v>아리아+미아+니아+오로라+클로에</x:v>
      </x:c>
      <x:c r="I8" s="477" t="n">
        <x:v>2063.6704649999997</x:v>
      </x:c>
      <x:c r="J8" s="477" t="n">
        <x:v>3407.2586678299995</x:v>
      </x:c>
      <x:c r="K8" s="477" t="n">
        <x:v>5470.929132829999</x:v>
      </x:c>
      <x:c r="L8" s="477" t="n">
        <x:v>117.11889959513216</x:v>
      </x:c>
      <x:c r="M8" s="42" t="str">
        <x:v>실패</x:v>
      </x:c>
      <x:c r="N8" s="42" t="str">
        <x:v>샤샤+니아+오로라+네온+이브</x:v>
      </x:c>
      <x:c r="O8" s="477" t="n">
        <x:v>2745.1449374999997</x:v>
      </x:c>
      <x:c r="P8" s="477" t="n">
        <x:v>3658.0997967499998</x:v>
      </x:c>
      <x:c r="Q8" s="477" t="n">
        <x:v>6403.24473425</x:v>
      </x:c>
      <x:c r="R8" s="477" t="n">
        <x:v>100.06632986753236</x:v>
      </x:c>
      <x:c r="S8" s="42" t="str">
        <x:v>실패</x:v>
      </x:c>
      <x:c r="T8" s="588" t="n">
        <x:v>3.335544328917745</x:v>
      </x:c>
      <x:c r="U8" s="42" t="str">
        <x:v>구조적 부족</x:v>
      </x:c>
      <x:c r="V8" s="42" t="str">
        <x:v>연속 진행 실패는 성장/빌드 체크로 허용</x:v>
      </x:c>
      <x:c r="W8" s="42" t="str">
        <x:v>보스 스킬/경로분산 미반영이므로 실제는 더 어려울 수 있음</x:v>
      </x:c>
    </x:row>
    <x:row r="9">
      <x:c r="A9" s="42" t="n">
        <x:v>36</x:v>
      </x:c>
      <x:c r="B9" s="42" t="str">
        <x:v>침식에 물들은 북부의 설화</x:v>
      </x:c>
      <x:c r="C9" s="42" t="n">
        <x:v>68</x:v>
      </x:c>
      <x:c r="D9" s="587" t="n">
        <x:v>9676</x:v>
      </x:c>
      <x:c r="E9" s="587" t="n">
        <x:v>10184</x:v>
      </x:c>
      <x:c r="F9" s="587" t="n">
        <x:v>743175.72688</x:v>
      </x:c>
      <x:c r="G9" s="587" t="n">
        <x:v>24772.524229333332</x:v>
      </x:c>
      <x:c r="H9" s="42" t="str">
        <x:v>아리아+미아+니아+오로라+클로에</x:v>
      </x:c>
      <x:c r="I9" s="477" t="n">
        <x:v>2076.2837309999995</x:v>
      </x:c>
      <x:c r="J9" s="477" t="n">
        <x:v>3428.0840179219995</x:v>
      </x:c>
      <x:c r="K9" s="477" t="n">
        <x:v>5504.367748921999</x:v>
      </x:c>
      <x:c r="L9" s="477" t="n">
        <x:v>135.015638630894</x:v>
      </x:c>
      <x:c r="M9" s="42" t="str">
        <x:v>실패</x:v>
      </x:c>
      <x:c r="N9" s="42" t="str">
        <x:v>샤샤+니아+오로라+네온+이브</x:v>
      </x:c>
      <x:c r="O9" s="477" t="n">
        <x:v>2761.9234124999994</x:v>
      </x:c>
      <x:c r="P9" s="477" t="n">
        <x:v>3680.4583014499995</x:v>
      </x:c>
      <x:c r="Q9" s="477" t="n">
        <x:v>6442.381713949999</x:v>
      </x:c>
      <x:c r="R9" s="477" t="n">
        <x:v>115.35729484497416</x:v>
      </x:c>
      <x:c r="S9" s="42" t="str">
        <x:v>실패</x:v>
      </x:c>
      <x:c r="T9" s="588" t="n">
        <x:v>3.8452431614991385</x:v>
      </x:c>
      <x:c r="U9" s="42" t="str">
        <x:v>구조적 부족</x:v>
      </x:c>
      <x:c r="V9" s="42" t="str">
        <x:v>실패 허용</x:v>
      </x:c>
      <x:c r="W9" s="42" t="str">
        <x:v>보스 스킬/경로분산 미반영이므로 실제는 더 어려울 수 있음</x:v>
      </x:c>
    </x:row>
    <x:row r="12">
      <x:c r="A12" s="591" t="str">
        <x:v>검수에 사용한 '공격적 무과금 지원선' — 의도적으로 넉넉하게 잡은 상한측 모델</x:v>
      </x:c>
      <x:c r="B12" s="591"/>
      <x:c r="C12" s="591"/>
      <x:c r="D12" s="591"/>
      <x:c r="E12" s="591"/>
      <x:c r="F12" s="591"/>
      <x:c r="G12" s="591"/>
      <x:c r="H12" s="591"/>
      <x:c r="I12" s="591"/>
      <x:c r="J12" s="591"/>
      <x:c r="K12" s="591"/>
      <x:c r="L12" s="591"/>
      <x:c r="M12" s="591"/>
      <x:c r="N12" s="591"/>
      <x:c r="O12" s="591"/>
      <x:c r="P12" s="591"/>
      <x:c r="Q12" s="591"/>
      <x:c r="R12" s="591"/>
      <x:c r="S12" s="591"/>
      <x:c r="T12" s="591"/>
      <x:c r="U12" s="591"/>
      <x:c r="V12" s="591"/>
      <x:c r="W12" s="591"/>
    </x:row>
    <x:row r="13">
      <x:c r="A13" s="593" t="str">
        <x:v>유닛/구조물</x:v>
      </x:c>
      <x:c r="B13" s="593" t="str">
        <x:v>수량</x:v>
      </x:c>
      <x:c r="C13" s="593" t="str">
        <x:v>★</x:v>
      </x:c>
      <x:c r="D13" s="593" t="str">
        <x:v>기본 유효DPS/개</x:v>
      </x:c>
      <x:c r="E13" s="593" t="str">
        <x:v>기본 합계</x:v>
      </x:c>
      <x:c r="F13" s="593" t="str">
        <x:v>설명</x:v>
      </x:c>
      <x:c r="H13" s="595" t="str">
        <x:v>가정</x:v>
      </x:c>
      <x:c r="I13" s="595" t="str">
        <x:v>표준</x:v>
      </x:c>
      <x:c r="J13" s="595" t="str">
        <x:v>최적</x:v>
      </x:c>
      <x:c r="K13" s="595" t="str">
        <x:v>의미</x:v>
      </x:c>
      <x:c r="L13" s="595" t="str">
        <x:v>보수성</x:v>
      </x:c>
      <x:c r="M13" s="595" t="str">
        <x:v>검수 결론</x:v>
      </x:c>
    </x:row>
    <x:row r="14">
      <x:c r="A14" t="str">
        <x:v>연사 궁병</x:v>
      </x:c>
      <x:c r="B14" t="n">
        <x:v>3</x:v>
      </x:c>
      <x:c r="C14" t="n">
        <x:v>5</x:v>
      </x:c>
      <x:c r="D14" s="463" t="n">
        <x:v>117.73440000000002</x:v>
      </x:c>
      <x:c r="E14" s="463" t="n">
        <x:v>353.20320000000004</x:v>
      </x:c>
      <x:c r="F14" t="str">
        <x:v>15개 공격 슬롯 가정</x:v>
      </x:c>
      <x:c r="H14" s="42" t="str">
        <x:v>공격슬롯</x:v>
      </x:c>
      <x:c r="I14" s="42" t="n">
        <x:v>15</x:v>
      </x:c>
      <x:c r="J14" s="42" t="n">
        <x:v>15</x:v>
      </x:c>
      <x:c r="K14" s="42" t="str">
        <x:v>실맵 확정 전 임시</x:v>
      </x:c>
      <x:c r="L14" s="42" t="str">
        <x:v>플레이어에 유리하게 잡음</x:v>
      </x:c>
      <x:c r="M14" s="42" t="str">
        <x:v>이 조건에서도 실패면 수치 문제</x:v>
      </x:c>
    </x:row>
    <x:row r="15">
      <x:c r="A15" t="str">
        <x:v>마창병</x:v>
      </x:c>
      <x:c r="B15" t="n">
        <x:v>2</x:v>
      </x:c>
      <x:c r="C15" t="n">
        <x:v>5</x:v>
      </x:c>
      <x:c r="D15" s="463" t="n">
        <x:v>84.63620000000002</x:v>
      </x:c>
      <x:c r="E15" s="463" t="n">
        <x:v>169.27240000000003</x:v>
      </x:c>
      <x:c r="F15" t="str">
        <x:v>15개 공격 슬롯 가정</x:v>
      </x:c>
      <x:c r="H15" s="42" t="str">
        <x:v>평균 성급배율</x:v>
      </x:c>
      <x:c r="I15" s="42" t="n">
        <x:v>1.63</x:v>
      </x:c>
      <x:c r="J15" s="42" t="n">
        <x:v>1.75</x:v>
      </x:c>
      <x:c r="K15" s="42" t="str">
        <x:v>W10 도달시점</x:v>
      </x:c>
      <x:c r="L15" s="42" t="str">
        <x:v>최적은 ★5 전제</x:v>
      </x:c>
      <x:c r="M15" s="42" t="str">
        <x:v>최적화 상한 확인</x:v>
      </x:c>
    </x:row>
    <x:row r="16">
      <x:c r="A16" t="str">
        <x:v>연사 감시탑</x:v>
      </x:c>
      <x:c r="B16" t="n">
        <x:v>3</x:v>
      </x:c>
      <x:c r="C16" t="n">
        <x:v>5</x:v>
      </x:c>
      <x:c r="D16" s="463" t="n">
        <x:v>52.56</x:v>
      </x:c>
      <x:c r="E16" s="463" t="n">
        <x:v>157.68</x:v>
      </x:c>
      <x:c r="F16" t="str">
        <x:v>15개 공격 슬롯 가정</x:v>
      </x:c>
      <x:c r="H16" s="42" t="str">
        <x:v>영웅수</x:v>
      </x:c>
      <x:c r="I16" s="42" t="n">
        <x:v>5</x:v>
      </x:c>
      <x:c r="J16" s="42" t="n">
        <x:v>5</x:v>
      </x:c>
      <x:c r="K16" s="42" t="str">
        <x:v>스테이지 상한</x:v>
      </x:c>
      <x:c r="L16" s="42" t="str">
        <x:v>확정</x:v>
      </x:c>
      <x:c r="M16" s="42" t="str">
        <x:v>동일</x:v>
      </x:c>
    </x:row>
    <x:row r="17">
      <x:c r="A17" t="str">
        <x:v>드래곤 킬러</x:v>
      </x:c>
      <x:c r="B17" t="n">
        <x:v>2</x:v>
      </x:c>
      <x:c r="C17" t="n">
        <x:v>5</x:v>
      </x:c>
      <x:c r="D17" s="463" t="n">
        <x:v>39.779999999999994</x:v>
      </x:c>
      <x:c r="E17" s="463" t="n">
        <x:v>79.55999999999999</x:v>
      </x:c>
      <x:c r="F17" t="str">
        <x:v>15개 공격 슬롯 가정</x:v>
      </x:c>
      <x:c r="H17" s="42" t="str">
        <x:v>보스스킬</x:v>
      </x:c>
      <x:c r="I17" s="42" t="str">
        <x:v>미반영</x:v>
      </x:c>
      <x:c r="J17" s="42" t="str">
        <x:v>미반영</x:v>
      </x:c>
      <x:c r="K17" s="42" t="str">
        <x:v>실전 난도는 상승</x:v>
      </x:c>
      <x:c r="L17" s="42" t="str">
        <x:v>플레이어에 유리</x:v>
      </x:c>
      <x:c r="M17" s="42" t="str">
        <x:v>실패 판정은 더 강함</x:v>
      </x:c>
    </x:row>
    <x:row r="18">
      <x:c r="A18" t="str">
        <x:v>대 현자</x:v>
      </x:c>
      <x:c r="B18" t="n">
        <x:v>3</x:v>
      </x:c>
      <x:c r="C18" t="n">
        <x:v>5</x:v>
      </x:c>
      <x:c r="D18" s="463" t="n">
        <x:v>114.24</x:v>
      </x:c>
      <x:c r="E18" s="463" t="n">
        <x:v>342.71999999999997</x:v>
      </x:c>
      <x:c r="F18" t="str">
        <x:v>15개 공격 슬롯 가정</x:v>
      </x:c>
      <x:c r="H18" s="42" t="str">
        <x:v>다중경로 손실</x:v>
      </x:c>
      <x:c r="I18" s="42" t="str">
        <x:v>미반영</x:v>
      </x:c>
      <x:c r="J18" s="42" t="str">
        <x:v>미반영</x:v>
      </x:c>
      <x:c r="K18" s="42" t="str">
        <x:v>실전 DPS 분산</x:v>
      </x:c>
      <x:c r="L18" s="42" t="str">
        <x:v>플레이어에 유리</x:v>
      </x:c>
      <x:c r="M18" s="42" t="str">
        <x:v>실패 판정은 더 강함</x:v>
      </x:c>
    </x:row>
    <x:row r="19">
      <x:c r="A19" t="str">
        <x:v>1급 번개 수정</x:v>
      </x:c>
      <x:c r="B19" t="n">
        <x:v>2</x:v>
      </x:c>
      <x:c r="C19" t="n">
        <x:v>5</x:v>
      </x:c>
      <x:c r="D19" s="463" t="n">
        <x:v>158.57600000000002</x:v>
      </x:c>
      <x:c r="E19" s="463" t="n">
        <x:v>317.15200000000004</x:v>
      </x:c>
      <x:c r="F19" t="str">
        <x:v>15개 공격 슬롯 가정</x:v>
      </x:c>
    </x:row>
    <x:row r="20">
      <x:c r="A20" t="str">
        <x:v>합계</x:v>
      </x:c>
      <x:c r="B20" t="n">
        <x:v>15</x:v>
      </x:c>
      <x:c r="C20" t="str"/>
      <x:c r="D20" s="463" t="n">
        <x:v>1419.5876</x:v>
      </x:c>
      <x:c r="E20" s="463" t="n">
        <x:v>1419.5876</x:v>
      </x:c>
      <x:c r="F20" t="str">
        <x:v>방어벽 슬롯은 별도라고 가정</x:v>
      </x:c>
    </x:row>
    <x:row r="23">
      <x:c r="A23" s="632" t="str">
        <x:v>항목</x:v>
      </x:c>
      <x:c r="B23" s="632" t="str">
        <x:v>판정</x:v>
      </x:c>
      <x:c r="C23" s="632" t="str">
        <x:v>설명</x:v>
      </x:c>
      <x:c r="D23" s="598"/>
      <x:c r="E23" s="598"/>
      <x:c r="F23" s="598"/>
      <x:c r="G23" s="598"/>
      <x:c r="H23" s="598"/>
      <x:c r="I23" s="598"/>
      <x:c r="J23" s="598"/>
      <x:c r="K23" s="598"/>
      <x:c r="L23" s="598"/>
      <x:c r="M23" s="598"/>
      <x:c r="N23" s="598"/>
      <x:c r="O23" s="598"/>
      <x:c r="P23" s="598"/>
      <x:c r="Q23" s="598"/>
      <x:c r="R23" s="598"/>
      <x:c r="S23" s="598"/>
      <x:c r="T23" s="598"/>
      <x:c r="U23" s="598"/>
      <x:c r="V23" s="598"/>
      <x:c r="W23" s="598"/>
    </x:row>
    <x:row r="24">
      <x:c r="A24" s="115" t="str">
        <x:v>V3.2 검수</x:v>
      </x:c>
      <x:c r="B24" s="115" t="str">
        <x:v>원인 확인</x:v>
      </x:c>
      <x:c r="C24" s="115" t="str">
        <x:v>기존 Hard31~33 EHP가 Normal30 대비 과도하게 점프.</x:v>
      </x:c>
      <x:c r="E24" s="595" t="str">
        <x:v>구간</x:v>
      </x:c>
      <x:c r="F24" s="595" t="str">
        <x:v>첫 도전</x:v>
      </x:c>
      <x:c r="G24" s="595" t="str">
        <x:v>성장 후</x:v>
      </x:c>
      <x:c r="H24" s="595" t="str">
        <x:v>숙련/최적</x:v>
      </x:c>
      <x:c r="I24" s="595" t="str">
        <x:v>정상 실패</x:v>
      </x:c>
      <x:c r="J24" s="595" t="str">
        <x:v>비정상 실패</x:v>
      </x:c>
    </x:row>
    <x:row r="25">
      <x:c r="A25" s="42" t="str">
        <x:v>V3.3 변경</x:v>
      </x:c>
      <x:c r="B25" s="42" t="str">
        <x:v>31~33 재설계</x:v>
      </x:c>
      <x:c r="C25" s="42" t="str">
        <x:v>Normal30 24초 수준의 강한 클리어 전력은 33까지 타이트 진행.</x:v>
      </x:c>
      <x:c r="E25" s="42" t="str">
        <x:v>Stage31</x:v>
      </x:c>
      <x:c r="F25" s="42" t="str">
        <x:v>실패 허용</x:v>
      </x:c>
      <x:c r="G25" s="42" t="str">
        <x:v>30초±3초 목표</x:v>
      </x:c>
      <x:c r="H25" s="42" t="str">
        <x:v>30초 이내</x:v>
      </x:c>
      <x:c r="I25" s="42" t="str">
        <x:v>Lv60초반/4신화 부족</x:v>
      </x:c>
      <x:c r="J25" s="42" t="str">
        <x:v>Lv65+최적빌드도 40초+ 지속</x:v>
      </x:c>
    </x:row>
    <x:row r="26">
      <x:c r="A26" s="42" t="str">
        <x:v>Stage31 첫 1주벽</x:v>
      </x:c>
      <x:c r="B26" s="42" t="str">
        <x:v>폐기</x:v>
      </x:c>
      <x:c r="C26" s="42" t="str">
        <x:v>첫 장기벽을 Stage34로 이동.</x:v>
      </x:c>
      <x:c r="E26" s="42" t="str">
        <x:v>Stage32~33</x:v>
      </x:c>
      <x:c r="F26" s="42" t="str">
        <x:v>1~2회 실패 허용</x:v>
      </x:c>
      <x:c r="G26" s="42" t="str">
        <x:v>31 돌파 전력으로 진행권</x:v>
      </x:c>
      <x:c r="H26" s="42" t="str">
        <x:v>30초 이내</x:v>
      </x:c>
      <x:c r="I26" s="42" t="str">
        <x:v>보스특성 대응 실패</x:v>
      </x:c>
      <x:c r="J26" s="42" t="str">
        <x:v>매 스테이지 장기 성장 재요구</x:v>
      </x:c>
    </x:row>
    <x:row r="27">
      <x:c r="A27" s="42" t="str">
        <x:v>실패 허용</x:v>
      </x:c>
      <x:c r="B27" s="42" t="str">
        <x:v>유지</x:v>
      </x:c>
      <x:c r="C27" s="42" t="str">
        <x:v>31~33에서도 보스기믹/배치 실패는 정상.</x:v>
      </x:c>
      <x:c r="E27" s="42" t="str">
        <x:v>Stage34</x:v>
      </x:c>
      <x:c r="F27" s="42" t="str">
        <x:v>실패 허용</x:v>
      </x:c>
      <x:c r="G27" s="42" t="str">
        <x:v>약 1주 후 30초±3초</x:v>
      </x:c>
      <x:c r="H27" s="42" t="str">
        <x:v>30초 이내</x:v>
      </x:c>
      <x:c r="I27" s="42" t="str">
        <x:v>4인/5인 육성 불균형</x:v>
      </x:c>
      <x:c r="J27" s="42" t="str">
        <x:v>Lv65 5인 최적도 큰 폭 실패</x:v>
      </x:c>
    </x:row>
    <x:row r="28">
      <x:c r="A28" s="42" t="str">
        <x:v>Stage34</x:v>
      </x:c>
      <x:c r="B28" s="42" t="str">
        <x:v>첫 본격 벽</x:v>
      </x:c>
      <x:c r="C28" s="42" t="str">
        <x:v>약 1주 성장 후 재도전.</x:v>
      </x:c>
      <x:c r="E28" s="42" t="str">
        <x:v>Stage36</x:v>
      </x:c>
      <x:c r="F28" s="42" t="str">
        <x:v>2~4일 실패 허용</x:v>
      </x:c>
      <x:c r="G28" s="42" t="str">
        <x:v>Lv68 부근 30초±3초</x:v>
      </x:c>
      <x:c r="H28" s="42" t="str">
        <x:v>30초 이내</x:v>
      </x:c>
      <x:c r="I28" s="42" t="str">
        <x:v>빙결/침묵 대응 실패</x:v>
      </x:c>
      <x:c r="J28" s="42" t="str">
        <x:v>최적 조합으로도 40초+ 지속</x:v>
      </x:c>
    </x:row>
    <x:row r="29">
      <x:c r="A29" s="42" t="str">
        <x:v>원칙</x:v>
      </x:c>
      <x:c r="B29" s="42" t="str">
        <x:v>적정 타이트함</x:v>
      </x:c>
      <x:c r="C29" s="42" t="str">
        <x:v>잘 키운 유저의 초과 성장분은 다음 2~3스테이지까지 보상.</x:v>
      </x:c>
    </x:row>
    <x:row r="30">
      <x:c r="A30" s="42" t="str">
        <x:v>중요</x:v>
      </x:c>
      <x:c r="B30" s="42" t="str">
        <x:v>적을 당장 낮추지 않음</x:v>
      </x:c>
      <x:c r="C30" s="42" t="str">
        <x:v>이번 시트는 먼저 실제 실패 폭을 측정한다. 실패 자체는 문제로 처리하지 않음.</x:v>
      </x:c>
    </x:row>
    <x:row r="33">
      <x:c r="L33" t="str">
        <x:v>Stage</x:v>
      </x:c>
      <x:c r="M33" t="str">
        <x:v>표준 예상초</x:v>
      </x:c>
      <x:c r="N33" t="str">
        <x:v>최적 예상초</x:v>
      </x:c>
      <x:c r="O33" t="str">
        <x:v>30초 기준</x:v>
      </x:c>
    </x:row>
    <x:row r="34">
      <x:c r="L34" t="n">
        <x:f>A4</x:f>
        <x:v>31</x:v>
      </x:c>
      <x:c r="M34" t="n">
        <x:f>L4</x:f>
        <x:v>66.92296642886403</x:v>
      </x:c>
      <x:c r="N34" t="n">
        <x:f>R4</x:f>
        <x:v>57.178949405556416</x:v>
      </x:c>
      <x:c r="O34" t="n">
        <x:v>30</x:v>
      </x:c>
    </x:row>
    <x:row r="35">
      <x:c r="L35" t="n">
        <x:f>A5</x:f>
        <x:v>32</x:v>
      </x:c>
      <x:c r="M35" t="n">
        <x:f>L5</x:f>
        <x:v>77.21742689220413</x:v>
      </x:c>
      <x:c r="N35" t="n">
        <x:f>R5</x:f>
        <x:v>65.97453133207647</x:v>
      </x:c>
      <x:c r="O35" t="n">
        <x:v>30</x:v>
      </x:c>
    </x:row>
    <x:row r="36">
      <x:c r="L36" t="n">
        <x:f>A6</x:f>
        <x:v>33</x:v>
      </x:c>
      <x:c r="M36" t="n">
        <x:f>L6</x:f>
        <x:v>89.47784934535906</x:v>
      </x:c>
      <x:c r="N36" t="n">
        <x:f>R6</x:f>
        <x:v>76.44983021000148</x:v>
      </x:c>
      <x:c r="O36" t="n">
        <x:v>30</x:v>
      </x:c>
    </x:row>
    <x:row r="37">
      <x:c r="L37" t="n">
        <x:f>A7</x:f>
        <x:v>34</x:v>
      </x:c>
      <x:c r="M37" t="n">
        <x:f>L7</x:f>
        <x:v>101.8664515390189</x:v>
      </x:c>
      <x:c r="N37" t="n">
        <x:f>R7</x:f>
        <x:v>87.03464579479483</x:v>
      </x:c>
      <x:c r="O37" t="n">
        <x:v>30</x:v>
      </x:c>
    </x:row>
    <x:row r="38">
      <x:c r="L38" t="n">
        <x:f>A8</x:f>
        <x:v>35</x:v>
      </x:c>
      <x:c r="M38" t="n">
        <x:f>L8</x:f>
        <x:v>117.11889959513216</x:v>
      </x:c>
      <x:c r="N38" t="n">
        <x:f>R8</x:f>
        <x:v>100.06632986753236</x:v>
      </x:c>
      <x:c r="O38" t="n">
        <x:v>30</x:v>
      </x:c>
    </x:row>
    <x:row r="39">
      <x:c r="L39" t="n">
        <x:f>A9</x:f>
        <x:v>36</x:v>
      </x:c>
      <x:c r="M39" t="n">
        <x:f>L9</x:f>
        <x:v>135.015638630894</x:v>
      </x:c>
      <x:c r="N39" t="n">
        <x:f>R9</x:f>
        <x:v>115.35729484497416</x:v>
      </x:c>
      <x:c r="O39" t="n">
        <x:v>30</x:v>
      </x:c>
    </x:row>
  </x:sheetData>
  <x:mergeCells>
    <x:mergeCell ref="A1:W1"/>
    <x:mergeCell ref="A12:W12"/>
    <x:mergeCell ref="A23:W23"/>
  </x:mergeCells>
  <x:conditionalFormatting sqref="M4:M9">
    <x:cfRule type="expression" dxfId="18" priority="1">
      <x:formula>M4="클리어"</x:formula>
    </x:cfRule>
    <x:cfRule type="expression" dxfId="19" priority="2">
      <x:formula>M4="실패"</x:formula>
    </x:cfRule>
  </x:conditionalFormatting>
  <x:conditionalFormatting sqref="S4:S9">
    <x:cfRule type="expression" dxfId="20" priority="3">
      <x:formula>S4="클리어"</x:formula>
    </x:cfRule>
    <x:cfRule type="expression" dxfId="21" priority="4">
      <x:formula>S4="실패"</x:formula>
    </x:cfRule>
  </x:conditionalFormatting>
  <x:conditionalFormatting sqref="T4:T9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3abef3a0297c44e4"/>
</x:worksheet>
</file>

<file path=xl/worksheets/sheet3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0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30" hidden="0" customWidth="1"/>
    <x:col min="18" max="18" width="44" hidden="0" customWidth="1"/>
  </x:cols>
  <x:sheetData>
    <x:row r="1">
      <x:c r="A1" s="605" t="str">
        <x:v>Hard 31~33 재설계 — Normal30 넉넉 클리어 → Stage33 타이트 클리어 V3.3</x:v>
      </x:c>
      <x:c r="B1" s="605"/>
      <x:c r="C1" s="605"/>
      <x:c r="D1" s="605"/>
      <x:c r="E1" s="605"/>
      <x:c r="F1" s="605"/>
      <x:c r="G1" s="605"/>
      <x:c r="H1" s="605"/>
      <x:c r="I1" s="605"/>
      <x:c r="J1" s="605"/>
      <x:c r="K1" s="605"/>
      <x:c r="L1" s="605"/>
      <x:c r="M1" s="605"/>
      <x:c r="N1" s="605"/>
      <x:c r="O1" s="605"/>
      <x:c r="P1" s="605"/>
      <x:c r="Q1" s="605"/>
      <x:c r="R1" s="605"/>
    </x:row>
    <x:row r="3">
      <x:c r="A3" s="609" t="str">
        <x:v>구간</x:v>
      </x:c>
      <x:c r="B3" s="609" t="str">
        <x:v>기준 전력</x:v>
      </x:c>
      <x:c r="C3" s="609" t="str">
        <x:v>보스 HP</x:v>
      </x:c>
      <x:c r="D3" s="609" t="str">
        <x:v>보스 DEF</x:v>
      </x:c>
      <x:c r="E3" s="609" t="str">
        <x:v>W10 HP배율</x:v>
      </x:c>
      <x:c r="F3" s="609" t="str">
        <x:v>W10 총EHP</x:v>
      </x:c>
      <x:c r="G3" s="609" t="str">
        <x:v>가정 DPS</x:v>
      </x:c>
      <x:c r="H3" s="609" t="str">
        <x:v>예상 클리어초</x:v>
      </x:c>
      <x:c r="I3" s="609" t="str">
        <x:v>30초 여유</x:v>
      </x:c>
      <x:c r="J3" s="609" t="str">
        <x:v>판정</x:v>
      </x:c>
      <x:c r="K3" s="609" t="str">
        <x:v>권장Lv</x:v>
      </x:c>
      <x:c r="L3" s="609" t="str">
        <x:v>권장전투력</x:v>
      </x:c>
      <x:c r="M3" s="609" t="str">
        <x:v>첫도전 실패</x:v>
      </x:c>
      <x:c r="N3" s="609" t="str">
        <x:v>성장벽</x:v>
      </x:c>
      <x:c r="O3" s="609" t="str">
        <x:v>기존 총EHP</x:v>
      </x:c>
      <x:c r="P3" s="609" t="str">
        <x:v>EHP 조정폭</x:v>
      </x:c>
      <x:c r="Q3" s="609" t="str">
        <x:v>기존 설계</x:v>
      </x:c>
      <x:c r="R3" s="609" t="str">
        <x:v>재설계 의도</x:v>
      </x:c>
    </x:row>
    <x:row r="4">
      <x:c r="A4" s="42" t="str">
        <x:v>Stage31</x:v>
      </x:c>
      <x:c r="B4" s="42" t="str">
        <x:v>Normal30 W10 24초 클리어 전력 이월</x:v>
      </x:c>
      <x:c r="C4" s="477" t="n">
        <x:v>65000</x:v>
      </x:c>
      <x:c r="D4" s="477" t="n">
        <x:v>95</x:v>
      </x:c>
      <x:c r="E4" s="477" t="n">
        <x:v>1.95</x:v>
      </x:c>
      <x:c r="F4" s="477" t="n">
        <x:v>280001.163</x:v>
      </x:c>
      <x:c r="G4" s="477" t="n">
        <x:v>10100.1645175</x:v>
      </x:c>
      <x:c r="H4" s="477" t="n">
        <x:v>27.722435858827584</x:v>
      </x:c>
      <x:c r="I4" s="477" t="n">
        <x:v>2.277564141172416</x:v>
      </x:c>
      <x:c r="J4" s="42" t="str">
        <x:v>타이트 클리어</x:v>
      </x:c>
      <x:c r="K4" s="42" t="str">
        <x:v>Lv58~62</x:v>
      </x:c>
      <x:c r="L4" s="42" t="n">
        <x:v>4100</x:v>
      </x:c>
      <x:c r="M4" s="42" t="str">
        <x:v>허용</x:v>
      </x:c>
      <x:c r="N4" s="42" t="str">
        <x:v>없음</x:v>
      </x:c>
      <x:c r="O4" s="42" t="n">
        <x:v>365011.901</x:v>
      </x:c>
      <x:c r="P4" s="246" t="n">
        <x:v>-0.23289853773836267</x:v>
      </x:c>
      <x:c r="Q4" s="42" t="str">
        <x:v>Stage31부터 1주 벽 / 과도한 EHP 점프</x:v>
      </x:c>
      <x:c r="R4" s="42" t="str">
        <x:v>Normal을 충분히 강하게 끝낸 보상으로 31~33까지 연속 도전권 제공</x:v>
      </x:c>
    </x:row>
    <x:row r="5">
      <x:c r="A5" s="42" t="str">
        <x:v>Stage32</x:v>
      </x:c>
      <x:c r="B5" s="42" t="str">
        <x:v>이월전력 + 소폭 자연성장</x:v>
      </x:c>
      <x:c r="C5" s="477" t="n">
        <x:v>66000</x:v>
      </x:c>
      <x:c r="D5" s="477" t="n">
        <x:v>100</x:v>
      </x:c>
      <x:c r="E5" s="477" t="n">
        <x:v>2</x:v>
      </x:c>
      <x:c r="F5" s="477" t="n">
        <x:v>298502.16</x:v>
      </x:c>
      <x:c r="G5" s="477" t="n">
        <x:v>10251.666985262498</x:v>
      </x:c>
      <x:c r="H5" s="477" t="n">
        <x:v>29.117426505281347</x:v>
      </x:c>
      <x:c r="I5" s="477" t="n">
        <x:v>0.8825734947186525</x:v>
      </x:c>
      <x:c r="J5" s="42" t="str">
        <x:v>타이트 클리어</x:v>
      </x:c>
      <x:c r="K5" s="42" t="str">
        <x:v>Lv60~63</x:v>
      </x:c>
      <x:c r="L5" s="42" t="n">
        <x:v>4550</x:v>
      </x:c>
      <x:c r="M5" s="42" t="str">
        <x:v>허용</x:v>
      </x:c>
      <x:c r="N5" s="42" t="str">
        <x:v>없음</x:v>
      </x:c>
      <x:c r="O5" s="42" t="n">
        <x:v>421160.0484</x:v>
      </x:c>
      <x:c r="P5" s="246" t="n">
        <x:v>-0.2912381857348083</x:v>
      </x:c>
      <x:c r="Q5" s="42" t="str">
        <x:v>Stage31부터 1주 벽 / 과도한 EHP 점프</x:v>
      </x:c>
      <x:c r="R5" s="42" t="str">
        <x:v>Normal을 충분히 강하게 끝낸 보상으로 31~33까지 연속 도전권 제공</x:v>
      </x:c>
    </x:row>
    <x:row r="6">
      <x:c r="A6" s="42" t="str">
        <x:v>Stage33</x:v>
      </x:c>
      <x:c r="B6" s="42" t="str">
        <x:v>이월전력 + 소폭 자연성장</x:v>
      </x:c>
      <x:c r="C6" s="477" t="n">
        <x:v>66000</x:v>
      </x:c>
      <x:c r="D6" s="477" t="n">
        <x:v>105</x:v>
      </x:c>
      <x:c r="E6" s="477" t="n">
        <x:v>2.05</x:v>
      </x:c>
      <x:c r="F6" s="477" t="n">
        <x:v>315255.76499999996</x:v>
      </x:c>
      <x:c r="G6" s="477" t="n">
        <x:v>10403.169453024999</x:v>
      </x:c>
      <x:c r="H6" s="477" t="n">
        <x:v>30.303819083551595</x:v>
      </x:c>
      <x:c r="I6" s="477" t="n">
        <x:v>-0.3038190835515948</x:v>
      </x:c>
      <x:c r="J6" s="42" t="str">
        <x:v>타이트 클리어</x:v>
      </x:c>
      <x:c r="K6" s="42" t="str">
        <x:v>Lv62~65</x:v>
      </x:c>
      <x:c r="L6" s="42" t="n">
        <x:v>5050</x:v>
      </x:c>
      <x:c r="M6" s="42" t="str">
        <x:v>허용</x:v>
      </x:c>
      <x:c r="N6" s="42" t="str">
        <x:v>없음</x:v>
      </x:c>
      <x:c r="O6" s="42" t="n">
        <x:v>488030.965</x:v>
      </x:c>
      <x:c r="P6" s="246" t="n">
        <x:v>-0.3540250770768204</x:v>
      </x:c>
      <x:c r="Q6" s="42" t="str">
        <x:v>Stage31부터 1주 벽 / 과도한 EHP 점프</x:v>
      </x:c>
      <x:c r="R6" s="42" t="str">
        <x:v>Normal을 충분히 강하게 끝낸 보상으로 31~33까지 연속 도전권 제공</x:v>
      </x:c>
    </x:row>
    <x:row r="9">
      <x:c r="A9" s="612" t="str">
        <x:v>Stage34부터 첫 본격 Hard 성장벽</x:v>
      </x:c>
      <x:c r="B9" s="612"/>
      <x:c r="C9" s="612"/>
      <x:c r="D9" s="612"/>
      <x:c r="E9" s="612"/>
      <x:c r="F9" s="612"/>
      <x:c r="G9" s="612"/>
      <x:c r="H9" s="612"/>
      <x:c r="I9" s="612"/>
      <x:c r="J9" s="612"/>
      <x:c r="K9" s="612"/>
      <x:c r="L9" s="612"/>
      <x:c r="M9" s="612"/>
      <x:c r="N9" s="612"/>
      <x:c r="O9" s="612"/>
      <x:c r="P9" s="612"/>
      <x:c r="Q9" s="612"/>
      <x:c r="R9" s="612"/>
    </x:row>
    <x:row r="10">
      <x:c r="A10" s="614" t="str">
        <x:v>항목</x:v>
      </x:c>
      <x:c r="B10" s="614" t="str">
        <x:v>Stage30</x:v>
      </x:c>
      <x:c r="C10" s="614" t="str">
        <x:v>Stage31</x:v>
      </x:c>
      <x:c r="D10" s="614" t="str">
        <x:v>Stage32</x:v>
      </x:c>
      <x:c r="E10" s="614" t="str">
        <x:v>Stage33</x:v>
      </x:c>
      <x:c r="F10" s="614" t="str">
        <x:v>Stage34</x:v>
      </x:c>
      <x:c r="G10" s="614" t="str">
        <x:v>의미</x:v>
      </x:c>
      <x:c r="H10" s="614" t="str">
        <x:v>판정</x:v>
      </x:c>
      <x:c r="J10" s="617" t="str">
        <x:v>Stage</x:v>
      </x:c>
      <x:c r="K10" s="617" t="str">
        <x:v>Wave</x:v>
      </x:c>
      <x:c r="L10" s="617" t="str">
        <x:v>기존 HP배율</x:v>
      </x:c>
      <x:c r="M10" s="617" t="str">
        <x:v>신규 HP배율</x:v>
      </x:c>
      <x:c r="N10" s="617" t="str">
        <x:v>조정률</x:v>
      </x:c>
      <x:c r="O10" s="617" t="str">
        <x:v>권장전투력</x:v>
      </x:c>
      <x:c r="P10" s="617" t="str">
        <x:v>권장Lv</x:v>
      </x:c>
      <x:c r="Q10" s="617" t="str">
        <x:v>진행 메모</x:v>
      </x:c>
      <x:c r="R10" s="617" t="str">
        <x:v>판정</x:v>
      </x:c>
    </x:row>
    <x:row r="11">
      <x:c r="A11" s="42" t="str">
        <x:v>권장 전투력</x:v>
      </x:c>
      <x:c r="B11" s="42" t="n">
        <x:v>3462</x:v>
      </x:c>
      <x:c r="C11" s="42" t="n">
        <x:v>4100</x:v>
      </x:c>
      <x:c r="D11" s="42" t="n">
        <x:v>4550</x:v>
      </x:c>
      <x:c r="E11" s="42" t="n">
        <x:v>5050</x:v>
      </x:c>
      <x:c r="F11" s="42" t="n">
        <x:v>6460</x:v>
      </x:c>
      <x:c r="G11" s="42" t="str">
        <x:v>Normal→Hard 연결 후 34에서 큰 벽</x:v>
      </x:c>
      <x:c r="H11" s="42" t="str">
        <x:v>의도적</x:v>
      </x:c>
      <x:c r="J11" s="42" t="n">
        <x:v>31</x:v>
      </x:c>
      <x:c r="K11" s="42" t="n">
        <x:v>1</x:v>
      </x:c>
      <x:c r="L11" s="618" t="n">
        <x:v>2.147179487179487</x:v>
      </x:c>
      <x:c r="M11" s="618" t="n">
        <x:v>1.58</x:v>
      </x:c>
      <x:c r="N11" s="246" t="n">
        <x:v>-0.26415094339622625</x:v>
      </x:c>
      <x:c r="O11" s="42" t="n">
        <x:v>4100</x:v>
      </x:c>
      <x:c r="P11" s="42" t="str">
        <x:v>Lv58~62</x:v>
      </x:c>
      <x:c r="Q11" s="42" t="str">
        <x:v>Normal30 넉넉 클리어 전력으로 타이트 진입 / 장기 대기 없음</x:v>
      </x:c>
      <x:c r="R11" s="42" t="str">
        <x:v>완화</x:v>
      </x:c>
    </x:row>
    <x:row r="12">
      <x:c r="A12" s="42" t="str">
        <x:v>권장 Lv</x:v>
      </x:c>
      <x:c r="B12" s="42" t="str">
        <x:v>Lv50~60</x:v>
      </x:c>
      <x:c r="C12" s="42" t="str">
        <x:v>Lv58~62</x:v>
      </x:c>
      <x:c r="D12" s="42" t="str">
        <x:v>Lv60~63</x:v>
      </x:c>
      <x:c r="E12" s="42" t="str">
        <x:v>Lv62~65</x:v>
      </x:c>
      <x:c r="F12" s="42" t="str">
        <x:v>Lv65~70</x:v>
      </x:c>
      <x:c r="G12" s="42" t="str">
        <x:v>레벨도 완만히 연결</x:v>
      </x:c>
      <x:c r="H12" s="42" t="str">
        <x:v>유지</x:v>
      </x:c>
      <x:c r="J12" s="42" t="n">
        <x:v>31</x:v>
      </x:c>
      <x:c r="K12" s="42" t="n">
        <x:v>5</x:v>
      </x:c>
      <x:c r="L12" s="618" t="n">
        <x:v>2.3646153846153846</x:v>
      </x:c>
      <x:c r="M12" s="618" t="n">
        <x:v>1.74</x:v>
      </x:c>
      <x:c r="N12" s="246" t="n">
        <x:v>-0.26415094339622636</x:v>
      </x:c>
      <x:c r="O12" s="42" t="n">
        <x:v>4100</x:v>
      </x:c>
      <x:c r="P12" s="42" t="str">
        <x:v>Lv58~62</x:v>
      </x:c>
      <x:c r="Q12" s="42" t="str">
        <x:v>Normal30 넉넉 클리어 전력으로 타이트 진입 / 장기 대기 없음</x:v>
      </x:c>
      <x:c r="R12" s="42" t="str">
        <x:v>완화</x:v>
      </x:c>
    </x:row>
    <x:row r="13">
      <x:c r="A13" s="42" t="str">
        <x:v>장기 대기</x:v>
      </x:c>
      <x:c r="B13" s="42" t="str">
        <x:v>Stage30 전 5일</x:v>
      </x:c>
      <x:c r="C13" s="42" t="str">
        <x:v>없음</x:v>
      </x:c>
      <x:c r="D13" s="42" t="str">
        <x:v>없음</x:v>
      </x:c>
      <x:c r="E13" s="42" t="str">
        <x:v>없음</x:v>
      </x:c>
      <x:c r="F13" s="42" t="str">
        <x:v>약 7일</x:v>
      </x:c>
      <x:c r="G13" s="42" t="str">
        <x:v>첫 Hard 장기벽을 34로 이동</x:v>
      </x:c>
      <x:c r="H13" s="42" t="str">
        <x:v>핵심 변경</x:v>
      </x:c>
      <x:c r="J13" s="42" t="n">
        <x:v>31</x:v>
      </x:c>
      <x:c r="K13" s="42" t="n">
        <x:v>10</x:v>
      </x:c>
      <x:c r="L13" s="618" t="n">
        <x:v>2.65</x:v>
      </x:c>
      <x:c r="M13" s="618" t="n">
        <x:v>1.95</x:v>
      </x:c>
      <x:c r="N13" s="246" t="n">
        <x:v>-0.26415094339622636</x:v>
      </x:c>
      <x:c r="O13" s="42" t="n">
        <x:v>4100</x:v>
      </x:c>
      <x:c r="P13" s="42" t="str">
        <x:v>Lv58~62</x:v>
      </x:c>
      <x:c r="Q13" s="42" t="str">
        <x:v>Normal30 넉넉 클리어 전력으로 타이트 진입 / 장기 대기 없음</x:v>
      </x:c>
      <x:c r="R13" s="42" t="str">
        <x:v>완화</x:v>
      </x:c>
    </x:row>
    <x:row r="14">
      <x:c r="A14" s="42" t="str">
        <x:v>클리어 체감</x:v>
      </x:c>
      <x:c r="B14" s="42" t="str">
        <x:v>넉넉</x:v>
      </x:c>
      <x:c r="C14" s="42" t="str">
        <x:v>타이트</x:v>
      </x:c>
      <x:c r="D14" s="42" t="str">
        <x:v>타이트</x:v>
      </x:c>
      <x:c r="E14" s="42" t="str">
        <x:v>매우 타이트</x:v>
      </x:c>
      <x:c r="F14" s="42" t="str">
        <x:v>첫 도전 실패 정상</x:v>
      </x:c>
      <x:c r="G14" s="42" t="str">
        <x:v>Normal을 잘 키운 보상 명확</x:v>
      </x:c>
      <x:c r="H14" s="42" t="str">
        <x:v>적정</x:v>
      </x:c>
      <x:c r="J14" s="42" t="n">
        <x:v>32</x:v>
      </x:c>
      <x:c r="K14" s="42" t="n">
        <x:v>1</x:v>
      </x:c>
      <x:c r="L14" s="618" t="n">
        <x:v>2.22495</x:v>
      </x:c>
      <x:c r="M14" s="618" t="n">
        <x:v>1.63</x:v>
      </x:c>
      <x:c r="N14" s="246" t="n">
        <x:v>-0.26739926739926756</x:v>
      </x:c>
      <x:c r="O14" s="42" t="n">
        <x:v>4550</x:v>
      </x:c>
      <x:c r="P14" s="42" t="str">
        <x:v>Lv60~63</x:v>
      </x:c>
      <x:c r="Q14" s="42" t="str">
        <x:v>Normal30 이월전력 + 소폭 성장으로 타이트 진행</x:v>
      </x:c>
      <x:c r="R14" s="42" t="str">
        <x:v>완화</x:v>
      </x:c>
    </x:row>
    <x:row r="15">
      <x:c r="J15" s="42" t="n">
        <x:v>32</x:v>
      </x:c>
      <x:c r="K15" s="42" t="n">
        <x:v>5</x:v>
      </x:c>
      <x:c r="L15" s="618" t="n">
        <x:v>2.4570000000000003</x:v>
      </x:c>
      <x:c r="M15" s="618" t="n">
        <x:v>1.8</x:v>
      </x:c>
      <x:c r="N15" s="246" t="n">
        <x:v>-0.26739926739926745</x:v>
      </x:c>
      <x:c r="O15" s="42" t="n">
        <x:v>4550</x:v>
      </x:c>
      <x:c r="P15" s="42" t="str">
        <x:v>Lv60~63</x:v>
      </x:c>
      <x:c r="Q15" s="42" t="str">
        <x:v>Normal30 이월전력 + 소폭 성장으로 타이트 진행</x:v>
      </x:c>
      <x:c r="R15" s="42" t="str">
        <x:v>완화</x:v>
      </x:c>
    </x:row>
    <x:row r="16">
      <x:c r="J16" s="42" t="n">
        <x:v>32</x:v>
      </x:c>
      <x:c r="K16" s="42" t="n">
        <x:v>10</x:v>
      </x:c>
      <x:c r="L16" s="618" t="n">
        <x:v>2.73</x:v>
      </x:c>
      <x:c r="M16" s="618" t="n">
        <x:v>2</x:v>
      </x:c>
      <x:c r="N16" s="246" t="n">
        <x:v>-0.26739926739926745</x:v>
      </x:c>
      <x:c r="O16" s="42" t="n">
        <x:v>4550</x:v>
      </x:c>
      <x:c r="P16" s="42" t="str">
        <x:v>Lv60~63</x:v>
      </x:c>
      <x:c r="Q16" s="42" t="str">
        <x:v>Normal30 이월전력 + 소폭 성장으로 타이트 진행</x:v>
      </x:c>
      <x:c r="R16" s="42" t="str">
        <x:v>완화</x:v>
      </x:c>
    </x:row>
    <x:row r="17">
      <x:c r="A17" s="627" t="str">
        <x:v>클리어 기준 — 실패를 허용하되 'Normal을 잘 끝낸 보상'은 보장</x:v>
      </x:c>
      <x:c r="B17" s="627"/>
      <x:c r="C17" s="627"/>
      <x:c r="D17" s="627"/>
      <x:c r="E17" s="627"/>
      <x:c r="F17" s="627"/>
      <x:c r="G17" s="627"/>
      <x:c r="H17" s="627"/>
      <x:c r="I17" s="627"/>
      <x:c r="J17" s="628" t="n">
        <x:v>33</x:v>
      </x:c>
      <x:c r="K17" s="628" t="n">
        <x:v>1</x:v>
      </x:c>
      <x:c r="L17" s="629" t="n">
        <x:v>2.316536585365854</x:v>
      </x:c>
      <x:c r="M17" s="629" t="n">
        <x:v>1.69</x:v>
      </x:c>
      <x:c r="N17" s="630" t="n">
        <x:v>-0.2704626334519574</x:v>
      </x:c>
      <x:c r="O17" s="628" t="n">
        <x:v>5050</x:v>
      </x:c>
      <x:c r="P17" s="628" t="str">
        <x:v>Lv62~65</x:v>
      </x:c>
      <x:c r="Q17" s="628" t="str">
        <x:v>Hard 첫 체크포인트: Normal30 강한 클리어 유저는 타이트 클리어 목표</x:v>
      </x:c>
      <x:c r="R17" s="628" t="str">
        <x:v>완화</x:v>
      </x:c>
    </x:row>
    <x:row r="18">
      <x:c r="A18" s="617" t="str">
        <x:v>상황</x:v>
      </x:c>
      <x:c r="B18" s="617" t="str">
        <x:v>판정</x:v>
      </x:c>
      <x:c r="C18" s="617" t="str">
        <x:v>기준</x:v>
      </x:c>
      <x:c r="J18" s="42" t="n">
        <x:v>33</x:v>
      </x:c>
      <x:c r="K18" s="42" t="n">
        <x:v>5</x:v>
      </x:c>
      <x:c r="L18" s="618" t="n">
        <x:v>2.535853658536586</x:v>
      </x:c>
      <x:c r="M18" s="618" t="n">
        <x:v>1.85</x:v>
      </x:c>
      <x:c r="N18" s="246" t="n">
        <x:v>-0.2704626334519574</x:v>
      </x:c>
      <x:c r="O18" s="42" t="n">
        <x:v>5050</x:v>
      </x:c>
      <x:c r="P18" s="42" t="str">
        <x:v>Lv62~65</x:v>
      </x:c>
      <x:c r="Q18" s="42" t="str">
        <x:v>Hard 첫 체크포인트: Normal30 강한 클리어 유저는 타이트 클리어 목표</x:v>
      </x:c>
      <x:c r="R18" s="42" t="str">
        <x:v>완화</x:v>
      </x:c>
    </x:row>
    <x:row r="19">
      <x:c r="A19" s="42" t="str">
        <x:v>Normal30 27~30초 클리어</x:v>
      </x:c>
      <x:c r="B19" s="42" t="str">
        <x:v>보통</x:v>
      </x:c>
      <x:c r="C19" s="42" t="str">
        <x:v>Hard31부터 실패 가능. 성장/빌드 개선 필요.</x:v>
      </x:c>
      <x:c r="J19" s="42" t="n">
        <x:v>33</x:v>
      </x:c>
      <x:c r="K19" s="42" t="n">
        <x:v>10</x:v>
      </x:c>
      <x:c r="L19" s="618" t="n">
        <x:v>2.81</x:v>
      </x:c>
      <x:c r="M19" s="618" t="n">
        <x:v>2.05</x:v>
      </x:c>
      <x:c r="N19" s="246" t="n">
        <x:v>-0.2704626334519574</x:v>
      </x:c>
      <x:c r="O19" s="42" t="n">
        <x:v>5050</x:v>
      </x:c>
      <x:c r="P19" s="42" t="str">
        <x:v>Lv62~65</x:v>
      </x:c>
      <x:c r="Q19" s="42" t="str">
        <x:v>Hard 첫 체크포인트: Normal30 강한 클리어 유저는 타이트 클리어 목표</x:v>
      </x:c>
      <x:c r="R19" s="42" t="str">
        <x:v>완화</x:v>
      </x:c>
    </x:row>
    <x:row r="20">
      <x:c r="A20" s="42" t="str">
        <x:v>Normal30 약 24초 클리어</x:v>
      </x:c>
      <x:c r="B20" s="42" t="str">
        <x:v>넉넉</x:v>
      </x:c>
      <x:c r="C20" s="42" t="str">
        <x:v>Stage31 약 27~28초, Stage32 약 29초, Stage33 약 30초 목표.</x:v>
      </x:c>
    </x:row>
    <x:row r="21">
      <x:c r="A21" s="42" t="str">
        <x:v>Normal30 20~22초 클리어</x:v>
      </x:c>
      <x:c r="B21" s="42" t="str">
        <x:v>고육성/숙련</x:v>
      </x:c>
      <x:c r="C21" s="42" t="str">
        <x:v>Stage31~33 비교적 안정적으로 통과 가능.</x:v>
      </x:c>
    </x:row>
    <x:row r="22">
      <x:c r="A22" s="42" t="str">
        <x:v>Stage31~33 첫 실패</x:v>
      </x:c>
      <x:c r="B22" s="42" t="str">
        <x:v>허용</x:v>
      </x:c>
      <x:c r="C22" s="42" t="str">
        <x:v>실수·보스기믹·배치 실패는 정상.</x:v>
      </x:c>
      <x:c r="J22" t="str">
        <x:v>Stage</x:v>
      </x:c>
      <x:c r="K22" t="str">
        <x:v>기존 W10 EHP</x:v>
      </x:c>
      <x:c r="L22" t="str">
        <x:v>신규 W10 EHP</x:v>
      </x:c>
    </x:row>
    <x:row r="23">
      <x:c r="A23" s="42" t="str">
        <x:v>Stage33</x:v>
      </x:c>
      <x:c r="B23" s="42" t="str">
        <x:v>체크포인트</x:v>
      </x:c>
      <x:c r="C23" s="42" t="str">
        <x:v>잘 키운 무과금은 타이트하게 클리어 가능한 마지막 연속구간.</x:v>
      </x:c>
      <x:c r="J23" t="n">
        <x:v>31</x:v>
      </x:c>
      <x:c r="K23" t="n">
        <x:v>365011.901</x:v>
      </x:c>
      <x:c r="L23" t="n">
        <x:v>280001.163</x:v>
      </x:c>
    </x:row>
    <x:row r="24">
      <x:c r="A24" s="42" t="str">
        <x:v>Stage34</x:v>
      </x:c>
      <x:c r="B24" s="42" t="str">
        <x:v>첫 장기벽</x:v>
      </x:c>
      <x:c r="C24" s="42" t="str">
        <x:v>여기서부터 약 1주 성장 후 재도전.</x:v>
      </x:c>
      <x:c r="J24" t="n">
        <x:v>32</x:v>
      </x:c>
      <x:c r="K24" t="n">
        <x:v>421160.0484</x:v>
      </x:c>
      <x:c r="L24" t="n">
        <x:v>298502.16</x:v>
      </x:c>
    </x:row>
    <x:row r="25">
      <x:c r="J25" t="n">
        <x:v>33</x:v>
      </x:c>
      <x:c r="K25" t="n">
        <x:v>488030.965</x:v>
      </x:c>
      <x:c r="L25" t="n">
        <x:v>315255.76499999996</x:v>
      </x:c>
    </x:row>
  </x:sheetData>
  <x:mergeCells>
    <x:mergeCell ref="A1:R1"/>
    <x:mergeCell ref="A9:R9"/>
    <x:mergeCell ref="A17:R17"/>
  </x:mergeCells>
  <x:conditionalFormatting sqref="H4:H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715ca84ef1574a7a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4" hidden="0" customWidth="1"/>
    <x:col min="4" max="4" width="38" hidden="0" customWidth="1"/>
    <x:col min="6" max="6" width="16" hidden="0" customWidth="1"/>
    <x:col min="7" max="7" width="22" hidden="0" customWidth="1"/>
    <x:col min="8" max="8" width="20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</x:cols>
  <x:sheetData>
    <x:row r="1">
      <x:c r="A1" s="641" t="str">
        <x:v>RPG 보스전 전투공식 V1 — TD 이후 동일 영웅 파티 연계</x:v>
      </x:c>
      <x:c r="B1" s="641"/>
      <x:c r="C1" s="641"/>
      <x:c r="D1" s="641"/>
      <x:c r="E1" s="641"/>
      <x:c r="F1" s="641"/>
      <x:c r="G1" s="641"/>
      <x:c r="H1" s="641"/>
      <x:c r="I1" s="641"/>
      <x:c r="J1" s="641"/>
      <x:c r="K1" s="641"/>
      <x:c r="L1" s="641"/>
    </x:row>
    <x:row r="3">
      <x:c r="A3" s="644" t="str">
        <x:v>항목</x:v>
      </x:c>
      <x:c r="B3" s="644" t="str">
        <x:v>V1 기준</x:v>
      </x:c>
      <x:c r="C3" s="644" t="str">
        <x:v>공식/처리</x:v>
      </x:c>
      <x:c r="D3" s="644" t="str">
        <x:v>설계 목적</x:v>
      </x:c>
      <x:c r="F3" s="647" t="str">
        <x:v>판정</x:v>
      </x:c>
      <x:c r="G3" s="647" t="str">
        <x:v>RPG 예상</x:v>
      </x:c>
      <x:c r="H3" s="647" t="str">
        <x:v>의미</x:v>
      </x:c>
      <x:c r="I3" s="647" t="str">
        <x:v>TD 상태</x:v>
      </x:c>
      <x:c r="J3" s="647" t="str">
        <x:v>RPG 상태</x:v>
      </x:c>
      <x:c r="K3" s="647" t="str">
        <x:v>스테이지 결과</x:v>
      </x:c>
      <x:c r="L3" s="647" t="str">
        <x:v>조정</x:v>
      </x:c>
    </x:row>
    <x:row r="4">
      <x:c r="A4" s="42" t="str">
        <x:v>RPG 진입 파티</x:v>
      </x:c>
      <x:c r="B4" s="42" t="str">
        <x:v>TD에서 실제 소환한 영웅 최대 5명</x:v>
      </x:c>
      <x:c r="C4" s="42" t="str">
        <x:v>일반유닛/구조물은 RPG 미참가</x:v>
      </x:c>
      <x:c r="D4" s="42" t="str">
        <x:v>TD 조합 선택이 RPG 결과로 이어짐</x:v>
      </x:c>
      <x:c r="F4" s="42" t="str">
        <x:v>성공</x:v>
      </x:c>
      <x:c r="G4" s="42" t="str">
        <x:v>파티 생존 중 보스 처치</x:v>
      </x:c>
      <x:c r="H4" s="42" t="str">
        <x:v>정상</x:v>
      </x:c>
      <x:c r="I4" s="42" t="str">
        <x:v>성공</x:v>
      </x:c>
      <x:c r="J4" s="42" t="str">
        <x:v>성공</x:v>
      </x:c>
      <x:c r="K4" s="42" t="str">
        <x:v>클리어</x:v>
      </x:c>
      <x:c r="L4" s="42" t="str">
        <x:v>없음</x:v>
      </x:c>
    </x:row>
    <x:row r="5">
      <x:c r="A5" s="42" t="str">
        <x:v>RPG 스탯</x:v>
      </x:c>
      <x:c r="B5" s="42" t="str">
        <x:v>기존 HP/ATK/DEF × 로비성장 × 현재 TD 성급배율</x:v>
      </x:c>
      <x:c r="C5" s="42" t="str">
        <x:v>TD용 ATK와 별도</x:v>
      </x:c>
      <x:c r="D5" s="42" t="str">
        <x:v>기존 영웅 스탯의 목적을 살림</x:v>
      </x:c>
      <x:c r="F5" s="42" t="str">
        <x:v>RPG 실패</x:v>
      </x:c>
      <x:c r="G5" s="42" t="str">
        <x:v>TD는 통과했으나 파티 전멸</x:v>
      </x:c>
      <x:c r="H5" s="42" t="str">
        <x:v>성장/영웅구성 부족</x:v>
      </x:c>
      <x:c r="I5" s="42" t="str">
        <x:v>성공</x:v>
      </x:c>
      <x:c r="J5" s="42" t="str">
        <x:v>실패</x:v>
      </x:c>
      <x:c r="K5" s="42" t="str">
        <x:v>실패</x:v>
      </x:c>
      <x:c r="L5" s="42" t="str">
        <x:v>로비성장/영웅조합</x:v>
      </x:c>
    </x:row>
    <x:row r="6">
      <x:c r="A6" s="42" t="str">
        <x:v>방어 공식</x:v>
      </x:c>
      <x:c r="B6" s="42" t="str">
        <x:v>100/(100+DEF)</x:v>
      </x:c>
      <x:c r="C6" s="42" t="str">
        <x:v>공격 피해에 곱함</x:v>
      </x:c>
      <x:c r="D6" s="42" t="str">
        <x:v>TD와 동일 계열의 직관적 방어곡선</x:v>
      </x:c>
      <x:c r="F6" s="42" t="str">
        <x:v>TD 실패</x:v>
      </x:c>
      <x:c r="G6" s="42" t="str">
        <x:v>W10 30초 내 HP0 실패</x:v>
      </x:c>
      <x:c r="H6" s="42" t="str">
        <x:v>TD 화력/배치 부족</x:v>
      </x:c>
      <x:c r="I6" s="42" t="str">
        <x:v>실패</x:v>
      </x:c>
      <x:c r="J6" s="42" t="str">
        <x:v>미진입</x:v>
      </x:c>
      <x:c r="K6" s="42" t="str">
        <x:v>실패</x:v>
      </x:c>
      <x:c r="L6" s="42" t="str">
        <x:v>TD 빌드</x:v>
      </x:c>
    </x:row>
    <x:row r="7">
      <x:c r="A7" s="42" t="str">
        <x:v>기본공격</x:v>
      </x:c>
      <x:c r="B7" s="42" t="str">
        <x:v>자동</x:v>
      </x:c>
      <x:c r="C7" s="42" t="str">
        <x:v>ATK × APS × 방어배율</x:v>
      </x:c>
      <x:c r="D7" s="42" t="str">
        <x:v>실시간 오토배틀</x:v>
      </x:c>
      <x:c r="F7" s="42" t="str">
        <x:v>무전설 진입</x:v>
      </x:c>
      <x:c r="G7" s="42" t="str">
        <x:v>구제 시스템 작동</x:v>
      </x:c>
      <x:c r="H7" s="42" t="str">
        <x:v>학습용</x:v>
      </x:c>
      <x:c r="I7" s="42" t="str">
        <x:v>성공 가능</x:v>
      </x:c>
      <x:c r="J7" s="42" t="str">
        <x:v>대부분 실패</x:v>
      </x:c>
      <x:c r="K7" s="42" t="str">
        <x:v>학습</x:v>
      </x:c>
      <x:c r="L7" s="42" t="str">
        <x:v>운명의 주사위</x:v>
      </x:c>
    </x:row>
    <x:row r="8">
      <x:c r="A8" s="42" t="str">
        <x:v>스킬1</x:v>
      </x:c>
      <x:c r="B8" s="42" t="str">
        <x:v>기본 해금</x:v>
      </x:c>
      <x:c r="C8" s="42" t="str">
        <x:v>ATK×계수/CD</x:v>
      </x:c>
      <x:c r="D8" s="42" t="str">
        <x:v>AUTO 또는 수동</x:v>
      </x:c>
      <x:c r="F8" s="42" t="str">
        <x:v>Hard 체크</x:v>
      </x:c>
      <x:c r="G8" s="42" t="str">
        <x:v>TD/RPG 중 한쪽만 실패해도 정상</x:v>
      </x:c>
      <x:c r="H8" s="42" t="str">
        <x:v>성장벽 체감</x:v>
      </x:c>
      <x:c r="I8" s="42" t="str">
        <x:v>변동</x:v>
      </x:c>
      <x:c r="J8" s="42" t="str">
        <x:v>변동</x:v>
      </x:c>
      <x:c r="K8" s="42" t="str">
        <x:v>실패 허용</x:v>
      </x:c>
      <x:c r="L8" s="42" t="str">
        <x:v>재도전</x:v>
      </x:c>
    </x:row>
    <x:row r="9">
      <x:c r="A9" s="42" t="str">
        <x:v>스킬2</x:v>
      </x:c>
      <x:c r="B9" s="42" t="str">
        <x:v>Lv20 한계돌파 I</x:v>
      </x:c>
      <x:c r="C9" s="42" t="str">
        <x:v>피해 또는 버프/제어</x:v>
      </x:c>
      <x:c r="D9" s="42" t="str">
        <x:v>중반 성장 체감</x:v>
      </x:c>
    </x:row>
    <x:row r="10">
      <x:c r="A10" s="42" t="str">
        <x:v>스킬3 필살기</x:v>
      </x:c>
      <x:c r="B10" s="42" t="str">
        <x:v>Lv60 한계돌파 III</x:v>
      </x:c>
      <x:c r="C10" s="42" t="str">
        <x:v>ATK×계수 / 평균 30초 환산</x:v>
      </x:c>
      <x:c r="D10" s="42" t="str">
        <x:v>Hard 진입에서 첫 필살기 체감</x:v>
      </x:c>
      <x:c r="F10" s="792" t="str">
        <x:v>V4.2 실전규칙</x:v>
      </x:c>
      <x:c r="G10" s="792" t="str">
        <x:v>값</x:v>
      </x:c>
      <x:c r="H10" s="792" t="str">
        <x:v>적용</x:v>
      </x:c>
      <x:c r="I10" s="792" t="str">
        <x:v>의미</x:v>
      </x:c>
      <x:c r="J10" s="792" t="str">
        <x:v>엔진</x:v>
      </x:c>
      <x:c r="K10" s="792" t="str">
        <x:v>밸런스</x:v>
      </x:c>
      <x:c r="L10" s="792" t="str">
        <x:v>상태</x:v>
      </x:c>
    </x:row>
    <x:row r="11">
      <x:c r="A11" s="42" t="str">
        <x:v>보스 공격</x:v>
      </x:c>
      <x:c r="B11" s="42" t="str">
        <x:v>기본ATK + 스킬압박</x:v>
      </x:c>
      <x:c r="C11" s="42" t="str">
        <x:v>생존 계산은 기본공격×1.9 대상등가</x:v>
      </x:c>
      <x:c r="D11" s="42" t="str">
        <x:v>광역/스킬을 보수적으로 합산</x:v>
      </x:c>
      <x:c r="F11" s="42" t="str">
        <x:v>파티</x:v>
      </x:c>
      <x:c r="G11" s="42" t="str">
        <x:v>TD 슬롯 동일0~5</x:v>
      </x:c>
      <x:c r="H11" s="42" t="str">
        <x:v>RPG</x:v>
      </x:c>
      <x:c r="I11" s="42" t="str">
        <x:v>편성변경 없음</x:v>
      </x:c>
      <x:c r="J11" s="42" t="str">
        <x:v>고정</x:v>
      </x:c>
      <x:c r="K11" s="42" t="str">
        <x:v>필수</x:v>
      </x:c>
      <x:c r="L11" s="42" t="str">
        <x:v>LOCK</x:v>
      </x:c>
    </x:row>
    <x:row r="12">
      <x:c r="A12" s="42" t="str">
        <x:v>클리어</x:v>
      </x:c>
      <x:c r="B12" s="42" t="str">
        <x:v>보스 HP=0</x:v>
      </x:c>
      <x:c r="C12" s="42" t="str">
        <x:v>파티 전멸 전 처치</x:v>
      </x:c>
      <x:c r="D12" s="42" t="str">
        <x:v>TD 통과만으로 스테이지 클리어 아님</x:v>
      </x:c>
      <x:c r="F12" s="42" t="str">
        <x:v>대형</x:v>
      </x:c>
      <x:c r="G12" s="42" t="str">
        <x:v>전열2/후열3 시각전용</x:v>
      </x:c>
      <x:c r="H12" s="42" t="str">
        <x:v>RPG</x:v>
      </x:c>
      <x:c r="I12" s="42" t="str">
        <x:v>스탯보정 없음</x:v>
      </x:c>
      <x:c r="J12" s="42" t="str">
        <x:v>자동</x:v>
      </x:c>
      <x:c r="K12" s="42" t="str">
        <x:v>중립</x:v>
      </x:c>
      <x:c r="L12" s="42" t="str">
        <x:v>LOCK</x:v>
      </x:c>
    </x:row>
    <x:row r="13">
      <x:c r="A13" s="42" t="str">
        <x:v>권장 RPG 시간</x:v>
      </x:c>
      <x:c r="B13" s="42" t="str">
        <x:v>Normal 20~45초 / Hard 35~65초</x:v>
      </x:c>
      <x:c r="C13" s="42" t="str">
        <x:v>보스전 체감용 후보</x:v>
      </x:c>
      <x:c r="D13" s="42" t="str">
        <x:v>TD 5분 후 짧고 강한 마무리</x:v>
      </x:c>
      <x:c r="F13" s="42" t="str">
        <x:v>Skill1/2</x:v>
      </x:c>
      <x:c r="G13" s="42" t="str">
        <x:v>쿨다운</x:v>
      </x:c>
      <x:c r="H13" s="42" t="str">
        <x:v>RPG</x:v>
      </x:c>
      <x:c r="I13" s="42" t="str">
        <x:v>AUTO/수동</x:v>
      </x:c>
      <x:c r="J13" s="42" t="str">
        <x:v>기존CD</x:v>
      </x:c>
      <x:c r="K13" s="42" t="str">
        <x:v>딜/유틸</x:v>
      </x:c>
      <x:c r="L13" s="42" t="str">
        <x:v>LOCK</x:v>
      </x:c>
    </x:row>
    <x:row r="14">
      <x:c r="A14" s="42" t="str">
        <x:v>RPG 보스 HP 배율</x:v>
      </x:c>
      <x:c r="B14" s="42" t="str">
        <x:v>Normal ×1.25 / Hard ×1.50</x:v>
      </x:c>
      <x:c r="C14" s="42" t="str">
        <x:v>RPG 전용 배율</x:v>
      </x:c>
      <x:c r="D14" s="42" t="str">
        <x:v>TD용 W10 HP배율과 분리</x:v>
      </x:c>
      <x:c r="F14" s="42" t="str">
        <x:v>Skill3</x:v>
      </x:c>
      <x:c r="G14" s="42" t="str">
        <x:v>100 게이지</x:v>
      </x:c>
      <x:c r="H14" s="42" t="str">
        <x:v>RPG</x:v>
      </x:c>
      <x:c r="I14" s="42" t="str">
        <x:v>AUTO/수동</x:v>
      </x:c>
      <x:c r="J14" s="42" t="str">
        <x:v>공격+8/피격+5</x:v>
      </x:c>
      <x:c r="K14" s="42" t="str">
        <x:v>20~30초 체감</x:v>
      </x:c>
      <x:c r="L14" s="42" t="str">
        <x:v>LOCK</x:v>
      </x:c>
    </x:row>
    <x:row r="15">
      <x:c r="A15" s="42" t="str">
        <x:v>보스 압박계수</x:v>
      </x:c>
      <x:c r="B15" s="42" t="str">
        <x:v>기본공격 × 8.0 대상등가</x:v>
      </x:c>
      <x:c r="C15" s="42" t="str">
        <x:v>광역/스킬/다중타겟 압박 포함</x:v>
      </x:c>
      <x:c r="D15" s="42" t="str">
        <x:v>생존이 실제 판정에 영향</x:v>
      </x:c>
      <x:c r="F15" s="42" t="str">
        <x:v>보스 CC</x:v>
      </x:c>
      <x:c r="G15" s="42" t="str">
        <x:v>35% 지속</x:v>
      </x:c>
      <x:c r="H15" s="42" t="str">
        <x:v>RPG</x:v>
      </x:c>
      <x:c r="I15" s="42" t="str">
        <x:v>최종/설화20%</x:v>
      </x:c>
      <x:c r="J15" s="42" t="str">
        <x:v>저항</x:v>
      </x:c>
      <x:c r="K15" s="42" t="str">
        <x:v>CC락 방지</x:v>
      </x:c>
      <x:c r="L15" s="42" t="str">
        <x:v>LOCK</x:v>
      </x:c>
    </x:row>
    <x:row r="16">
      <x:c r="A16" s="42" t="str">
        <x:v>Hard 목표</x:v>
      </x:c>
      <x:c r="B16" s="42" t="str">
        <x:v>처치 35~45초 / 생존 40~60초</x:v>
      </x:c>
      <x:c r="C16" s="42" t="str">
        <x:v>Stage31~33 후보</x:v>
      </x:c>
      <x:c r="D16" s="42" t="str">
        <x:v>RPG도 타이트하게 만듦</x:v>
      </x:c>
      <x:c r="F16" s="42" t="str">
        <x:v>보스 디버프</x:v>
      </x:c>
      <x:c r="G16" s="42" t="str">
        <x:v>둔화30/방깎30/받피25% cap</x:v>
      </x:c>
      <x:c r="H16" s="42" t="str">
        <x:v>RPG</x:v>
      </x:c>
      <x:c r="I16" s="42" t="str">
        <x:v>중첩상한</x:v>
      </x:c>
      <x:c r="J16" s="42" t="str">
        <x:v>상한</x:v>
      </x:c>
      <x:c r="K16" s="42" t="str">
        <x:v>폭주 방지</x:v>
      </x:c>
      <x:c r="L16" s="42" t="str">
        <x:v>LOCK</x:v>
      </x:c>
    </x:row>
    <x:row r="17">
      <x:c r="A17" s="42" t="str">
        <x:v>Normal 목표</x:v>
      </x:c>
      <x:c r="B17" s="42" t="str">
        <x:v>처치 20~30초 / 생존 여유</x:v>
      </x:c>
      <x:c r="C17" s="42" t="str">
        <x:v>Stage30 기준</x:v>
      </x:c>
      <x:c r="D17" s="42" t="str">
        <x:v>Normal 졸업은 넉넉하게</x:v>
      </x:c>
      <x:c r="F17" s="42" t="str">
        <x:v>사망</x:v>
      </x:c>
      <x:c r="G17" s="42" t="str">
        <x:v>부활 없음</x:v>
      </x:c>
      <x:c r="H17" s="42" t="str">
        <x:v>RPG</x:v>
      </x:c>
      <x:c r="I17" s="42" t="str">
        <x:v>HP0 전투불능</x:v>
      </x:c>
      <x:c r="J17" s="42" t="str">
        <x:v>즉시</x:v>
      </x:c>
      <x:c r="K17" s="42" t="str">
        <x:v>파티책임</x:v>
      </x:c>
      <x:c r="L17" s="42" t="str">
        <x:v>LOCK</x:v>
      </x:c>
    </x:row>
    <x:row r="18">
      <x:c r="F18" s="42" t="str">
        <x:v>광폭</x:v>
      </x:c>
      <x:c r="G18" s="42" t="str">
        <x:v>70초</x:v>
      </x:c>
      <x:c r="H18" s="42" t="str">
        <x:v>Hard RPG</x:v>
      </x:c>
      <x:c r="I18" s="42" t="str">
        <x:v>ATK+50%, 이후10초마다+15%</x:v>
      </x:c>
      <x:c r="J18" s="42" t="str">
        <x:v>타이머</x:v>
      </x:c>
      <x:c r="K18" s="42" t="str">
        <x:v>무한버티기 방지</x:v>
      </x:c>
      <x:c r="L18" s="42" t="str">
        <x:v>LOCK</x:v>
      </x:c>
    </x:row>
  </x:sheetData>
  <x:mergeCells>
    <x:mergeCell ref="A1:L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9" hidden="0" customWidth="1"/>
    <x:col min="8" max="8" width="12" hidden="0" customWidth="1"/>
    <x:col min="9" max="9" width="9" hidden="0" customWidth="1"/>
    <x:col min="10" max="10" width="14" hidden="0" customWidth="1"/>
    <x:col min="11" max="11" width="9" hidden="0" customWidth="1"/>
    <x:col min="12" max="12" width="12" hidden="0" customWidth="1"/>
    <x:col min="13" max="13" width="13" hidden="0" customWidth="1"/>
    <x:col min="14" max="14" width="12" hidden="0" customWidth="1"/>
    <x:col min="15" max="15" width="20" hidden="0" customWidth="1"/>
    <x:col min="16" max="16" width="17" hidden="0" customWidth="1"/>
    <x:col min="17" max="17" width="17" hidden="0" customWidth="1"/>
    <x:col min="18" max="18" width="34" hidden="0" customWidth="1"/>
  </x:cols>
  <x:sheetData>
    <x:row r="1">
      <x:c r="A1" s="641" t="str">
        <x:v>전설 8 + 신화 12 — RPG 보스전 스탯 V1</x:v>
      </x:c>
      <x:c r="B1" s="641"/>
      <x:c r="C1" s="641"/>
      <x:c r="D1" s="641"/>
      <x:c r="E1" s="641"/>
      <x:c r="F1" s="641"/>
      <x:c r="G1" s="641"/>
      <x:c r="H1" s="641"/>
      <x:c r="I1" s="641"/>
      <x:c r="J1" s="641"/>
      <x:c r="K1" s="641"/>
      <x:c r="L1" s="641"/>
      <x:c r="M1" s="641"/>
      <x:c r="N1" s="641"/>
      <x:c r="O1" s="641"/>
      <x:c r="P1" s="641"/>
      <x:c r="Q1" s="641"/>
      <x:c r="R1" s="641"/>
    </x:row>
    <x:row r="3">
      <x:c r="A3" s="644" t="str">
        <x:v>등급</x:v>
      </x:c>
      <x:c r="B3" s="644" t="str">
        <x:v>영웅</x:v>
      </x:c>
      <x:c r="C3" s="644" t="str">
        <x:v>직업</x:v>
      </x:c>
      <x:c r="D3" s="644" t="str">
        <x:v>기본HP</x:v>
      </x:c>
      <x:c r="E3" s="644" t="str">
        <x:v>기본ATK</x:v>
      </x:c>
      <x:c r="F3" s="644" t="str">
        <x:v>기본DEF</x:v>
      </x:c>
      <x:c r="G3" s="644" t="str">
        <x:v>APS</x:v>
      </x:c>
      <x:c r="H3" s="644" t="str">
        <x:v>Skill1 계수</x:v>
      </x:c>
      <x:c r="I3" s="644" t="str">
        <x:v>S1 CD</x:v>
      </x:c>
      <x:c r="J3" s="644" t="str">
        <x:v>Skill2 피해계수</x:v>
      </x:c>
      <x:c r="K3" s="644" t="str">
        <x:v>S2 CD</x:v>
      </x:c>
      <x:c r="L3" s="644" t="str">
        <x:v>필살기 계수</x:v>
      </x:c>
      <x:c r="M3" s="644" t="str">
        <x:v>평균 파티버프</x:v>
      </x:c>
      <x:c r="N3" s="644" t="str">
        <x:v>생존유틸</x:v>
      </x:c>
      <x:c r="O3" s="644" t="str">
        <x:v>RPG 역할</x:v>
      </x:c>
      <x:c r="P3" s="644" t="str">
        <x:v>Lv60 단일 보스DPS 지수</x:v>
      </x:c>
      <x:c r="Q3" s="644" t="str">
        <x:v>RPG 생존지수</x:v>
      </x:c>
      <x:c r="R3" s="644" t="str">
        <x:v>비고</x:v>
      </x:c>
    </x:row>
    <x:row r="4">
      <x:c r="A4" s="42" t="str">
        <x:v>전설</x:v>
      </x:c>
      <x:c r="B4" s="42" t="str">
        <x:v>아리아</x:v>
      </x:c>
      <x:c r="C4" s="42" t="str">
        <x:v>성기사</x:v>
      </x:c>
      <x:c r="D4" s="42" t="n">
        <x:v>2600</x:v>
      </x:c>
      <x:c r="E4" s="42" t="n">
        <x:v>175</x:v>
      </x:c>
      <x:c r="F4" s="42" t="n">
        <x:v>125</x:v>
      </x:c>
      <x:c r="G4" s="618" t="n">
        <x:v>1</x:v>
      </x:c>
      <x:c r="H4" s="618" t="n">
        <x:v>1.6</x:v>
      </x:c>
      <x:c r="I4" s="618" t="n">
        <x:v>8</x:v>
      </x:c>
      <x:c r="J4" s="618" t="n">
        <x:v>0.4</x:v>
      </x:c>
      <x:c r="K4" s="618" t="n">
        <x:v>18</x:v>
      </x:c>
      <x:c r="L4" s="618" t="n">
        <x:v>4</x:v>
      </x:c>
      <x:c r="M4" s="618" t="n">
        <x:v>0.05</x:v>
      </x:c>
      <x:c r="N4" s="618" t="n">
        <x:v>0.15</x:v>
      </x:c>
      <x:c r="O4" s="42" t="str">
        <x:v>탱커형 딜러/파티보조</x:v>
      </x:c>
      <x:c r="P4" s="477" t="n">
        <x:v>273.63796833333333</x:v>
      </x:c>
      <x:c r="Q4" s="477" t="n">
        <x:v>24612.334745179993</x:v>
      </x:c>
      <x:c r="R4" s="42" t="str">
        <x:v>후보값 — 실제 엔진에서 미세조정</x:v>
      </x:c>
    </x:row>
    <x:row r="5">
      <x:c r="A5" s="42" t="str">
        <x:v>전설</x:v>
      </x:c>
      <x:c r="B5" s="42" t="str">
        <x:v>유나</x:v>
      </x:c>
      <x:c r="C5" s="42" t="str">
        <x:v>봉인술사</x:v>
      </x:c>
      <x:c r="D5" s="42" t="n">
        <x:v>2250</x:v>
      </x:c>
      <x:c r="E5" s="42" t="n">
        <x:v>150</x:v>
      </x:c>
      <x:c r="F5" s="42" t="n">
        <x:v>105</x:v>
      </x:c>
      <x:c r="G5" s="618" t="n">
        <x:v>0.9</x:v>
      </x:c>
      <x:c r="H5" s="618" t="n">
        <x:v>1.2</x:v>
      </x:c>
      <x:c r="I5" s="618" t="n">
        <x:v>9</x:v>
      </x:c>
      <x:c r="J5" s="618" t="n">
        <x:v>0.25</x:v>
      </x:c>
      <x:c r="K5" s="618" t="n">
        <x:v>16</x:v>
      </x:c>
      <x:c r="L5" s="618" t="n">
        <x:v>2.8</x:v>
      </x:c>
      <x:c r="M5" s="618" t="n">
        <x:v>0.03</x:v>
      </x:c>
      <x:c r="N5" s="618" t="n">
        <x:v>0.18</x:v>
      </x:c>
      <x:c r="O5" s="42" t="str">
        <x:v>보스 제어</x:v>
      </x:c>
      <x:c r="P5" s="477" t="n">
        <x:v>193.88186138125</x:v>
      </x:c>
      <x:c r="Q5" s="477" t="n">
        <x:v>19291.356560876397</x:v>
      </x:c>
      <x:c r="R5" s="42" t="str">
        <x:v>후보값 — 실제 엔진에서 미세조정</x:v>
      </x:c>
    </x:row>
    <x:row r="6">
      <x:c r="A6" s="42" t="str">
        <x:v>전설</x:v>
      </x:c>
      <x:c r="B6" s="42" t="str">
        <x:v>리엘</x:v>
      </x:c>
      <x:c r="C6" s="42" t="str">
        <x:v>화염 마술사</x:v>
      </x:c>
      <x:c r="D6" s="42" t="n">
        <x:v>2100</x:v>
      </x:c>
      <x:c r="E6" s="42" t="n">
        <x:v>205</x:v>
      </x:c>
      <x:c r="F6" s="42" t="n">
        <x:v>90</x:v>
      </x:c>
      <x:c r="G6" s="618" t="n">
        <x:v>0.95</x:v>
      </x:c>
      <x:c r="H6" s="618" t="n">
        <x:v>1.75</x:v>
      </x:c>
      <x:c r="I6" s="618" t="n">
        <x:v>8</x:v>
      </x:c>
      <x:c r="J6" s="618" t="n">
        <x:v>1.1</x:v>
      </x:c>
      <x:c r="K6" s="618" t="n">
        <x:v>14</x:v>
      </x:c>
      <x:c r="L6" s="618" t="n">
        <x:v>4.6</x:v>
      </x:c>
      <x:c r="M6" s="618" t="n">
        <x:v>0</x:v>
      </x:c>
      <x:c r="N6" s="618" t="n">
        <x:v>0.02</x:v>
      </x:c>
      <x:c r="O6" s="42" t="str">
        <x:v>지속 마딜</x:v>
      </x:c>
      <x:c r="P6" s="477" t="n">
        <x:v>315.4399182083332</x:v>
      </x:c>
      <x:c r="Q6" s="477" t="n">
        <x:v>14012.794480063678</x:v>
      </x:c>
      <x:c r="R6" s="42" t="str">
        <x:v>후보값 — 실제 엔진에서 미세조정</x:v>
      </x:c>
    </x:row>
    <x:row r="7">
      <x:c r="A7" s="42" t="str">
        <x:v>전설</x:v>
      </x:c>
      <x:c r="B7" s="42" t="str">
        <x:v>루비</x:v>
      </x:c>
      <x:c r="C7" s="42" t="str">
        <x:v>현상금 사냥꾼</x:v>
      </x:c>
      <x:c r="D7" s="42" t="n">
        <x:v>2200</x:v>
      </x:c>
      <x:c r="E7" s="42" t="n">
        <x:v>190</x:v>
      </x:c>
      <x:c r="F7" s="42" t="n">
        <x:v>95</x:v>
      </x:c>
      <x:c r="G7" s="618" t="n">
        <x:v>1.05</x:v>
      </x:c>
      <x:c r="H7" s="618" t="n">
        <x:v>1.55</x:v>
      </x:c>
      <x:c r="I7" s="618" t="n">
        <x:v>8</x:v>
      </x:c>
      <x:c r="J7" s="618" t="n">
        <x:v>0.9</x:v>
      </x:c>
      <x:c r="K7" s="618" t="n">
        <x:v>12</x:v>
      </x:c>
      <x:c r="L7" s="618" t="n">
        <x:v>4.3</x:v>
      </x:c>
      <x:c r="M7" s="618" t="n">
        <x:v>0.05</x:v>
      </x:c>
      <x:c r="N7" s="618" t="n">
        <x:v>0.02</x:v>
      </x:c>
      <x:c r="O7" s="42" t="str">
        <x:v>보스 표식/딜</x:v>
      </x:c>
      <x:c r="P7" s="477" t="n">
        <x:v>320.4399939125</x:v>
      </x:c>
      <x:c r="Q7" s="477" t="n">
        <x:v>15221.717261446078</x:v>
      </x:c>
      <x:c r="R7" s="42" t="str">
        <x:v>후보값 — 실제 엔진에서 미세조정</x:v>
      </x:c>
    </x:row>
    <x:row r="8">
      <x:c r="A8" s="42" t="str">
        <x:v>전설</x:v>
      </x:c>
      <x:c r="B8" s="42" t="str">
        <x:v>에리카</x:v>
      </x:c>
      <x:c r="C8" s="42" t="str">
        <x:v>용혈의 전사</x:v>
      </x:c>
      <x:c r="D8" s="42" t="n">
        <x:v>2850</x:v>
      </x:c>
      <x:c r="E8" s="42" t="n">
        <x:v>195</x:v>
      </x:c>
      <x:c r="F8" s="42" t="n">
        <x:v>115</x:v>
      </x:c>
      <x:c r="G8" s="618" t="n">
        <x:v>1</x:v>
      </x:c>
      <x:c r="H8" s="618" t="n">
        <x:v>1.65</x:v>
      </x:c>
      <x:c r="I8" s="618" t="n">
        <x:v>8</x:v>
      </x:c>
      <x:c r="J8" s="618" t="n">
        <x:v>0.5</x:v>
      </x:c>
      <x:c r="K8" s="618" t="n">
        <x:v>16</x:v>
      </x:c>
      <x:c r="L8" s="618" t="n">
        <x:v>4.2</x:v>
      </x:c>
      <x:c r="M8" s="618" t="n">
        <x:v>0.04</x:v>
      </x:c>
      <x:c r="N8" s="618" t="n">
        <x:v>0.08</x:v>
      </x:c>
      <x:c r="O8" s="42" t="str">
        <x:v>근접 브루저</x:v>
      </x:c>
      <x:c r="P8" s="477" t="n">
        <x:v>306.89601306000003</x:v>
      </x:c>
      <x:c r="Q8" s="477" t="n">
        <x:v>23850.802938604316</x:v>
      </x:c>
      <x:c r="R8" s="42" t="str">
        <x:v>후보값 — 실제 엔진에서 미세조정</x:v>
      </x:c>
    </x:row>
    <x:row r="9">
      <x:c r="A9" s="42" t="str">
        <x:v>전설</x:v>
      </x:c>
      <x:c r="B9" s="42" t="str">
        <x:v>세라</x:v>
      </x:c>
      <x:c r="C9" s="42" t="str">
        <x:v>버퍼</x:v>
      </x:c>
      <x:c r="D9" s="42" t="n">
        <x:v>2350</x:v>
      </x:c>
      <x:c r="E9" s="42" t="n">
        <x:v>120</x:v>
      </x:c>
      <x:c r="F9" s="42" t="n">
        <x:v>110</x:v>
      </x:c>
      <x:c r="G9" s="618" t="n">
        <x:v>0.85</x:v>
      </x:c>
      <x:c r="H9" s="618" t="n">
        <x:v>0.8</x:v>
      </x:c>
      <x:c r="I9" s="618" t="n">
        <x:v>10</x:v>
      </x:c>
      <x:c r="J9" s="618" t="n">
        <x:v>0.2</x:v>
      </x:c>
      <x:c r="K9" s="618" t="n">
        <x:v>18</x:v>
      </x:c>
      <x:c r="L9" s="618" t="n">
        <x:v>2.2</x:v>
      </x:c>
      <x:c r="M9" s="618" t="n">
        <x:v>0.14</x:v>
      </x:c>
      <x:c r="N9" s="618" t="n">
        <x:v>0.2</x:v>
      </x:c>
      <x:c r="O9" s="42" t="str">
        <x:v>버퍼/회복</x:v>
      </x:c>
      <x:c r="P9" s="477" t="n">
        <x:v>152.45653808000003</x:v>
      </x:c>
      <x:c r="Q9" s="477" t="n">
        <x:v>21170.933627491195</x:v>
      </x:c>
      <x:c r="R9" s="42" t="str">
        <x:v>후보값 — 실제 엔진에서 미세조정</x:v>
      </x:c>
    </x:row>
    <x:row r="10">
      <x:c r="A10" s="42" t="str">
        <x:v>전설</x:v>
      </x:c>
      <x:c r="B10" s="42" t="str">
        <x:v>레이나</x:v>
      </x:c>
      <x:c r="C10" s="42" t="str">
        <x:v>빙결 마술사</x:v>
      </x:c>
      <x:c r="D10" s="42" t="n">
        <x:v>2150</x:v>
      </x:c>
      <x:c r="E10" s="42" t="n">
        <x:v>185</x:v>
      </x:c>
      <x:c r="F10" s="42" t="n">
        <x:v>100</x:v>
      </x:c>
      <x:c r="G10" s="618" t="n">
        <x:v>0.9</x:v>
      </x:c>
      <x:c r="H10" s="618" t="n">
        <x:v>1.3</x:v>
      </x:c>
      <x:c r="I10" s="618" t="n">
        <x:v>9</x:v>
      </x:c>
      <x:c r="J10" s="618" t="n">
        <x:v>0.35</x:v>
      </x:c>
      <x:c r="K10" s="618" t="n">
        <x:v>15</x:v>
      </x:c>
      <x:c r="L10" s="618" t="n">
        <x:v>3.2</x:v>
      </x:c>
      <x:c r="M10" s="618" t="n">
        <x:v>0.02</x:v>
      </x:c>
      <x:c r="N10" s="618" t="n">
        <x:v>0.16</x:v>
      </x:c>
      <x:c r="O10" s="42" t="str">
        <x:v>빙결 제어</x:v>
      </x:c>
      <x:c r="P10" s="477" t="n">
        <x:v>243.46473624666663</x:v>
      </x:c>
      <x:c r="Q10" s="477" t="n">
        <x:v>17519.532131606393</x:v>
      </x:c>
      <x:c r="R10" s="42" t="str">
        <x:v>후보값 — 실제 엔진에서 미세조정</x:v>
      </x:c>
    </x:row>
    <x:row r="11">
      <x:c r="A11" s="42" t="str">
        <x:v>전설</x:v>
      </x:c>
      <x:c r="B11" s="42" t="str">
        <x:v>카린</x:v>
      </x:c>
      <x:c r="C11" s="42" t="str">
        <x:v>암살자</x:v>
      </x:c>
      <x:c r="D11" s="42" t="n">
        <x:v>2050</x:v>
      </x:c>
      <x:c r="E11" s="42" t="n">
        <x:v>220</x:v>
      </x:c>
      <x:c r="F11" s="42" t="n">
        <x:v>85</x:v>
      </x:c>
      <x:c r="G11" s="618" t="n">
        <x:v>1.2</x:v>
      </x:c>
      <x:c r="H11" s="618" t="n">
        <x:v>1.7</x:v>
      </x:c>
      <x:c r="I11" s="618" t="n">
        <x:v>7</x:v>
      </x:c>
      <x:c r="J11" s="618" t="n">
        <x:v>0.9</x:v>
      </x:c>
      <x:c r="K11" s="618" t="n">
        <x:v>11</x:v>
      </x:c>
      <x:c r="L11" s="618" t="n">
        <x:v>4.8</x:v>
      </x:c>
      <x:c r="M11" s="618" t="n">
        <x:v>0.03</x:v>
      </x:c>
      <x:c r="N11" s="618" t="n">
        <x:v>0.03</x:v>
      </x:c>
      <x:c r="O11" s="42" t="str">
        <x:v>단일 폭딜</x:v>
      </x:c>
      <x:c r="P11" s="477" t="n">
        <x:v>419.3800900799999</x:v>
      </x:c>
      <x:c r="Q11" s="477" t="n">
        <x:v>13303.60130753724</x:v>
      </x:c>
      <x:c r="R11" s="42" t="str">
        <x:v>후보값 — 실제 엔진에서 미세조정</x:v>
      </x:c>
    </x:row>
    <x:row r="12">
      <x:c r="A12" s="42" t="str">
        <x:v>신화</x:v>
      </x:c>
      <x:c r="B12" s="42" t="str">
        <x:v>벨</x:v>
      </x:c>
      <x:c r="C12" s="42" t="str">
        <x:v>인형사</x:v>
      </x:c>
      <x:c r="D12" s="42" t="n">
        <x:v>3200</x:v>
      </x:c>
      <x:c r="E12" s="42" t="n">
        <x:v>235</x:v>
      </x:c>
      <x:c r="F12" s="42" t="n">
        <x:v>135</x:v>
      </x:c>
      <x:c r="G12" s="618" t="n">
        <x:v>1</x:v>
      </x:c>
      <x:c r="H12" s="618" t="n">
        <x:v>1.35</x:v>
      </x:c>
      <x:c r="I12" s="618" t="n">
        <x:v>8</x:v>
      </x:c>
      <x:c r="J12" s="618" t="n">
        <x:v>0.5</x:v>
      </x:c>
      <x:c r="K12" s="618" t="n">
        <x:v>14</x:v>
      </x:c>
      <x:c r="L12" s="618" t="n">
        <x:v>3.6</x:v>
      </x:c>
      <x:c r="M12" s="618" t="n">
        <x:v>0.06</x:v>
      </x:c>
      <x:c r="N12" s="618" t="n">
        <x:v>0.1</x:v>
      </x:c>
      <x:c r="O12" s="42" t="str">
        <x:v>제어/추가타</x:v>
      </x:c>
      <x:c r="P12" s="477" t="n">
        <x:v>362.44796677249997</x:v>
      </x:c>
      <x:c r="Q12" s="477" t="n">
        <x:v>30674.340535731193</x:v>
      </x:c>
      <x:c r="R12" s="42" t="str">
        <x:v>후보값 — 실제 엔진에서 미세조정</x:v>
      </x:c>
    </x:row>
    <x:row r="13">
      <x:c r="A13" s="42" t="str">
        <x:v>신화</x:v>
      </x:c>
      <x:c r="B13" s="42" t="str">
        <x:v>미아</x:v>
      </x:c>
      <x:c r="C13" s="42" t="str">
        <x:v>보물 사냥꾼</x:v>
      </x:c>
      <x:c r="D13" s="42" t="n">
        <x:v>2950</x:v>
      </x:c>
      <x:c r="E13" s="42" t="n">
        <x:v>260</x:v>
      </x:c>
      <x:c r="F13" s="42" t="n">
        <x:v>120</x:v>
      </x:c>
      <x:c r="G13" s="618" t="n">
        <x:v>1.05</x:v>
      </x:c>
      <x:c r="H13" s="618" t="n">
        <x:v>1.45</x:v>
      </x:c>
      <x:c r="I13" s="618" t="n">
        <x:v>7</x:v>
      </x:c>
      <x:c r="J13" s="618" t="n">
        <x:v>0.6</x:v>
      </x:c>
      <x:c r="K13" s="618" t="n">
        <x:v>13</x:v>
      </x:c>
      <x:c r="L13" s="618" t="n">
        <x:v>4</x:v>
      </x:c>
      <x:c r="M13" s="618" t="n">
        <x:v>0.04</x:v>
      </x:c>
      <x:c r="N13" s="618" t="n">
        <x:v>0.03</x:v>
      </x:c>
      <x:c r="O13" s="42" t="str">
        <x:v>연속포격</x:v>
      </x:c>
      <x:c r="P13" s="477" t="n">
        <x:v>426.75961813333333</x:v>
      </x:c>
      <x:c r="Q13" s="477" t="n">
        <x:v>24278.145153590718</x:v>
      </x:c>
      <x:c r="R13" s="42" t="str">
        <x:v>후보값 — 실제 엔진에서 미세조정</x:v>
      </x:c>
    </x:row>
    <x:row r="14">
      <x:c r="A14" s="42" t="str">
        <x:v>신화</x:v>
      </x:c>
      <x:c r="B14" s="42" t="str">
        <x:v>아이린</x:v>
      </x:c>
      <x:c r="C14" s="42" t="str">
        <x:v>전투 메이드</x:v>
      </x:c>
      <x:c r="D14" s="42" t="n">
        <x:v>3400</x:v>
      </x:c>
      <x:c r="E14" s="42" t="n">
        <x:v>240</x:v>
      </x:c>
      <x:c r="F14" s="42" t="n">
        <x:v>150</x:v>
      </x:c>
      <x:c r="G14" s="618" t="n">
        <x:v>1</x:v>
      </x:c>
      <x:c r="H14" s="618" t="n">
        <x:v>1.5</x:v>
      </x:c>
      <x:c r="I14" s="618" t="n">
        <x:v>8</x:v>
      </x:c>
      <x:c r="J14" s="618" t="n">
        <x:v>0.5</x:v>
      </x:c>
      <x:c r="K14" s="618" t="n">
        <x:v>15</x:v>
      </x:c>
      <x:c r="L14" s="618" t="n">
        <x:v>4.1</x:v>
      </x:c>
      <x:c r="M14" s="618" t="n">
        <x:v>0.07</x:v>
      </x:c>
      <x:c r="N14" s="618" t="n">
        <x:v>0.12</x:v>
      </x:c>
      <x:c r="O14" s="42" t="str">
        <x:v>범용 브루저</x:v>
      </x:c>
      <x:c r="P14" s="477" t="n">
        <x:v>382.97157948000006</x:v>
      </x:c>
      <x:c r="Q14" s="477" t="n">
        <x:v>35941.534198707195</x:v>
      </x:c>
      <x:c r="R14" s="42" t="str">
        <x:v>후보값 — 실제 엔진에서 미세조정</x:v>
      </x:c>
    </x:row>
    <x:row r="15">
      <x:c r="A15" s="42" t="str">
        <x:v>신화</x:v>
      </x:c>
      <x:c r="B15" s="42" t="str">
        <x:v>네온</x:v>
      </x:c>
      <x:c r="C15" s="42" t="str">
        <x:v>형상 마술사</x:v>
      </x:c>
      <x:c r="D15" s="42" t="n">
        <x:v>2850</x:v>
      </x:c>
      <x:c r="E15" s="42" t="n">
        <x:v>255</x:v>
      </x:c>
      <x:c r="F15" s="42" t="n">
        <x:v>110</x:v>
      </x:c>
      <x:c r="G15" s="618" t="n">
        <x:v>1.05</x:v>
      </x:c>
      <x:c r="H15" s="618" t="n">
        <x:v>1.4</x:v>
      </x:c>
      <x:c r="I15" s="618" t="n">
        <x:v>7</x:v>
      </x:c>
      <x:c r="J15" s="618" t="n">
        <x:v>0.75</x:v>
      </x:c>
      <x:c r="K15" s="618" t="n">
        <x:v>12</x:v>
      </x:c>
      <x:c r="L15" s="618" t="n">
        <x:v>4.2</x:v>
      </x:c>
      <x:c r="M15" s="618" t="n">
        <x:v>0.03</x:v>
      </x:c>
      <x:c r="N15" s="618" t="n">
        <x:v>0.03</x:v>
      </x:c>
      <x:c r="O15" s="42" t="str">
        <x:v>속성 딜러</x:v>
      </x:c>
      <x:c r="P15" s="477" t="n">
        <x:v>419.1073087424999</x:v>
      </x:c>
      <x:c r="Q15" s="477" t="n">
        <x:v>22038.04101542568</x:v>
      </x:c>
      <x:c r="R15" s="42" t="str">
        <x:v>후보값 — 실제 엔진에서 미세조정</x:v>
      </x:c>
    </x:row>
    <x:row r="16">
      <x:c r="A16" s="42" t="str">
        <x:v>신화</x:v>
      </x:c>
      <x:c r="B16" s="42" t="str">
        <x:v>샤샤</x:v>
      </x:c>
      <x:c r="C16" s="42" t="str">
        <x:v>공병/폭파병</x:v>
      </x:c>
      <x:c r="D16" s="42" t="n">
        <x:v>3100</x:v>
      </x:c>
      <x:c r="E16" s="42" t="n">
        <x:v>270</x:v>
      </x:c>
      <x:c r="F16" s="42" t="n">
        <x:v>120</x:v>
      </x:c>
      <x:c r="G16" s="618" t="n">
        <x:v>0.9</x:v>
      </x:c>
      <x:c r="H16" s="618" t="n">
        <x:v>1.75</x:v>
      </x:c>
      <x:c r="I16" s="618" t="n">
        <x:v>8</x:v>
      </x:c>
      <x:c r="J16" s="618" t="n">
        <x:v>1</x:v>
      </x:c>
      <x:c r="K16" s="618" t="n">
        <x:v>13</x:v>
      </x:c>
      <x:c r="L16" s="618" t="n">
        <x:v>4.5</x:v>
      </x:c>
      <x:c r="M16" s="618" t="n">
        <x:v>0</x:v>
      </x:c>
      <x:c r="N16" s="618" t="n">
        <x:v>0.02</x:v>
      </x:c>
      <x:c r="O16" s="42" t="str">
        <x:v>폭발 딜러</x:v>
      </x:c>
      <x:c r="P16" s="477" t="n">
        <x:v>399.14897278846144</x:v>
      </x:c>
      <x:c r="Q16" s="477" t="n">
        <x:v>25264.931701712634</x:v>
      </x:c>
      <x:c r="R16" s="42" t="str">
        <x:v>후보값 — 실제 엔진에서 미세조정</x:v>
      </x:c>
    </x:row>
    <x:row r="17">
      <x:c r="A17" s="42" t="str">
        <x:v>신화</x:v>
      </x:c>
      <x:c r="B17" s="42" t="str">
        <x:v>루나</x:v>
      </x:c>
      <x:c r="C17" s="42" t="str">
        <x:v>사제 / 운명술사</x:v>
      </x:c>
      <x:c r="D17" s="42" t="n">
        <x:v>2800</x:v>
      </x:c>
      <x:c r="E17" s="42" t="n">
        <x:v>230</x:v>
      </x:c>
      <x:c r="F17" s="42" t="n">
        <x:v>125</x:v>
      </x:c>
      <x:c r="G17" s="618" t="n">
        <x:v>0.9</x:v>
      </x:c>
      <x:c r="H17" s="618" t="n">
        <x:v>1.2</x:v>
      </x:c>
      <x:c r="I17" s="618" t="n">
        <x:v>9</x:v>
      </x:c>
      <x:c r="J17" s="618" t="n">
        <x:v>0.3</x:v>
      </x:c>
      <x:c r="K17" s="618" t="n">
        <x:v>15</x:v>
      </x:c>
      <x:c r="L17" s="618" t="n">
        <x:v>3.2</x:v>
      </x:c>
      <x:c r="M17" s="618" t="n">
        <x:v>0.07</x:v>
      </x:c>
      <x:c r="N17" s="618" t="n">
        <x:v>0.15</x:v>
      </x:c>
      <x:c r="O17" s="42" t="str">
        <x:v>표식/시간제어</x:v>
      </x:c>
      <x:c r="P17" s="477" t="n">
        <x:v>313.61822408</x:v>
      </x:c>
      <x:c r="Q17" s="477" t="n">
        <x:v>26505.591264039995</x:v>
      </x:c>
      <x:c r="R17" s="42" t="str">
        <x:v>후보값 — 실제 엔진에서 미세조정</x:v>
      </x:c>
    </x:row>
    <x:row r="18">
      <x:c r="A18" s="42" t="str">
        <x:v>신화</x:v>
      </x:c>
      <x:c r="B18" s="42" t="str">
        <x:v>비올라</x:v>
      </x:c>
      <x:c r="C18" s="42" t="str">
        <x:v>마녀 / 독술사</x:v>
      </x:c>
      <x:c r="D18" s="42" t="n">
        <x:v>2750</x:v>
      </x:c>
      <x:c r="E18" s="42" t="n">
        <x:v>250</x:v>
      </x:c>
      <x:c r="F18" s="42" t="n">
        <x:v>105</x:v>
      </x:c>
      <x:c r="G18" s="618" t="n">
        <x:v>0.95</x:v>
      </x:c>
      <x:c r="H18" s="618" t="n">
        <x:v>1.4</x:v>
      </x:c>
      <x:c r="I18" s="618" t="n">
        <x:v>8</x:v>
      </x:c>
      <x:c r="J18" s="618" t="n">
        <x:v>0.8</x:v>
      </x:c>
      <x:c r="K18" s="618" t="n">
        <x:v>13</x:v>
      </x:c>
      <x:c r="L18" s="618" t="n">
        <x:v>4.2</x:v>
      </x:c>
      <x:c r="M18" s="618" t="n">
        <x:v>0.05</x:v>
      </x:c>
      <x:c r="N18" s="618" t="n">
        <x:v>0.03</x:v>
      </x:c>
      <x:c r="O18" s="42" t="str">
        <x:v>독/방깎</x:v>
      </x:c>
      <x:c r="P18" s="477" t="n">
        <x:v>382.5435135576922</x:v>
      </x:c>
      <x:c r="Q18" s="477" t="n">
        <x:v>20581.080022102597</x:v>
      </x:c>
      <x:c r="R18" s="42" t="str">
        <x:v>후보값 — 실제 엔진에서 미세조정</x:v>
      </x:c>
    </x:row>
    <x:row r="19">
      <x:c r="A19" s="42" t="str">
        <x:v>신화</x:v>
      </x:c>
      <x:c r="B19" s="42" t="str">
        <x:v>클로에</x:v>
      </x:c>
      <x:c r="C19" s="42" t="str">
        <x:v>아이돌 / 음률술사</x:v>
      </x:c>
      <x:c r="D19" s="42" t="n">
        <x:v>2900</x:v>
      </x:c>
      <x:c r="E19" s="42" t="n">
        <x:v>190</x:v>
      </x:c>
      <x:c r="F19" s="42" t="n">
        <x:v>125</x:v>
      </x:c>
      <x:c r="G19" s="618" t="n">
        <x:v>0.9</x:v>
      </x:c>
      <x:c r="H19" s="618" t="n">
        <x:v>0.95</x:v>
      </x:c>
      <x:c r="I19" s="618" t="n">
        <x:v>9</x:v>
      </x:c>
      <x:c r="J19" s="618" t="n">
        <x:v>0.75</x:v>
      </x:c>
      <x:c r="K19" s="618" t="n">
        <x:v>12</x:v>
      </x:c>
      <x:c r="L19" s="618" t="n">
        <x:v>2.8</x:v>
      </x:c>
      <x:c r="M19" s="618" t="n">
        <x:v>0.15</x:v>
      </x:c>
      <x:c r="N19" s="618" t="n">
        <x:v>0.1</x:v>
      </x:c>
      <x:c r="O19" s="42" t="str">
        <x:v>글로벌 버퍼</x:v>
      </x:c>
      <x:c r="P19" s="477" t="n">
        <x:v>278.77947531388884</x:v>
      </x:c>
      <x:c r="Q19" s="477" t="n">
        <x:v>26258.644761579995</x:v>
      </x:c>
      <x:c r="R19" s="42" t="str">
        <x:v>후보값 — 실제 엔진에서 미세조정</x:v>
      </x:c>
    </x:row>
    <x:row r="20">
      <x:c r="A20" s="42" t="str">
        <x:v>신화</x:v>
      </x:c>
      <x:c r="B20" s="42" t="str">
        <x:v>아델</x:v>
      </x:c>
      <x:c r="C20" s="42" t="str">
        <x:v>중갑기사 / 수호자</x:v>
      </x:c>
      <x:c r="D20" s="42" t="n">
        <x:v>3800</x:v>
      </x:c>
      <x:c r="E20" s="42" t="n">
        <x:v>205</x:v>
      </x:c>
      <x:c r="F20" s="42" t="n">
        <x:v>175</x:v>
      </x:c>
      <x:c r="G20" s="618" t="n">
        <x:v>0.9</x:v>
      </x:c>
      <x:c r="H20" s="618" t="n">
        <x:v>1.3</x:v>
      </x:c>
      <x:c r="I20" s="618" t="n">
        <x:v>9</x:v>
      </x:c>
      <x:c r="J20" s="618" t="n">
        <x:v>0.35</x:v>
      </x:c>
      <x:c r="K20" s="618" t="n">
        <x:v>16</x:v>
      </x:c>
      <x:c r="L20" s="618" t="n">
        <x:v>3.3</x:v>
      </x:c>
      <x:c r="M20" s="618" t="n">
        <x:v>0.04</x:v>
      </x:c>
      <x:c r="N20" s="618" t="n">
        <x:v>0.25</x:v>
      </x:c>
      <x:c r="O20" s="42" t="str">
        <x:v>탱커/보호</x:v>
      </x:c>
      <x:c r="P20" s="477" t="n">
        <x:v>275.5143124572223</x:v>
      </x:c>
      <x:c r="Q20" s="477" t="n">
        <x:v>50565.204045299986</x:v>
      </x:c>
      <x:c r="R20" s="42" t="str">
        <x:v>후보값 — 실제 엔진에서 미세조정</x:v>
      </x:c>
    </x:row>
    <x:row r="21">
      <x:c r="A21" s="42" t="str">
        <x:v>신화</x:v>
      </x:c>
      <x:c r="B21" s="42" t="str">
        <x:v>니아</x:v>
      </x:c>
      <x:c r="C21" s="42" t="str">
        <x:v>악마 / 혈마법사</x:v>
      </x:c>
      <x:c r="D21" s="42" t="n">
        <x:v>3000</x:v>
      </x:c>
      <x:c r="E21" s="42" t="n">
        <x:v>285</x:v>
      </x:c>
      <x:c r="F21" s="42" t="n">
        <x:v>105</x:v>
      </x:c>
      <x:c r="G21" s="618" t="n">
        <x:v>1</x:v>
      </x:c>
      <x:c r="H21" s="618" t="n">
        <x:v>1.7</x:v>
      </x:c>
      <x:c r="I21" s="618" t="n">
        <x:v>7</x:v>
      </x:c>
      <x:c r="J21" s="618" t="n">
        <x:v>0.7</x:v>
      </x:c>
      <x:c r="K21" s="618" t="n">
        <x:v>13</x:v>
      </x:c>
      <x:c r="L21" s="618" t="n">
        <x:v>4.8</x:v>
      </x:c>
      <x:c r="M21" s="618" t="n">
        <x:v>0.08</x:v>
      </x:c>
      <x:c r="N21" s="618" t="n">
        <x:v>0.03</x:v>
      </x:c>
      <x:c r="O21" s="42" t="str">
        <x:v>보스 디버퍼</x:v>
      </x:c>
      <x:c r="P21" s="477" t="n">
        <x:v>492.5739121476922</x:v>
      </x:c>
      <x:c r="Q21" s="477" t="n">
        <x:v>22452.0872968392</x:v>
      </x:c>
      <x:c r="R21" s="42" t="str">
        <x:v>후보값 — 실제 엔진에서 미세조정</x:v>
      </x:c>
    </x:row>
    <x:row r="22">
      <x:c r="A22" s="42" t="str">
        <x:v>신화</x:v>
      </x:c>
      <x:c r="B22" s="42" t="str">
        <x:v>오로라</x:v>
      </x:c>
      <x:c r="C22" s="42" t="str">
        <x:v>별술사 / 천체마법사</x:v>
      </x:c>
      <x:c r="D22" s="42" t="n">
        <x:v>2950</x:v>
      </x:c>
      <x:c r="E22" s="42" t="n">
        <x:v>275</x:v>
      </x:c>
      <x:c r="F22" s="42" t="n">
        <x:v>115</x:v>
      </x:c>
      <x:c r="G22" s="618" t="n">
        <x:v>1</x:v>
      </x:c>
      <x:c r="H22" s="618" t="n">
        <x:v>1.55</x:v>
      </x:c>
      <x:c r="I22" s="618" t="n">
        <x:v>8</x:v>
      </x:c>
      <x:c r="J22" s="618" t="n">
        <x:v>0.45</x:v>
      </x:c>
      <x:c r="K22" s="618" t="n">
        <x:v>15</x:v>
      </x:c>
      <x:c r="L22" s="618" t="n">
        <x:v>4.5</x:v>
      </x:c>
      <x:c r="M22" s="618" t="n">
        <x:v>0.07</x:v>
      </x:c>
      <x:c r="N22" s="618" t="n">
        <x:v>0.03</x:v>
      </x:c>
      <x:c r="O22" s="42" t="str">
        <x:v>광역/시너지</x:v>
      </x:c>
      <x:c r="P22" s="477" t="n">
        <x:v>444.07453041875</x:v>
      </x:c>
      <x:c r="Q22" s="477" t="n">
        <x:v>23544.725383024437</x:v>
      </x:c>
      <x:c r="R22" s="42" t="str">
        <x:v>후보값 — 실제 엔진에서 미세조정</x:v>
      </x:c>
    </x:row>
    <x:row r="23">
      <x:c r="A23" s="42" t="str">
        <x:v>신화</x:v>
      </x:c>
      <x:c r="B23" s="42" t="str">
        <x:v>이브</x:v>
      </x:c>
      <x:c r="C23" s="42" t="str">
        <x:v>시간술사</x:v>
      </x:c>
      <x:c r="D23" s="42" t="n">
        <x:v>2850</x:v>
      </x:c>
      <x:c r="E23" s="42" t="n">
        <x:v>250</x:v>
      </x:c>
      <x:c r="F23" s="42" t="n">
        <x:v>120</x:v>
      </x:c>
      <x:c r="G23" s="618" t="n">
        <x:v>0.95</x:v>
      </x:c>
      <x:c r="H23" s="618" t="n">
        <x:v>1.2</x:v>
      </x:c>
      <x:c r="I23" s="618" t="n">
        <x:v>8</x:v>
      </x:c>
      <x:c r="J23" s="618" t="n">
        <x:v>0.35</x:v>
      </x:c>
      <x:c r="K23" s="618" t="n">
        <x:v>14</x:v>
      </x:c>
      <x:c r="L23" s="618" t="n">
        <x:v>3.2</x:v>
      </x:c>
      <x:c r="M23" s="618" t="n">
        <x:v>0.05</x:v>
      </x:c>
      <x:c r="N23" s="618" t="n">
        <x:v>0.18</x:v>
      </x:c>
      <x:c r="O23" s="42" t="str">
        <x:v>시간제어</x:v>
      </x:c>
      <x:c r="P23" s="477" t="n">
        <x:v>355.18464624999996</x:v>
      </x:c>
      <x:c r="Q23" s="477" t="n">
        <x:v>26870.95677193535</x:v>
      </x:c>
      <x:c r="R23" s="42" t="str">
        <x:v>후보값 — 실제 엔진에서 미세조정</x:v>
      </x:c>
    </x:row>
  </x:sheetData>
  <x:mergeCells>
    <x:mergeCell ref="A1:R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8" hidden="0" customWidth="1"/>
    <x:col min="4" max="4" width="10" hidden="0" customWidth="1"/>
    <x:col min="5" max="5" width="13" hidden="0" customWidth="1"/>
    <x:col min="6" max="6" width="13" hidden="0" customWidth="1"/>
    <x:col min="7" max="7" width="10" hidden="0" customWidth="1"/>
    <x:col min="8" max="8" width="42" hidden="0" customWidth="1"/>
    <x:col min="9" max="9" width="13" hidden="0" customWidth="1"/>
    <x:col min="10" max="10" width="13" hidden="0" customWidth="1"/>
    <x:col min="11" max="11" width="13" hidden="0" customWidth="1"/>
    <x:col min="12" max="12" width="10" hidden="0" customWidth="1"/>
    <x:col min="13" max="13" width="12" hidden="0" customWidth="1"/>
    <x:col min="14" max="14" width="12" hidden="0" customWidth="1"/>
    <x:col min="15" max="15" width="9" hidden="0" customWidth="1"/>
    <x:col min="16" max="16" width="9" hidden="0" customWidth="1"/>
    <x:col min="17" max="17" width="12" hidden="0" customWidth="1"/>
    <x:col min="18" max="18" width="12" hidden="0" customWidth="1"/>
    <x:col min="19" max="19" width="12" hidden="0" customWidth="1"/>
    <x:col min="20" max="20" width="10" hidden="0" customWidth="1"/>
    <x:col min="21" max="21" width="24" hidden="0" customWidth="1"/>
    <x:col min="22" max="22" width="40" hidden="0" customWidth="1"/>
  </x:cols>
  <x:sheetData>
    <x:row r="1">
      <x:c r="A1" s="641" t="str">
        <x:v>Stage 30~33 — TD + RPG 통합 클리어 검수 V3.4</x:v>
      </x:c>
      <x:c r="B1" s="641"/>
      <x:c r="C1" s="641"/>
      <x:c r="D1" s="641"/>
      <x:c r="E1" s="641"/>
      <x:c r="F1" s="641"/>
      <x:c r="G1" s="641"/>
      <x:c r="H1" s="641"/>
      <x:c r="I1" s="641"/>
      <x:c r="J1" s="641"/>
      <x:c r="K1" s="641"/>
      <x:c r="L1" s="641"/>
      <x:c r="M1" s="641"/>
      <x:c r="N1" s="641"/>
      <x:c r="O1" s="641"/>
      <x:c r="P1" s="641"/>
      <x:c r="Q1" s="641"/>
      <x:c r="R1" s="641"/>
      <x:c r="S1" s="641"/>
      <x:c r="T1" s="641"/>
      <x:c r="U1" s="641"/>
      <x:c r="V1" s="641"/>
    </x:row>
    <x:row r="3">
      <x:c r="A3" s="644" t="str">
        <x:v>Stage</x:v>
      </x:c>
      <x:c r="B3" s="644" t="str">
        <x:v>보스</x:v>
      </x:c>
      <x:c r="C3" s="644" t="str">
        <x:v>Lv</x:v>
      </x:c>
      <x:c r="D3" s="644" t="str">
        <x:v>평균성급</x:v>
      </x:c>
      <x:c r="E3" s="644" t="str">
        <x:v>TD 기준</x:v>
      </x:c>
      <x:c r="F3" s="644" t="str">
        <x:v>TD W10 예상</x:v>
      </x:c>
      <x:c r="G3" s="644" t="str">
        <x:v>TD 판정</x:v>
      </x:c>
      <x:c r="H3" s="644" t="str">
        <x:v>RPG 파티</x:v>
      </x:c>
      <x:c r="I3" s="644" t="str">
        <x:v>RPG DPS</x:v>
      </x:c>
      <x:c r="J3" s="644" t="str">
        <x:v>RPG 처치초</x:v>
      </x:c>
      <x:c r="K3" s="644" t="str">
        <x:v>RPG 생존초</x:v>
      </x:c>
      <x:c r="L3" s="644" t="str">
        <x:v>RPG 판정</x:v>
      </x:c>
      <x:c r="M3" s="644" t="str">
        <x:v>통합 판정</x:v>
      </x:c>
      <x:c r="N3" s="644" t="str">
        <x:v>실패 원인</x:v>
      </x:c>
      <x:c r="O3" s="644" t="str">
        <x:v>전설 수</x:v>
      </x:c>
      <x:c r="P3" s="644" t="str">
        <x:v>신화 수</x:v>
      </x:c>
      <x:c r="Q3" s="644" t="str">
        <x:v>필살기</x:v>
      </x:c>
      <x:c r="R3" s="644" t="str">
        <x:v>RPG 보스HP</x:v>
      </x:c>
      <x:c r="S3" s="644" t="str">
        <x:v>보스 ATK</x:v>
      </x:c>
      <x:c r="T3" s="644" t="str">
        <x:v>보스 DEF</x:v>
      </x:c>
      <x:c r="U3" s="644" t="str">
        <x:v>권장 체감</x:v>
      </x:c>
      <x:c r="V3" s="644" t="str">
        <x:v>설계 메모</x:v>
      </x:c>
    </x:row>
    <x:row r="4">
      <x:c r="A4" s="42" t="n">
        <x:v>30</x:v>
      </x:c>
      <x:c r="B4" s="42" t="str">
        <x:v>균열군주 네메시스</x:v>
      </x:c>
      <x:c r="C4" s="42" t="n">
        <x:v>58</x:v>
      </x:c>
      <x:c r="D4" s="618" t="n">
        <x:v>1.65</x:v>
      </x:c>
      <x:c r="E4" s="42" t="str">
        <x:v>W10 30초</x:v>
      </x:c>
      <x:c r="F4" s="477" t="n">
        <x:v>24</x:v>
      </x:c>
      <x:c r="G4" s="42" t="str">
        <x:v>통과</x:v>
      </x:c>
      <x:c r="H4" s="42" t="str">
        <x:v>아리아 + 미아 + 니아 + 오로라 + 클로에</x:v>
      </x:c>
      <x:c r="I4" s="477" t="n">
        <x:v>2569.051220833776</x:v>
      </x:c>
      <x:c r="J4" s="477" t="n">
        <x:v>19.36707201339964</x:v>
      </x:c>
      <x:c r="K4" s="477" t="n">
        <x:v>80.84440493803156</x:v>
      </x:c>
      <x:c r="L4" s="42" t="str">
        <x:v>통과</x:v>
      </x:c>
      <x:c r="M4" s="42" t="str">
        <x:v>클리어</x:v>
      </x:c>
      <x:c r="N4" s="42" t="str">
        <x:v>-</x:v>
      </x:c>
      <x:c r="O4" s="42" t="n">
        <x:v>1</x:v>
      </x:c>
      <x:c r="P4" s="42" t="n">
        <x:v>4</x:v>
      </x:c>
      <x:c r="Q4" s="42" t="str">
        <x:v>미해금</x:v>
      </x:c>
      <x:c r="R4" s="338" t="n">
        <x:v>49755</x:v>
      </x:c>
      <x:c r="S4" s="42" t="n">
        <x:v>265</x:v>
      </x:c>
      <x:c r="T4" s="42" t="n">
        <x:v>68</x:v>
      </x:c>
      <x:c r="U4" s="42" t="str">
        <x:v>TD 넉넉 / RPG 넉넉</x:v>
      </x:c>
      <x:c r="V4" s="42" t="str">
        <x:v>TD 통과 후 같은 5영웅이 RPG 보스를 실제 처치해야 스테이지 클리어</x:v>
      </x:c>
    </x:row>
    <x:row r="5">
      <x:c r="A5" s="42" t="n">
        <x:v>31</x:v>
      </x:c>
      <x:c r="B5" s="42" t="str">
        <x:v>타락한 철각왕 브라움</x:v>
      </x:c>
      <x:c r="C5" s="42" t="n">
        <x:v>60</x:v>
      </x:c>
      <x:c r="D5" s="618" t="n">
        <x:v>1.65</x:v>
      </x:c>
      <x:c r="E5" s="42" t="str">
        <x:v>W10 30초</x:v>
      </x:c>
      <x:c r="F5" s="477" t="n">
        <x:v>27.72</x:v>
      </x:c>
      <x:c r="G5" s="42" t="str">
        <x:v>통과</x:v>
      </x:c>
      <x:c r="H5" s="42" t="str">
        <x:v>아리아 + 카린 + 니아 + 오로라 + 클로에</x:v>
      </x:c>
      <x:c r="I5" s="477" t="n">
        <x:v>2578.196704457798</x:v>
      </x:c>
      <x:c r="J5" s="477" t="n">
        <x:v>37.8171300240276</x:v>
      </x:c>
      <x:c r="K5" s="477" t="n">
        <x:v>49.77300634895531</x:v>
      </x:c>
      <x:c r="L5" s="42" t="str">
        <x:v>통과</x:v>
      </x:c>
      <x:c r="M5" s="42" t="str">
        <x:v>클리어</x:v>
      </x:c>
      <x:c r="N5" s="42" t="str">
        <x:v>-</x:v>
      </x:c>
      <x:c r="O5" s="42" t="n">
        <x:v>2</x:v>
      </x:c>
      <x:c r="P5" s="42" t="n">
        <x:v>3</x:v>
      </x:c>
      <x:c r="Q5" s="42" t="str">
        <x:v>Lv60 해금</x:v>
      </x:c>
      <x:c r="R5" s="338" t="n">
        <x:v>97500</x:v>
      </x:c>
      <x:c r="S5" s="42" t="n">
        <x:v>420</x:v>
      </x:c>
      <x:c r="T5" s="42" t="n">
        <x:v>95</x:v>
      </x:c>
      <x:c r="U5" s="42" t="str">
        <x:v>TD 타이트 / RPG 타이트</x:v>
      </x:c>
      <x:c r="V5" s="42" t="str">
        <x:v>TD 통과 후 같은 5영웅이 RPG 보스를 실제 처치해야 스테이지 클리어</x:v>
      </x:c>
    </x:row>
    <x:row r="6">
      <x:c r="A6" s="42" t="n">
        <x:v>32</x:v>
      </x:c>
      <x:c r="B6" s="42" t="str">
        <x:v>침식된 광산왕 모르겐</x:v>
      </x:c>
      <x:c r="C6" s="42" t="n">
        <x:v>62</x:v>
      </x:c>
      <x:c r="D6" s="618" t="n">
        <x:v>1.68</x:v>
      </x:c>
      <x:c r="E6" s="42" t="str">
        <x:v>W10 30초</x:v>
      </x:c>
      <x:c r="F6" s="477" t="n">
        <x:v>29.12</x:v>
      </x:c>
      <x:c r="G6" s="42" t="str">
        <x:v>통과</x:v>
      </x:c>
      <x:c r="H6" s="42" t="str">
        <x:v>아리아 + 카린 + 니아 + 오로라 + 클로에</x:v>
      </x:c>
      <x:c r="I6" s="477" t="n">
        <x:v>2575.381856195833</x:v>
      </x:c>
      <x:c r="J6" s="477" t="n">
        <x:v>38.44090139946688</x:v>
      </x:c>
      <x:c r="K6" s="477" t="n">
        <x:v>48.65728429307474</x:v>
      </x:c>
      <x:c r="L6" s="42" t="str">
        <x:v>통과</x:v>
      </x:c>
      <x:c r="M6" s="42" t="str">
        <x:v>클리어</x:v>
      </x:c>
      <x:c r="N6" s="42" t="str">
        <x:v>-</x:v>
      </x:c>
      <x:c r="O6" s="42" t="n">
        <x:v>2</x:v>
      </x:c>
      <x:c r="P6" s="42" t="n">
        <x:v>3</x:v>
      </x:c>
      <x:c r="Q6" s="42" t="str">
        <x:v>Lv60 해금</x:v>
      </x:c>
      <x:c r="R6" s="338" t="n">
        <x:v>99000</x:v>
      </x:c>
      <x:c r="S6" s="42" t="n">
        <x:v>448</x:v>
      </x:c>
      <x:c r="T6" s="42" t="n">
        <x:v>100</x:v>
      </x:c>
      <x:c r="U6" s="42" t="str">
        <x:v>TD 매우 타이트 / RPG 타이트</x:v>
      </x:c>
      <x:c r="V6" s="42" t="str">
        <x:v>TD 통과 후 같은 5영웅이 RPG 보스를 실제 처치해야 스테이지 클리어</x:v>
      </x:c>
    </x:row>
    <x:row r="7">
      <x:c r="A7" s="42" t="n">
        <x:v>33</x:v>
      </x:c>
      <x:c r="B7" s="42" t="str">
        <x:v>침식에 물들은 서부의 설화</x:v>
      </x:c>
      <x:c r="C7" s="42" t="n">
        <x:v>64</x:v>
      </x:c>
      <x:c r="D7" s="618" t="n">
        <x:v>1.7</x:v>
      </x:c>
      <x:c r="E7" s="42" t="str">
        <x:v>W10 30초</x:v>
      </x:c>
      <x:c r="F7" s="477" t="n">
        <x:v>30.3</x:v>
      </x:c>
      <x:c r="G7" s="42" t="str">
        <x:v>통과</x:v>
      </x:c>
      <x:c r="H7" s="42" t="str">
        <x:v>아리아 + 카린 + 니아 + 오로라 + 클로에</x:v>
      </x:c>
      <x:c r="I7" s="477" t="n">
        <x:v>2558.2112659787554</x:v>
      </x:c>
      <x:c r="J7" s="477" t="n">
        <x:v>38.69891486937973</x:v>
      </x:c>
      <x:c r="K7" s="477" t="n">
        <x:v>47.24587609345446</x:v>
      </x:c>
      <x:c r="L7" s="42" t="str">
        <x:v>통과</x:v>
      </x:c>
      <x:c r="M7" s="42" t="str">
        <x:v>클리어</x:v>
      </x:c>
      <x:c r="N7" s="42" t="str">
        <x:v>-</x:v>
      </x:c>
      <x:c r="O7" s="42" t="n">
        <x:v>2</x:v>
      </x:c>
      <x:c r="P7" s="42" t="n">
        <x:v>3</x:v>
      </x:c>
      <x:c r="Q7" s="42" t="str">
        <x:v>Lv60 해금</x:v>
      </x:c>
      <x:c r="R7" s="338" t="n">
        <x:v>99000</x:v>
      </x:c>
      <x:c r="S7" s="42" t="n">
        <x:v>476</x:v>
      </x:c>
      <x:c r="T7" s="42" t="n">
        <x:v>105</x:v>
      </x:c>
      <x:c r="U7" s="42" t="str">
        <x:v>TD 경계 / RPG 경계</x:v>
      </x:c>
      <x:c r="V7" s="42" t="str">
        <x:v>TD 통과 후 같은 5영웅이 RPG 보스를 실제 처치해야 스테이지 클리어</x:v>
      </x:c>
    </x:row>
    <x:row r="10">
      <x:c r="A10" t="str">
        <x:v>Stage</x:v>
      </x:c>
      <x:c r="B10" t="str">
        <x:v>RPG 처치초</x:v>
      </x:c>
      <x:c r="C10" t="str">
        <x:v>RPG 생존초</x:v>
      </x:c>
      <x:c r="D10" t="str">
        <x:v>판정선</x:v>
      </x:c>
    </x:row>
    <x:row r="11">
      <x:c r="A11" t="n">
        <x:f>A4</x:f>
        <x:v>30</x:v>
      </x:c>
      <x:c r="B11" t="n">
        <x:f>J4</x:f>
        <x:v>19.36707201339964</x:v>
      </x:c>
      <x:c r="C11" t="n">
        <x:f>K4</x:f>
        <x:v>80.84440493803156</x:v>
      </x:c>
      <x:c r="D11" t="n">
        <x:v>60</x:v>
      </x:c>
    </x:row>
    <x:row r="12">
      <x:c r="A12" t="n">
        <x:f>A5</x:f>
        <x:v>31</x:v>
      </x:c>
      <x:c r="B12" t="n">
        <x:f>J5</x:f>
        <x:v>37.8171300240276</x:v>
      </x:c>
      <x:c r="C12" t="n">
        <x:f>K5</x:f>
        <x:v>49.77300634895531</x:v>
      </x:c>
      <x:c r="D12" t="n">
        <x:v>60</x:v>
      </x:c>
    </x:row>
    <x:row r="13">
      <x:c r="A13" t="n">
        <x:f>A6</x:f>
        <x:v>32</x:v>
      </x:c>
      <x:c r="B13" t="n">
        <x:f>J6</x:f>
        <x:v>38.44090139946688</x:v>
      </x:c>
      <x:c r="C13" t="n">
        <x:f>K6</x:f>
        <x:v>48.65728429307474</x:v>
      </x:c>
      <x:c r="D13" t="n">
        <x:v>60</x:v>
      </x:c>
    </x:row>
    <x:row r="14">
      <x:c r="A14" t="n">
        <x:f>A7</x:f>
        <x:v>33</x:v>
      </x:c>
      <x:c r="B14" t="n">
        <x:f>J7</x:f>
        <x:v>38.69891486937973</x:v>
      </x:c>
      <x:c r="C14" t="n">
        <x:f>K7</x:f>
        <x:v>47.24587609345446</x:v>
      </x:c>
      <x:c r="D14" t="n">
        <x:v>60</x:v>
      </x:c>
    </x:row>
  </x:sheetData>
  <x:mergeCells>
    <x:mergeCell ref="A1:V1"/>
  </x:mergeCells>
  <x:conditionalFormatting sqref="M4:M7">
    <x:cfRule type="expression" dxfId="22" priority="1">
      <x:formula>M4="클리어"</x:formula>
    </x:cfRule>
    <x:cfRule type="expression" dxfId="23" priority="2">
      <x:formula>M4="실패"</x:formula>
    </x:cfRule>
  </x:conditionalFormatting>
  <x:conditionalFormatting sqref="J4:K7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8705733420a541e6"/>
</x:worksheet>
</file>

<file path=xl/worksheets/sheet3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28" hidden="0" customWidth="1"/>
    <x:col min="6" max="6" width="38" hidden="0" customWidth="1"/>
    <x:col min="8" max="8" width="10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26" hidden="0" customWidth="1"/>
  </x:cols>
  <x:sheetData>
    <x:row r="1">
      <x:c r="A1" s="641" t="str">
        <x:v>운명의 주사위 — 전설 0명 RPG 진입 구제/학습 시스템 V1</x:v>
      </x:c>
      <x:c r="B1" s="641"/>
      <x:c r="C1" s="641"/>
      <x:c r="D1" s="641"/>
      <x:c r="E1" s="641"/>
      <x:c r="F1" s="641"/>
      <x:c r="G1" s="641"/>
      <x:c r="H1" s="641"/>
      <x:c r="I1" s="641"/>
      <x:c r="J1" s="641"/>
      <x:c r="K1" s="641"/>
      <x:c r="L1" s="641"/>
      <x:c r="M1" s="641"/>
      <x:c r="N1" s="641"/>
      <x:c r="O1" s="641"/>
      <x:c r="P1" s="641"/>
    </x:row>
    <x:row r="3">
      <x:c r="A3" s="644" t="str">
        <x:v>조건</x:v>
      </x:c>
      <x:c r="B3" s="644" t="str">
        <x:v>발동</x:v>
      </x:c>
      <x:c r="C3" s="644" t="str">
        <x:v>결과</x:v>
      </x:c>
      <x:c r="D3" s="644" t="str">
        <x:v>유지 여부</x:v>
      </x:c>
      <x:c r="E3" s="644" t="str">
        <x:v>악용 방지</x:v>
      </x:c>
      <x:c r="F3" s="644" t="str">
        <x:v>교육 목적</x:v>
      </x:c>
      <x:c r="H3" s="647" t="str">
        <x:v>주사위</x:v>
      </x:c>
      <x:c r="I3" s="647" t="str">
        <x:v>첫 발동</x:v>
      </x:c>
      <x:c r="J3" s="647" t="str">
        <x:v>영웅</x:v>
      </x:c>
      <x:c r="K3" s="647" t="str">
        <x:v>확률</x:v>
      </x:c>
      <x:c r="L3" s="647" t="str">
        <x:v>임시 성급</x:v>
      </x:c>
      <x:c r="M3" s="647" t="str">
        <x:v>비고</x:v>
      </x:c>
    </x:row>
    <x:row r="4">
      <x:c r="A4" s="42" t="str">
        <x:v>W10 TD 종료 시 전설+신화=0</x:v>
      </x:c>
      <x:c r="B4" s="42" t="str">
        <x:v>자동 발동</x:v>
      </x:c>
      <x:c r="C4" s="42" t="str">
        <x:v>운명의 주사위 1회</x:v>
      </x:c>
      <x:c r="D4" s="42" t="str">
        <x:v>RPG 1전투 한정</x:v>
      </x:c>
      <x:c r="E4" s="42" t="str">
        <x:v>영구 획득 아님</x:v>
      </x:c>
      <x:c r="F4" s="42" t="str">
        <x:v>RPG에는 최소 전설급 영웅이 필요함을 체험</x:v>
      </x:c>
      <x:c r="H4" s="42" t="n">
        <x:v>1</x:v>
      </x:c>
      <x:c r="I4" s="42" t="str">
        <x:v>첫 발동</x:v>
      </x:c>
      <x:c r="J4" s="42" t="str">
        <x:v>아리아</x:v>
      </x:c>
      <x:c r="K4" s="42" t="str">
        <x:v>50% 중 1칸</x:v>
      </x:c>
      <x:c r="L4" s="42" t="str">
        <x:v>★1</x:v>
      </x:c>
      <x:c r="M4" s="42" t="str">
        <x:v>1~3이 모두 아리아</x:v>
      </x:c>
    </x:row>
    <x:row r="5">
      <x:c r="A5" s="42" t="str">
        <x:v>주사위 결과</x:v>
      </x:c>
      <x:c r="B5" s="42" t="str">
        <x:v>현재 스테이지에서 조합 가능한 전설 중 1명</x:v>
      </x:c>
      <x:c r="C5" s="42" t="str">
        <x:v>임시 ★1 전설 소환</x:v>
      </x:c>
      <x:c r="D5" s="42" t="str">
        <x:v>전투 종료 시 소멸</x:v>
      </x:c>
      <x:c r="E5" s="42" t="str">
        <x:v>도감/보유/돌파 미반영</x:v>
      </x:c>
      <x:c r="F5" s="42" t="str">
        <x:v>일반유닛만으로 TD를 밀어도 RPG 구조가 다름을 학습</x:v>
      </x:c>
      <x:c r="H5" s="42" t="n">
        <x:v>2</x:v>
      </x:c>
      <x:c r="I5" s="42" t="str">
        <x:v>첫 발동</x:v>
      </x:c>
      <x:c r="J5" s="42" t="str">
        <x:v>아리아</x:v>
      </x:c>
      <x:c r="K5" s="42" t="str">
        <x:v>50% 중 1칸</x:v>
      </x:c>
      <x:c r="L5" s="42" t="str">
        <x:v>★1</x:v>
      </x:c>
      <x:c r="M5" s="42" t="str"/>
    </x:row>
    <x:row r="6">
      <x:c r="A6" s="42" t="str">
        <x:v>첫 발동 가중치</x:v>
      </x:c>
      <x:c r="B6" s="42" t="str">
        <x:v>1~3 아리아 / 4 루비 / 5 에리카 / 6 카린</x:v>
      </x:c>
      <x:c r="C6" s="42" t="str">
        <x:v>아리아 50%</x:v>
      </x:c>
      <x:c r="D6" s="42" t="str">
        <x:v>첫 발동만</x:v>
      </x:c>
      <x:c r="E6" s="42" t="str">
        <x:v>초반 핵심축 안내</x:v>
      </x:c>
      <x:c r="F6" s="42" t="str">
        <x:v>아리아 초반 필수 설계와 연결</x:v>
      </x:c>
      <x:c r="H6" s="42" t="n">
        <x:v>3</x:v>
      </x:c>
      <x:c r="I6" s="42" t="str">
        <x:v>첫 발동</x:v>
      </x:c>
      <x:c r="J6" s="42" t="str">
        <x:v>아리아</x:v>
      </x:c>
      <x:c r="K6" s="42" t="str">
        <x:v>50% 중 1칸</x:v>
      </x:c>
      <x:c r="L6" s="42" t="str">
        <x:v>★1</x:v>
      </x:c>
      <x:c r="M6" s="42" t="str"/>
    </x:row>
    <x:row r="7">
      <x:c r="A7" s="42" t="str">
        <x:v>임시 전설 전투보정</x:v>
      </x:c>
      <x:c r="B7" s="42" t="str">
        <x:v>정규 동일레벨 전설의 70%</x:v>
      </x:c>
      <x:c r="C7" s="42" t="str">
        <x:v>★1 / 권장Lv-5(최저 Lv1)</x:v>
      </x:c>
      <x:c r="D7" s="42" t="str">
        <x:v>RPG 1회</x:v>
      </x:c>
      <x:c r="E7" s="42" t="str">
        <x:v>구제만으로 안정 클리어 불가</x:v>
      </x:c>
      <x:c r="F7" s="42" t="str">
        <x:v>강함을 체험하되 직접 조합 동기 부여</x:v>
      </x:c>
      <x:c r="H7" s="42" t="n">
        <x:v>4</x:v>
      </x:c>
      <x:c r="I7" s="42" t="str">
        <x:v>첫 발동</x:v>
      </x:c>
      <x:c r="J7" s="42" t="str">
        <x:v>루비</x:v>
      </x:c>
      <x:c r="K7" s="42" t="str">
        <x:v>16.7%</x:v>
      </x:c>
      <x:c r="L7" s="42" t="str">
        <x:v>★1</x:v>
      </x:c>
      <x:c r="M7" s="42" t="str"/>
    </x:row>
    <x:row r="8">
      <x:c r="A8" s="42" t="str">
        <x:v>두번째 이후</x:v>
      </x:c>
      <x:c r="B8" s="42" t="str">
        <x:v>현재 사용가능 전설 균등</x:v>
      </x:c>
      <x:c r="C8" s="42" t="str">
        <x:v>1명 보장</x:v>
      </x:c>
      <x:c r="D8" s="42" t="str">
        <x:v>매 스테이지 가능</x:v>
      </x:c>
      <x:c r="E8" s="42" t="str">
        <x:v>후반에는 1명만으로 거의 확실히 패배</x:v>
      </x:c>
      <x:c r="F8" s="42" t="str">
        <x:v>실패 자체가 튜토리얼 피드백</x:v>
      </x:c>
      <x:c r="H8" s="42" t="n">
        <x:v>5</x:v>
      </x:c>
      <x:c r="I8" s="42" t="str">
        <x:v>첫 발동</x:v>
      </x:c>
      <x:c r="J8" s="42" t="str">
        <x:v>에리카</x:v>
      </x:c>
      <x:c r="K8" s="42" t="str">
        <x:v>16.7%</x:v>
      </x:c>
      <x:c r="L8" s="42" t="str">
        <x:v>★1</x:v>
      </x:c>
      <x:c r="M8" s="42" t="str"/>
    </x:row>
    <x:row r="9">
      <x:c r="A9" s="42" t="str">
        <x:v>RPG 패배 시</x:v>
      </x:c>
      <x:c r="B9" s="42" t="str">
        <x:v>전투 리포트 + 전설 조합 바로가기</x:v>
      </x:c>
      <x:c r="C9" s="42" t="str">
        <x:v>현재 희귀영웅수 / 권장수 표시</x:v>
      </x:c>
      <x:c r="D9" s="42" t="str">
        <x:v>-</x:v>
      </x:c>
      <x:c r="E9" s="42" t="str">
        <x:v>재도전 버튼</x:v>
      </x:c>
      <x:c r="F9" s="42" t="str">
        <x:v>왜 졌는지 숫자로 이해</x:v>
      </x:c>
      <x:c r="H9" s="42" t="n">
        <x:v>6</x:v>
      </x:c>
      <x:c r="I9" s="42" t="str">
        <x:v>첫 발동</x:v>
      </x:c>
      <x:c r="J9" s="42" t="str">
        <x:v>카린</x:v>
      </x:c>
      <x:c r="K9" s="42" t="str">
        <x:v>16.7%</x:v>
      </x:c>
      <x:c r="L9" s="42" t="str">
        <x:v>★1</x:v>
      </x:c>
      <x:c r="M9" s="42" t="str"/>
    </x:row>
    <x:row r="10">
      <x:c r="A10" s="42" t="str">
        <x:v>RPG 승리 시</x:v>
      </x:c>
      <x:c r="B10" s="42" t="str">
        <x:v>승리 인정</x:v>
      </x:c>
      <x:c r="C10" s="42" t="str">
        <x:v>임시 영웅 즉시 소멸</x:v>
      </x:c>
      <x:c r="D10" s="42" t="str">
        <x:v>-</x:v>
      </x:c>
      <x:c r="E10" s="42" t="str">
        <x:v>반복파밍 악용 없음</x:v>
      </x:c>
      <x:c r="F10" s="42" t="str">
        <x:v>초반 실수 플레이어도 우연한 성공은 허용</x:v>
      </x:c>
    </x:row>
    <x:row r="13">
      <x:c r="A13" s="650" t="str">
        <x:v>RPG 패배 리포트에 반드시 보여줄 정보</x:v>
      </x:c>
      <x:c r="B13" s="650"/>
      <x:c r="C13" s="650"/>
      <x:c r="D13" s="650"/>
      <x:c r="E13" s="650"/>
      <x:c r="F13" s="650"/>
      <x:c r="G13" s="650"/>
      <x:c r="H13" s="668" t="str">
        <x:v>상황</x:v>
      </x:c>
      <x:c r="I13" s="668" t="str">
        <x:v>표시 문구</x:v>
      </x:c>
      <x:c r="J13" s="668" t="str">
        <x:v>보조 문구</x:v>
      </x:c>
      <x:c r="K13" s="668" t="str">
        <x:v>버튼1</x:v>
      </x:c>
      <x:c r="L13" s="668" t="str">
        <x:v>버튼2</x:v>
      </x:c>
      <x:c r="M13" s="668" t="str">
        <x:v>목적</x:v>
      </x:c>
      <x:c r="N13" s="650"/>
      <x:c r="O13" s="650"/>
      <x:c r="P13" s="650"/>
    </x:row>
    <x:row r="14">
      <x:c r="A14" s="652" t="str">
        <x:v>표시 항목</x:v>
      </x:c>
      <x:c r="B14" s="652" t="str">
        <x:v>예시</x:v>
      </x:c>
      <x:c r="C14" s="652" t="str">
        <x:v>의미</x:v>
      </x:c>
      <x:c r="D14" s="652" t="str">
        <x:v>UI 강조</x:v>
      </x:c>
      <x:c r="E14" s="652" t="str">
        <x:v>행동 유도</x:v>
      </x:c>
      <x:c r="H14" s="42" t="str">
        <x:v>전설0 + 패배</x:v>
      </x:c>
      <x:c r="I14" s="42" t="str">
        <x:v>전설 영웅이 필요합니다</x:v>
      </x:c>
      <x:c r="J14" s="42" t="str">
        <x:v>운명의 영웅은 이번 전투에서만 지원되었습니다.</x:v>
      </x:c>
      <x:c r="K14" s="42" t="str">
        <x:v>전설 조합 보기</x:v>
      </x:c>
      <x:c r="L14" s="42" t="str">
        <x:v>재도전</x:v>
      </x:c>
      <x:c r="M14" s="42" t="str">
        <x:v>최소 전설 학습</x:v>
      </x:c>
    </x:row>
    <x:row r="15">
      <x:c r="A15" s="42" t="str">
        <x:v>전설/신화 수</x:v>
      </x:c>
      <x:c r="B15" s="42" t="str">
        <x:v>1 / 권장 3</x:v>
      </x:c>
      <x:c r="C15" s="42" t="str">
        <x:v>최소 희귀도 부족</x:v>
      </x:c>
      <x:c r="D15" s="42" t="str">
        <x:v>빨강/주황</x:v>
      </x:c>
      <x:c r="E15" s="42" t="str">
        <x:v>TD에서 영웅 조합</x:v>
      </x:c>
      <x:c r="H15" s="42" t="str">
        <x:v>전설1 + Stage5 이후 패배</x:v>
      </x:c>
      <x:c r="I15" s="42" t="str">
        <x:v>영웅 수가 부족합니다</x:v>
      </x:c>
      <x:c r="J15" s="42" t="str">
        <x:v>현재 1명 / 권장 2명</x:v>
      </x:c>
      <x:c r="K15" s="42" t="str">
        <x:v>조합 추천</x:v>
      </x:c>
      <x:c r="L15" s="42" t="str">
        <x:v>재도전</x:v>
      </x:c>
      <x:c r="M15" s="42" t="str">
        <x:v>두번째 전설 학습</x:v>
      </x:c>
    </x:row>
    <x:row r="16">
      <x:c r="A16" s="42" t="str">
        <x:v>RPG 총 DPS</x:v>
      </x:c>
      <x:c r="B16" s="42" t="str">
        <x:v>권장 대비 42%</x:v>
      </x:c>
      <x:c r="C16" s="42" t="str">
        <x:v>딜 부족</x:v>
      </x:c>
      <x:c r="D16" s="42" t="str">
        <x:v>막대그래프</x:v>
      </x:c>
      <x:c r="E16" s="42" t="str">
        <x:v>ATK/성급/영웅 교체</x:v>
      </x:c>
      <x:c r="H16" s="42" t="str">
        <x:v>2영웅 + Stage11 이후 패배</x:v>
      </x:c>
      <x:c r="I16" s="42" t="str">
        <x:v>신화 영웅을 준비해 보세요</x:v>
      </x:c>
      <x:c r="J16" s="42" t="str">
        <x:v>현재 전설2 / 권장 전설2+신화1</x:v>
      </x:c>
      <x:c r="K16" s="42" t="str">
        <x:v>신화 조합 보기</x:v>
      </x:c>
      <x:c r="L16" s="42" t="str">
        <x:v>재도전</x:v>
      </x:c>
      <x:c r="M16" s="42" t="str">
        <x:v>신화 전환 학습</x:v>
      </x:c>
    </x:row>
    <x:row r="17">
      <x:c r="A17" s="42" t="str">
        <x:v>생존시간</x:v>
      </x:c>
      <x:c r="B17" s="42" t="str">
        <x:v>보스 처치 예상보다 18초 짧음</x:v>
      </x:c>
      <x:c r="C17" s="42" t="str">
        <x:v>탱/회복 부족</x:v>
      </x:c>
      <x:c r="D17" s="42" t="str">
        <x:v>막대그래프</x:v>
      </x:c>
      <x:c r="E17" s="42" t="str">
        <x:v>아리아/세라/아델 등</x:v>
      </x:c>
      <x:c r="H17" s="42" t="str">
        <x:v>3영웅 + Stage16 이후 패배</x:v>
      </x:c>
      <x:c r="I17" s="42" t="str">
        <x:v>RPG 파티를 4명까지 확장하세요</x:v>
      </x:c>
      <x:c r="J17" s="42" t="str">
        <x:v>버퍼·딜러·제어 조합을 추천합니다.</x:v>
      </x:c>
      <x:c r="K17" s="42" t="str">
        <x:v>파티 추천</x:v>
      </x:c>
      <x:c r="L17" s="42" t="str">
        <x:v>재도전</x:v>
      </x:c>
      <x:c r="M17" s="42" t="str">
        <x:v>역할조합 학습</x:v>
      </x:c>
    </x:row>
    <x:row r="18">
      <x:c r="A18" s="42" t="str">
        <x:v>필살기 해금</x:v>
      </x:c>
      <x:c r="B18" s="42" t="str">
        <x:v>0/1/3명</x:v>
      </x:c>
      <x:c r="C18" s="42" t="str">
        <x:v>한계돌파 부족</x:v>
      </x:c>
      <x:c r="D18" s="42" t="str">
        <x:v>아이콘</x:v>
      </x:c>
      <x:c r="E18" s="42" t="str">
        <x:v>Lv60/한계돌파 III</x:v>
      </x:c>
      <x:c r="H18" s="42" t="str">
        <x:v>충분한 파티 + 패배</x:v>
      </x:c>
      <x:c r="I18" s="42" t="str">
        <x:v>전투력이 부족합니다</x:v>
      </x:c>
      <x:c r="J18" s="42" t="str">
        <x:v>레벨·성급·한계돌파를 확인하세요.</x:v>
      </x:c>
      <x:c r="K18" s="42" t="str">
        <x:v>육성 화면</x:v>
      </x:c>
      <x:c r="L18" s="42" t="str">
        <x:v>재도전</x:v>
      </x:c>
      <x:c r="M18" s="42" t="str">
        <x:v>성장 학습</x:v>
      </x:c>
    </x:row>
    <x:row r="19">
      <x:c r="A19" s="42" t="str">
        <x:v>추천 버튼</x:v>
      </x:c>
      <x:c r="B19" s="42" t="str">
        <x:v>전설 조합 보기</x:v>
      </x:c>
      <x:c r="C19" s="42" t="str">
        <x:v>다음 행동 명확</x:v>
      </x:c>
      <x:c r="D19" s="42" t="str">
        <x:v>강조</x:v>
      </x:c>
      <x:c r="E19" s="42" t="str">
        <x:v>영웅 조합 화면 이동</x:v>
      </x:c>
    </x:row>
    <x:row r="20">
      <x:c r="A20" s="719" t="str">
        <x:v>5영웅 슬롯 연계</x:v>
      </x:c>
      <x:c r="B20" s="719" t="str">
        <x:v>조건</x:v>
      </x:c>
      <x:c r="C20" s="719" t="str">
        <x:v>처리</x:v>
      </x:c>
      <x:c r="D20" s="719" t="str">
        <x:v>TD 슬롯</x:v>
      </x:c>
      <x:c r="E20" s="719" t="str">
        <x:v>RPG 슬롯</x:v>
      </x:c>
      <x:c r="F20" s="719" t="str">
        <x:v>결론</x:v>
      </x:c>
    </x:row>
    <x:row r="21">
      <x:c r="A21" s="42" t="str">
        <x:v>발동</x:v>
      </x:c>
      <x:c r="B21" s="42" t="str">
        <x:v>TD 종료 시 전설+신화=0</x:v>
      </x:c>
      <x:c r="C21" s="42" t="str">
        <x:v>임시 전설 1명 생성</x:v>
      </x:c>
      <x:c r="D21" s="42" t="str">
        <x:v>TD 슬롯에는 기록 안 함</x:v>
      </x:c>
      <x:c r="E21" s="42" t="str">
        <x:v>빈 RPG 슬롯 1번에 임시 배치</x:v>
      </x:c>
      <x:c r="F21" s="42" t="str">
        <x:v>구제</x:v>
      </x:c>
    </x:row>
    <x:row r="22">
      <x:c r="A22" s="42" t="str">
        <x:v>영웅1~4명</x:v>
      </x:c>
      <x:c r="B22" s="42" t="str">
        <x:v>희귀영웅 존재</x:v>
      </x:c>
      <x:c r="C22" s="42" t="str">
        <x:v>주사위 미발동</x:v>
      </x:c>
      <x:c r="D22" s="42" t="str">
        <x:v>기존 슬롯 유지</x:v>
      </x:c>
      <x:c r="E22" s="42" t="str">
        <x:v>기존 영웅만 출전</x:v>
      </x:c>
      <x:c r="F22" s="42" t="str">
        <x:v>부족하면 패배 학습</x:v>
      </x:c>
    </x:row>
    <x:row r="23">
      <x:c r="A23" s="42" t="str">
        <x:v>영웅5명</x:v>
      </x:c>
      <x:c r="B23" s="42" t="str">
        <x:v>5/5</x:v>
      </x:c>
      <x:c r="C23" s="42" t="str">
        <x:v>주사위 미발동</x:v>
      </x:c>
      <x:c r="D23" s="42" t="str">
        <x:v>슬롯 잠금</x:v>
      </x:c>
      <x:c r="E23" s="42" t="str">
        <x:v>동일5명</x:v>
      </x:c>
      <x:c r="F23" s="42" t="str">
        <x:v>정상</x:v>
      </x:c>
    </x:row>
    <x:row r="24">
      <x:c r="A24" s="42" t="str">
        <x:v>전투 종료</x:v>
      </x:c>
      <x:c r="B24" s="42" t="str">
        <x:v>승/패</x:v>
      </x:c>
      <x:c r="C24" s="42" t="str">
        <x:v>임시 전설 삭제</x:v>
      </x:c>
      <x:c r="D24" s="42" t="str">
        <x:v>원 TD 기록 유지</x:v>
      </x:c>
      <x:c r="E24" s="42" t="str">
        <x:v>다음 런 초기화</x:v>
      </x:c>
      <x:c r="F24" s="42" t="str">
        <x:v>악용 방지</x:v>
      </x:c>
    </x:row>
  </x:sheetData>
  <x:mergeCells>
    <x:mergeCell ref="A1:P1"/>
    <x:mergeCell ref="A13:P13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9" hidden="0" customWidth="1"/>
    <x:col min="4" max="4" width="10" hidden="0" customWidth="1"/>
    <x:col min="5" max="5" width="18" hidden="0" customWidth="1"/>
    <x:col min="6" max="6" width="38" hidden="0" customWidth="1"/>
    <x:col min="7" max="7" width="9" hidden="0" customWidth="1"/>
    <x:col min="8" max="8" width="13" hidden="0" customWidth="1"/>
    <x:col min="9" max="9" width="14" hidden="0" customWidth="1"/>
    <x:col min="10" max="10" width="13" hidden="0" customWidth="1"/>
    <x:col min="11" max="11" width="13" hidden="0" customWidth="1"/>
    <x:col min="12" max="12" width="18" hidden="0" customWidth="1"/>
    <x:col min="13" max="13" width="30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20" hidden="0" customWidth="1"/>
    <x:col min="19" max="19" width="30" hidden="0" customWidth="1"/>
    <x:col min="20" max="20" width="40" hidden="0" customWidth="1"/>
    <x:col min="21" max="21" width="36" hidden="0" customWidth="1"/>
    <x:col min="22" max="22" width="34" hidden="0" customWidth="1"/>
    <x:col min="23" max="23" width="28" hidden="0" customWidth="1"/>
  </x:cols>
  <x:sheetData>
    <x:row r="1">
      <x:c r="A1" s="657" t="str">
        <x:v>Normal Stage 1~20 — RPG 최소 파티선 / 실패 학습곡선 V3.5</x:v>
      </x:c>
      <x:c r="B1" s="657"/>
      <x:c r="C1" s="657"/>
      <x:c r="D1" s="657"/>
      <x:c r="E1" s="657"/>
      <x:c r="F1" s="657"/>
      <x:c r="G1" s="657"/>
      <x:c r="H1" s="657"/>
      <x:c r="I1" s="657"/>
      <x:c r="J1" s="657"/>
      <x:c r="K1" s="657"/>
      <x:c r="L1" s="657"/>
      <x:c r="M1" s="657"/>
      <x:c r="N1" s="657"/>
      <x:c r="O1" s="657"/>
      <x:c r="P1" s="657"/>
      <x:c r="Q1" s="657"/>
      <x:c r="R1" s="657"/>
      <x:c r="S1" s="657"/>
      <x:c r="T1" s="657"/>
      <x:c r="U1" s="657"/>
      <x:c r="V1" s="657"/>
      <x:c r="W1" s="657"/>
    </x:row>
    <x:row r="3">
      <x:c r="A3" s="661" t="str">
        <x:v>Stage</x:v>
      </x:c>
      <x:c r="B3" s="661" t="str">
        <x:v>보스</x:v>
      </x:c>
      <x:c r="C3" s="661" t="str">
        <x:v>권장Lv</x:v>
      </x:c>
      <x:c r="D3" s="661" t="str">
        <x:v>평균성급</x:v>
      </x:c>
      <x:c r="E3" s="661" t="str">
        <x:v>최소 권장등급</x:v>
      </x:c>
      <x:c r="F3" s="661" t="str">
        <x:v>최소 파티</x:v>
      </x:c>
      <x:c r="G3" s="661" t="str">
        <x:v>영웅수</x:v>
      </x:c>
      <x:c r="H3" s="661" t="str">
        <x:v>RPG DPS</x:v>
      </x:c>
      <x:c r="I3" s="661" t="str">
        <x:v>RPG 보스HP</x:v>
      </x:c>
      <x:c r="J3" s="661" t="str">
        <x:v>목표 처치초</x:v>
      </x:c>
      <x:c r="K3" s="661" t="str">
        <x:v>목표 생존초</x:v>
      </x:c>
      <x:c r="L3" s="661" t="str">
        <x:v>기준 판정</x:v>
      </x:c>
      <x:c r="M3" s="661" t="str">
        <x:v>한 단계 낮은 파티</x:v>
      </x:c>
      <x:c r="N3" s="661" t="str">
        <x:v>낮은파티 처치초</x:v>
      </x:c>
      <x:c r="O3" s="661" t="str">
        <x:v>낮은파티 생존초</x:v>
      </x:c>
      <x:c r="P3" s="661" t="str">
        <x:v>낮은파티 판정</x:v>
      </x:c>
      <x:c r="Q3" s="661" t="str">
        <x:v>전설0 구제</x:v>
      </x:c>
      <x:c r="R3" s="661" t="str">
        <x:v>구제 영웅 보정</x:v>
      </x:c>
      <x:c r="S3" s="661" t="str">
        <x:v>구제 의도</x:v>
      </x:c>
      <x:c r="T3" s="661" t="str">
        <x:v>실패 메시지</x:v>
      </x:c>
      <x:c r="U3" s="661" t="str">
        <x:v>TD와 연결</x:v>
      </x:c>
      <x:c r="V3" s="661" t="str">
        <x:v>성장 의미</x:v>
      </x:c>
      <x:c r="W3" s="661" t="str">
        <x:v>비고</x:v>
      </x:c>
    </x:row>
    <x:row r="4">
      <x:c r="A4" s="42" t="n">
        <x:v>1</x:v>
      </x:c>
      <x:c r="B4" s="42" t="str">
        <x:v>철각왕 브라움</x:v>
      </x:c>
      <x:c r="C4" s="42" t="n">
        <x:v>1</x:v>
      </x:c>
      <x:c r="D4" s="618" t="n">
        <x:v>1</x:v>
      </x:c>
      <x:c r="E4" s="42" t="str">
        <x:v>전설 1</x:v>
      </x:c>
      <x:c r="F4" s="42" t="str">
        <x:v>아리아</x:v>
      </x:c>
      <x:c r="G4" s="42" t="n">
        <x:v>1</x:v>
      </x:c>
      <x:c r="H4" s="477" t="n">
        <x:v>200.45454545454547</x:v>
      </x:c>
      <x:c r="I4" s="477" t="n">
        <x:v>3608.1818181818185</x:v>
      </x:c>
      <x:c r="J4" s="477" t="n">
        <x:v>18</x:v>
      </x:c>
      <x:c r="K4" s="477" t="n">
        <x:v>22.5</x:v>
      </x:c>
      <x:c r="L4" s="42" t="str">
        <x:v>타이트~정상 클리어</x:v>
      </x:c>
      <x:c r="M4" s="42" t="str">
        <x:v>전설/신화 0</x:v>
      </x:c>
      <x:c r="N4" s="477"/>
      <x:c r="O4" s="477"/>
      <x:c r="P4" s="42" t="str">
        <x:v>주사위 없이는 RPG 진입 불가</x:v>
      </x:c>
      <x:c r="Q4" s="42" t="str">
        <x:v>전설+신화=0일 때 자동</x:v>
      </x:c>
      <x:c r="R4" s="42" t="str">
        <x:v>임시 영웅 전투력 70% / ★1 / RPG 1회</x:v>
      </x:c>
      <x:c r="S4" s="42" t="str">
        <x:v>전설급 영웅의 필요성을 강제로 체험</x:v>
      </x:c>
      <x:c r="T4" s="42" t="str">
        <x:v>전설 영웅이 없습니다. 운명의 주사위로 임시 전설을 지원합니다.</x:v>
      </x:c>
      <x:c r="U4" s="42" t="str">
        <x:v>아리아를 TD에서 만든 플레이가 RPG에서도 그대로 보상</x:v>
      </x:c>
      <x:c r="V4" s="42" t="str">
        <x:v>다음 티어로 올라가지 않으면 RPG에서 먼저 막힘</x:v>
      </x:c>
      <x:c r="W4" s="42" t="str">
        <x:v>실패는 정상 학습 루프</x:v>
      </x:c>
    </x:row>
    <x:row r="5">
      <x:c r="A5" s="42" t="n">
        <x:v>2</x:v>
      </x:c>
      <x:c r="B5" s="42" t="str">
        <x:v>광산왕 모르겐</x:v>
      </x:c>
      <x:c r="C5" s="42" t="n">
        <x:v>4</x:v>
      </x:c>
      <x:c r="D5" s="618" t="n">
        <x:v>1</x:v>
      </x:c>
      <x:c r="E5" s="42" t="str">
        <x:v>전설 1</x:v>
      </x:c>
      <x:c r="F5" s="42" t="str">
        <x:v>아리아</x:v>
      </x:c>
      <x:c r="G5" s="42" t="n">
        <x:v>1</x:v>
      </x:c>
      <x:c r="H5" s="477" t="n">
        <x:v>199.53281250000003</x:v>
      </x:c>
      <x:c r="I5" s="477" t="n">
        <x:v>3990.656250000001</x:v>
      </x:c>
      <x:c r="J5" s="477" t="n">
        <x:v>20</x:v>
      </x:c>
      <x:c r="K5" s="477" t="n">
        <x:v>25</x:v>
      </x:c>
      <x:c r="L5" s="42" t="str">
        <x:v>타이트~정상 클리어</x:v>
      </x:c>
      <x:c r="M5" s="42" t="str">
        <x:v>전설/신화 0</x:v>
      </x:c>
      <x:c r="N5" s="477"/>
      <x:c r="O5" s="477"/>
      <x:c r="P5" s="42" t="str">
        <x:v>주사위 없이는 RPG 진입 불가</x:v>
      </x:c>
      <x:c r="Q5" s="42" t="str">
        <x:v>전설+신화=0일 때 자동</x:v>
      </x:c>
      <x:c r="R5" s="42" t="str">
        <x:v>임시 영웅 전투력 70% / ★1 / RPG 1회</x:v>
      </x:c>
      <x:c r="S5" s="42" t="str">
        <x:v>전설급 영웅의 필요성을 강제로 체험</x:v>
      </x:c>
      <x:c r="T5" s="42" t="str">
        <x:v>현재 전설/신화 수가 부족합니다. 권장: 전설 1</x:v>
      </x:c>
      <x:c r="U5" s="42" t="str">
        <x:v>아리아를 TD에서 만든 플레이가 RPG에서도 그대로 보상</x:v>
      </x:c>
      <x:c r="V5" s="42" t="str">
        <x:v>다음 티어로 올라가지 않으면 RPG에서 먼저 막힘</x:v>
      </x:c>
      <x:c r="W5" s="42" t="str">
        <x:v>실패는 정상 학습 루프</x:v>
      </x:c>
    </x:row>
    <x:row r="6">
      <x:c r="A6" s="42" t="n">
        <x:v>3</x:v>
      </x:c>
      <x:c r="B6" s="42" t="str">
        <x:v>붉은협곡의 바르칸</x:v>
      </x:c>
      <x:c r="C6" s="42" t="n">
        <x:v>6</x:v>
      </x:c>
      <x:c r="D6" s="618" t="n">
        <x:v>1.15</x:v>
      </x:c>
      <x:c r="E6" s="42" t="str">
        <x:v>전설 1</x:v>
      </x:c>
      <x:c r="F6" s="42" t="str">
        <x:v>아리아</x:v>
      </x:c>
      <x:c r="G6" s="42" t="n">
        <x:v>1</x:v>
      </x:c>
      <x:c r="H6" s="477" t="n">
        <x:v>227.43898026315784</x:v>
      </x:c>
      <x:c r="I6" s="477" t="n">
        <x:v>5003.657565789473</x:v>
      </x:c>
      <x:c r="J6" s="477" t="n">
        <x:v>22</x:v>
      </x:c>
      <x:c r="K6" s="477" t="n">
        <x:v>27.5</x:v>
      </x:c>
      <x:c r="L6" s="42" t="str">
        <x:v>타이트~정상 클리어</x:v>
      </x:c>
      <x:c r="M6" s="42" t="str">
        <x:v>전설/신화 0</x:v>
      </x:c>
      <x:c r="N6" s="477"/>
      <x:c r="O6" s="477"/>
      <x:c r="P6" s="42" t="str">
        <x:v>주사위 없이는 RPG 진입 불가</x:v>
      </x:c>
      <x:c r="Q6" s="42" t="str">
        <x:v>전설+신화=0일 때 자동</x:v>
      </x:c>
      <x:c r="R6" s="42" t="str">
        <x:v>임시 영웅 전투력 70% / ★1 / RPG 1회</x:v>
      </x:c>
      <x:c r="S6" s="42" t="str">
        <x:v>전설급 영웅의 필요성을 강제로 체험</x:v>
      </x:c>
      <x:c r="T6" s="42" t="str">
        <x:v>현재 전설/신화 수가 부족합니다. 권장: 전설 1</x:v>
      </x:c>
      <x:c r="U6" s="42" t="str">
        <x:v>아리아를 TD에서 만든 플레이가 RPG에서도 그대로 보상</x:v>
      </x:c>
      <x:c r="V6" s="42" t="str">
        <x:v>다음 티어로 올라가지 않으면 RPG에서 먼저 막힘</x:v>
      </x:c>
      <x:c r="W6" s="42" t="str">
        <x:v>실패는 정상 학습 루프</x:v>
      </x:c>
    </x:row>
    <x:row r="7">
      <x:c r="A7" s="42" t="n">
        <x:v>4</x:v>
      </x:c>
      <x:c r="B7" s="42" t="str">
        <x:v>철익 그라핀</x:v>
      </x:c>
      <x:c r="C7" s="42" t="n">
        <x:v>8</x:v>
      </x:c>
      <x:c r="D7" s="618" t="n">
        <x:v>1.15</x:v>
      </x:c>
      <x:c r="E7" s="42" t="str">
        <x:v>전설 1</x:v>
      </x:c>
      <x:c r="F7" s="42" t="str">
        <x:v>아리아</x:v>
      </x:c>
      <x:c r="G7" s="42" t="n">
        <x:v>1</x:v>
      </x:c>
      <x:c r="H7" s="477" t="n">
        <x:v>225.48501077586207</x:v>
      </x:c>
      <x:c r="I7" s="477" t="n">
        <x:v>5411.64025862069</x:v>
      </x:c>
      <x:c r="J7" s="477" t="n">
        <x:v>24</x:v>
      </x:c>
      <x:c r="K7" s="477" t="n">
        <x:v>30</x:v>
      </x:c>
      <x:c r="L7" s="42" t="str">
        <x:v>타이트~정상 클리어</x:v>
      </x:c>
      <x:c r="M7" s="42" t="str">
        <x:v>전설/신화 0</x:v>
      </x:c>
      <x:c r="N7" s="477"/>
      <x:c r="O7" s="477"/>
      <x:c r="P7" s="42" t="str">
        <x:v>주사위 없이는 RPG 진입 불가</x:v>
      </x:c>
      <x:c r="Q7" s="42" t="str">
        <x:v>전설+신화=0일 때 자동</x:v>
      </x:c>
      <x:c r="R7" s="42" t="str">
        <x:v>임시 영웅 전투력 70% / ★1 / RPG 1회</x:v>
      </x:c>
      <x:c r="S7" s="42" t="str">
        <x:v>전설급 영웅의 필요성을 강제로 체험</x:v>
      </x:c>
      <x:c r="T7" s="42" t="str">
        <x:v>현재 전설/신화 수가 부족합니다. 권장: 전설 1</x:v>
      </x:c>
      <x:c r="U7" s="42" t="str">
        <x:v>아리아를 TD에서 만든 플레이가 RPG에서도 그대로 보상</x:v>
      </x:c>
      <x:c r="V7" s="42" t="str">
        <x:v>다음 티어로 올라가지 않으면 RPG에서 먼저 막힘</x:v>
      </x:c>
      <x:c r="W7" s="42" t="str">
        <x:v>실패는 정상 학습 루프</x:v>
      </x:c>
    </x:row>
    <x:row r="8">
      <x:c r="A8" s="42" t="n">
        <x:v>5</x:v>
      </x:c>
      <x:c r="B8" s="42" t="str">
        <x:v>산맥포식자 가르도스</x:v>
      </x:c>
      <x:c r="C8" s="42" t="n">
        <x:v>9</x:v>
      </x:c>
      <x:c r="D8" s="618" t="n">
        <x:v>1.15</x:v>
      </x:c>
      <x:c r="E8" s="42" t="str">
        <x:v>전설 2</x:v>
      </x:c>
      <x:c r="F8" s="42" t="str">
        <x:v>아리아 + 루비</x:v>
      </x:c>
      <x:c r="G8" s="42" t="n">
        <x:v>2</x:v>
      </x:c>
      <x:c r="H8" s="477" t="n">
        <x:v>495.68676588983055</x:v>
      </x:c>
      <x:c r="I8" s="477" t="n">
        <x:v>11896.482381355934</x:v>
      </x:c>
      <x:c r="J8" s="477" t="n">
        <x:v>24</x:v>
      </x:c>
      <x:c r="K8" s="477" t="n">
        <x:v>30</x:v>
      </x:c>
      <x:c r="L8" s="42" t="str">
        <x:v>타이트~정상 클리어</x:v>
      </x:c>
      <x:c r="M8" s="42" t="str">
        <x:v>아리아</x:v>
      </x:c>
      <x:c r="N8" s="477" t="n">
        <x:v>53.436054421768716</x:v>
      </x:c>
      <x:c r="O8" s="477" t="n">
        <x:v>18.5556636589711</x:v>
      </x:c>
      <x:c r="P8" s="42" t="str">
        <x:v>실패 유도</x:v>
      </x:c>
      <x:c r="Q8" s="42" t="str">
        <x:v>전설+신화=0일 때 자동</x:v>
      </x:c>
      <x:c r="R8" s="42" t="str">
        <x:v>임시 영웅 전투력 70% / ★1 / RPG 1회</x:v>
      </x:c>
      <x:c r="S8" s="42" t="str">
        <x:v>전설급 영웅의 필요성을 강제로 체험</x:v>
      </x:c>
      <x:c r="T8" s="42" t="str">
        <x:v>현재 전설/신화 수가 부족합니다. 권장: 전설 2</x:v>
      </x:c>
      <x:c r="U8" s="42" t="str">
        <x:v>Stage10 전까지 두번째 전설 필요성을 RPG가 재확인</x:v>
      </x:c>
      <x:c r="V8" s="42" t="str">
        <x:v>다음 티어로 올라가지 않으면 RPG에서 먼저 막힘</x:v>
      </x:c>
      <x:c r="W8" s="42" t="str">
        <x:v>실패는 정상 학습 루프</x:v>
      </x:c>
    </x:row>
    <x:row r="9">
      <x:c r="A9" s="42" t="n">
        <x:v>6</x:v>
      </x:c>
      <x:c r="B9" s="42" t="str">
        <x:v>사구왕 자하르</x:v>
      </x:c>
      <x:c r="C9" s="42" t="n">
        <x:v>10</x:v>
      </x:c>
      <x:c r="D9" s="618" t="n">
        <x:v>1.15</x:v>
      </x:c>
      <x:c r="E9" s="42" t="str">
        <x:v>전설 2</x:v>
      </x:c>
      <x:c r="F9" s="42" t="str">
        <x:v>아리아 + 루비</x:v>
      </x:c>
      <x:c r="G9" s="42" t="n">
        <x:v>2</x:v>
      </x:c>
      <x:c r="H9" s="477" t="n">
        <x:v>489.54251471354166</x:v>
      </x:c>
      <x:c r="I9" s="477" t="n">
        <x:v>12238.562867838542</x:v>
      </x:c>
      <x:c r="J9" s="477" t="n">
        <x:v>25</x:v>
      </x:c>
      <x:c r="K9" s="477" t="n">
        <x:v>31.25</x:v>
      </x:c>
      <x:c r="L9" s="42" t="str">
        <x:v>타이트~정상 클리어</x:v>
      </x:c>
      <x:c r="M9" s="42" t="str">
        <x:v>아리아</x:v>
      </x:c>
      <x:c r="N9" s="477" t="n">
        <x:v>55.66255668934241</x:v>
      </x:c>
      <x:c r="O9" s="477" t="n">
        <x:v>19.331418604497927</x:v>
      </x:c>
      <x:c r="P9" s="42" t="str">
        <x:v>실패 유도</x:v>
      </x:c>
      <x:c r="Q9" s="42" t="str">
        <x:v>전설+신화=0일 때 자동</x:v>
      </x:c>
      <x:c r="R9" s="42" t="str">
        <x:v>임시 영웅 전투력 70% / ★1 / RPG 1회</x:v>
      </x:c>
      <x:c r="S9" s="42" t="str">
        <x:v>전설급 영웅의 필요성을 강제로 체험</x:v>
      </x:c>
      <x:c r="T9" s="42" t="str">
        <x:v>현재 전설/신화 수가 부족합니다. 권장: 전설 2</x:v>
      </x:c>
      <x:c r="U9" s="42" t="str">
        <x:v>Stage10 전까지 두번째 전설 필요성을 RPG가 재확인</x:v>
      </x:c>
      <x:c r="V9" s="42" t="str">
        <x:v>다음 티어로 올라가지 않으면 RPG에서 먼저 막힘</x:v>
      </x:c>
      <x:c r="W9" s="42" t="str">
        <x:v>실패는 정상 학습 루프</x:v>
      </x:c>
    </x:row>
    <x:row r="10">
      <x:c r="A10" s="42" t="n">
        <x:v>7</x:v>
      </x:c>
      <x:c r="B10" s="42" t="str">
        <x:v>불꽃도적 카심</x:v>
      </x:c>
      <x:c r="C10" s="42" t="n">
        <x:v>12</x:v>
      </x:c>
      <x:c r="D10" s="618" t="n">
        <x:v>1.32</x:v>
      </x:c>
      <x:c r="E10" s="42" t="str">
        <x:v>전설 2</x:v>
      </x:c>
      <x:c r="F10" s="42" t="str">
        <x:v>아리아 + 루비</x:v>
      </x:c>
      <x:c r="G10" s="42" t="n">
        <x:v>2</x:v>
      </x:c>
      <x:c r="H10" s="477" t="n">
        <x:v>557.4787005122952</x:v>
      </x:c>
      <x:c r="I10" s="477" t="n">
        <x:v>14494.446213319674</x:v>
      </x:c>
      <x:c r="J10" s="477" t="n">
        <x:v>26</x:v>
      </x:c>
      <x:c r="K10" s="477" t="n">
        <x:v>32.5</x:v>
      </x:c>
      <x:c r="L10" s="42" t="str">
        <x:v>타이트~정상 클리어</x:v>
      </x:c>
      <x:c r="M10" s="42" t="str">
        <x:v>아리아</x:v>
      </x:c>
      <x:c r="N10" s="477" t="n">
        <x:v>57.889058956916095</x:v>
      </x:c>
      <x:c r="O10" s="477" t="n">
        <x:v>20.19504996871431</x:v>
      </x:c>
      <x:c r="P10" s="42" t="str">
        <x:v>실패 유도</x:v>
      </x:c>
      <x:c r="Q10" s="42" t="str">
        <x:v>전설+신화=0일 때 자동</x:v>
      </x:c>
      <x:c r="R10" s="42" t="str">
        <x:v>임시 영웅 전투력 70% / ★1 / RPG 1회</x:v>
      </x:c>
      <x:c r="S10" s="42" t="str">
        <x:v>전설급 영웅의 필요성을 강제로 체험</x:v>
      </x:c>
      <x:c r="T10" s="42" t="str">
        <x:v>현재 전설/신화 수가 부족합니다. 권장: 전설 2</x:v>
      </x:c>
      <x:c r="U10" s="42" t="str">
        <x:v>Stage10 전까지 두번째 전설 필요성을 RPG가 재확인</x:v>
      </x:c>
      <x:c r="V10" s="42" t="str">
        <x:v>다음 티어로 올라가지 않으면 RPG에서 먼저 막힘</x:v>
      </x:c>
      <x:c r="W10" s="42" t="str">
        <x:v>실패는 정상 학습 루프</x:v>
      </x:c>
    </x:row>
    <x:row r="11">
      <x:c r="A11" s="42" t="n">
        <x:v>8</x:v>
      </x:c>
      <x:c r="B11" s="42" t="str">
        <x:v>유리사막의 네프라</x:v>
      </x:c>
      <x:c r="C11" s="42" t="n">
        <x:v>14</x:v>
      </x:c>
      <x:c r="D11" s="618" t="n">
        <x:v>1.32</x:v>
      </x:c>
      <x:c r="E11" s="42" t="str">
        <x:v>전설 2</x:v>
      </x:c>
      <x:c r="F11" s="42" t="str">
        <x:v>아리아 + 루비</x:v>
      </x:c>
      <x:c r="G11" s="42" t="n">
        <x:v>2</x:v>
      </x:c>
      <x:c r="H11" s="477" t="n">
        <x:v>553.1906664314517</x:v>
      </x:c>
      <x:c r="I11" s="477" t="n">
        <x:v>14936.147993649198</x:v>
      </x:c>
      <x:c r="J11" s="477" t="n">
        <x:v>27</x:v>
      </x:c>
      <x:c r="K11" s="477" t="n">
        <x:v>33.75</x:v>
      </x:c>
      <x:c r="L11" s="42" t="str">
        <x:v>타이트~정상 클리어</x:v>
      </x:c>
      <x:c r="M11" s="42" t="str">
        <x:v>아리아</x:v>
      </x:c>
      <x:c r="N11" s="477" t="n">
        <x:v>60.11556122448981</x:v>
      </x:c>
      <x:c r="O11" s="477" t="n">
        <x:v>20.97717532530737</x:v>
      </x:c>
      <x:c r="P11" s="42" t="str">
        <x:v>실패 유도</x:v>
      </x:c>
      <x:c r="Q11" s="42" t="str">
        <x:v>전설+신화=0일 때 자동</x:v>
      </x:c>
      <x:c r="R11" s="42" t="str">
        <x:v>임시 영웅 전투력 70% / ★1 / RPG 1회</x:v>
      </x:c>
      <x:c r="S11" s="42" t="str">
        <x:v>전설급 영웅의 필요성을 강제로 체험</x:v>
      </x:c>
      <x:c r="T11" s="42" t="str">
        <x:v>현재 전설/신화 수가 부족합니다. 권장: 전설 2</x:v>
      </x:c>
      <x:c r="U11" s="42" t="str">
        <x:v>Stage10 전까지 두번째 전설 필요성을 RPG가 재확인</x:v>
      </x:c>
      <x:c r="V11" s="42" t="str">
        <x:v>다음 티어로 올라가지 않으면 RPG에서 먼저 막힘</x:v>
      </x:c>
      <x:c r="W11" s="42" t="str">
        <x:v>실패는 정상 학습 루프</x:v>
      </x:c>
    </x:row>
    <x:row r="12">
      <x:c r="A12" s="42" t="n">
        <x:v>9</x:v>
      </x:c>
      <x:c r="B12" s="42" t="str">
        <x:v>오아시스의 배신자 라지르</x:v>
      </x:c>
      <x:c r="C12" s="42" t="n">
        <x:v>16</x:v>
      </x:c>
      <x:c r="D12" s="618" t="n">
        <x:v>1.32</x:v>
      </x:c>
      <x:c r="E12" s="42" t="str">
        <x:v>전설 2</x:v>
      </x:c>
      <x:c r="F12" s="42" t="str">
        <x:v>아리아 + 루비</x:v>
      </x:c>
      <x:c r="G12" s="42" t="n">
        <x:v>2</x:v>
      </x:c>
      <x:c r="H12" s="477" t="n">
        <x:v>549.0387604166667</x:v>
      </x:c>
      <x:c r="I12" s="477" t="n">
        <x:v>15373.085291666668</x:v>
      </x:c>
      <x:c r="J12" s="477" t="n">
        <x:v>28</x:v>
      </x:c>
      <x:c r="K12" s="477" t="n">
        <x:v>35</x:v>
      </x:c>
      <x:c r="L12" s="42" t="str">
        <x:v>타이트~정상 클리어</x:v>
      </x:c>
      <x:c r="M12" s="42" t="str">
        <x:v>아리아</x:v>
      </x:c>
      <x:c r="N12" s="477" t="n">
        <x:v>62.342063492063495</x:v>
      </x:c>
      <x:c r="O12" s="477" t="n">
        <x:v>21.75964282008087</x:v>
      </x:c>
      <x:c r="P12" s="42" t="str">
        <x:v>실패 유도</x:v>
      </x:c>
      <x:c r="Q12" s="42" t="str">
        <x:v>전설+신화=0일 때 자동</x:v>
      </x:c>
      <x:c r="R12" s="42" t="str">
        <x:v>임시 영웅 전투력 70% / ★1 / RPG 1회</x:v>
      </x:c>
      <x:c r="S12" s="42" t="str">
        <x:v>전설급 영웅의 필요성을 강제로 체험</x:v>
      </x:c>
      <x:c r="T12" s="42" t="str">
        <x:v>현재 전설/신화 수가 부족합니다. 권장: 전설 2</x:v>
      </x:c>
      <x:c r="U12" s="42" t="str">
        <x:v>Stage10 전까지 두번째 전설 필요성을 RPG가 재확인</x:v>
      </x:c>
      <x:c r="V12" s="42" t="str">
        <x:v>다음 티어로 올라가지 않으면 RPG에서 먼저 막힘</x:v>
      </x:c>
      <x:c r="W12" s="42" t="str">
        <x:v>실패는 정상 학습 루프</x:v>
      </x:c>
    </x:row>
    <x:row r="13">
      <x:c r="A13" s="42" t="n">
        <x:v>10</x:v>
      </x:c>
      <x:c r="B13" s="42" t="str">
        <x:v>태양먹는 아누라</x:v>
      </x:c>
      <x:c r="C13" s="42" t="n">
        <x:v>18</x:v>
      </x:c>
      <x:c r="D13" s="618" t="n">
        <x:v>1.32</x:v>
      </x:c>
      <x:c r="E13" s="42" t="str">
        <x:v>전설 2</x:v>
      </x:c>
      <x:c r="F13" s="42" t="str">
        <x:v>아리아 + 루비</x:v>
      </x:c>
      <x:c r="G13" s="42" t="n">
        <x:v>2</x:v>
      </x:c>
      <x:c r="H13" s="477" t="n">
        <x:v>545.0166014648439</x:v>
      </x:c>
      <x:c r="I13" s="477" t="n">
        <x:v>15805.481442480474</x:v>
      </x:c>
      <x:c r="J13" s="477" t="n">
        <x:v>29</x:v>
      </x:c>
      <x:c r="K13" s="477" t="n">
        <x:v>36.25</x:v>
      </x:c>
      <x:c r="L13" s="42" t="str">
        <x:v>타이트~정상 클리어</x:v>
      </x:c>
      <x:c r="M13" s="42" t="str">
        <x:v>아리아</x:v>
      </x:c>
      <x:c r="N13" s="477" t="n">
        <x:v>64.5685657596372</x:v>
      </x:c>
      <x:c r="O13" s="477" t="n">
        <x:v>22.542447219801442</x:v>
      </x:c>
      <x:c r="P13" s="42" t="str">
        <x:v>실패 유도</x:v>
      </x:c>
      <x:c r="Q13" s="42" t="str">
        <x:v>전설+신화=0일 때 자동</x:v>
      </x:c>
      <x:c r="R13" s="42" t="str">
        <x:v>임시 영웅 전투력 70% / ★1 / RPG 1회</x:v>
      </x:c>
      <x:c r="S13" s="42" t="str">
        <x:v>전설급 영웅의 필요성을 강제로 체험</x:v>
      </x:c>
      <x:c r="T13" s="42" t="str">
        <x:v>현재 전설/신화 수가 부족합니다. 권장: 전설 2</x:v>
      </x:c>
      <x:c r="U13" s="42" t="str">
        <x:v>Stage10 전까지 두번째 전설 필요성을 RPG가 재확인</x:v>
      </x:c>
      <x:c r="V13" s="42" t="str">
        <x:v>다음 티어로 올라가지 않으면 RPG에서 먼저 막힘</x:v>
      </x:c>
      <x:c r="W13" s="42" t="str">
        <x:v>실패는 정상 학습 루프</x:v>
      </x:c>
    </x:row>
    <x:row r="14">
      <x:c r="A14" s="42" t="n">
        <x:v>11</x:v>
      </x:c>
      <x:c r="B14" s="42" t="str">
        <x:v>해적왕 쿠로가네</x:v>
      </x:c>
      <x:c r="C14" s="42" t="n">
        <x:v>20</x:v>
      </x:c>
      <x:c r="D14" s="618" t="n">
        <x:v>1.32</x:v>
      </x:c>
      <x:c r="E14" s="42" t="str">
        <x:v>전설 2 + 신화 1</x:v>
      </x:c>
      <x:c r="F14" s="42" t="str">
        <x:v>아리아 + 루비 + 미아</x:v>
      </x:c>
      <x:c r="G14" s="42" t="n">
        <x:v>3</x:v>
      </x:c>
      <x:c r="H14" s="477" t="n">
        <x:v>1065.1552279258244</x:v>
      </x:c>
      <x:c r="I14" s="477" t="n">
        <x:v>30889.501609848907</x:v>
      </x:c>
      <x:c r="J14" s="477" t="n">
        <x:v>29</x:v>
      </x:c>
      <x:c r="K14" s="477" t="n">
        <x:v>36.25</x:v>
      </x:c>
      <x:c r="L14" s="42" t="str">
        <x:v>타이트~정상 클리어</x:v>
      </x:c>
      <x:c r="M14" s="42" t="str">
        <x:v>아리아 + 루비</x:v>
      </x:c>
      <x:c r="N14" s="477" t="n">
        <x:v>51.98191534994215</x:v>
      </x:c>
      <x:c r="O14" s="477" t="n">
        <x:v>22.41333032449068</x:v>
      </x:c>
      <x:c r="P14" s="42" t="str">
        <x:v>실패 유도</x:v>
      </x:c>
      <x:c r="Q14" s="42" t="str">
        <x:v>전설+신화=0일 때 자동</x:v>
      </x:c>
      <x:c r="R14" s="42" t="str">
        <x:v>임시 영웅 전투력 70% / ★1 / RPG 1회</x:v>
      </x:c>
      <x:c r="S14" s="42" t="str">
        <x:v>전설급 영웅의 필요성을 강제로 체험</x:v>
      </x:c>
      <x:c r="T14" s="42" t="str">
        <x:v>현재 전설/신화 수가 부족합니다. 권장: 전설 2 + 신화 1</x:v>
      </x:c>
      <x:c r="U14" s="42" t="str">
        <x:v>신화 1명 전환의 슬롯/화력 이득을 RPG에서 체감</x:v>
      </x:c>
      <x:c r="V14" s="42" t="str">
        <x:v>다음 티어로 올라가지 않으면 RPG에서 먼저 막힘</x:v>
      </x:c>
      <x:c r="W14" s="42" t="str">
        <x:v>실패는 정상 학습 루프</x:v>
      </x:c>
    </x:row>
    <x:row r="15">
      <x:c r="A15" s="42" t="n">
        <x:v>12</x:v>
      </x:c>
      <x:c r="B15" s="42" t="str">
        <x:v>청룡치어왕 류가</x:v>
      </x:c>
      <x:c r="C15" s="42" t="n">
        <x:v>21</x:v>
      </x:c>
      <x:c r="D15" s="618" t="n">
        <x:v>1.32</x:v>
      </x:c>
      <x:c r="E15" s="42" t="str">
        <x:v>전설 2 + 신화 1</x:v>
      </x:c>
      <x:c r="F15" s="42" t="str">
        <x:v>아리아 + 루비 + 미아</x:v>
      </x:c>
      <x:c r="G15" s="42" t="n">
        <x:v>3</x:v>
      </x:c>
      <x:c r="H15" s="477" t="n">
        <x:v>1053.1374851190478</x:v>
      </x:c>
      <x:c r="I15" s="477" t="n">
        <x:v>31594.124553571433</x:v>
      </x:c>
      <x:c r="J15" s="477" t="n">
        <x:v>30</x:v>
      </x:c>
      <x:c r="K15" s="477" t="n">
        <x:v>37.5</x:v>
      </x:c>
      <x:c r="L15" s="42" t="str">
        <x:v>타이트~정상 클리어</x:v>
      </x:c>
      <x:c r="M15" s="42" t="str">
        <x:v>아리아 + 루비</x:v>
      </x:c>
      <x:c r="N15" s="477" t="n">
        <x:v>53.77439518959532</x:v>
      </x:c>
      <x:c r="O15" s="477" t="n">
        <x:v>23.185570136744595</x:v>
      </x:c>
      <x:c r="P15" s="42" t="str">
        <x:v>실패 유도</x:v>
      </x:c>
      <x:c r="Q15" s="42" t="str">
        <x:v>전설+신화=0일 때 자동</x:v>
      </x:c>
      <x:c r="R15" s="42" t="str">
        <x:v>임시 영웅 전투력 70% / ★1 / RPG 1회</x:v>
      </x:c>
      <x:c r="S15" s="42" t="str">
        <x:v>전설급 영웅의 필요성을 강제로 체험</x:v>
      </x:c>
      <x:c r="T15" s="42" t="str">
        <x:v>현재 전설/신화 수가 부족합니다. 권장: 전설 2 + 신화 1</x:v>
      </x:c>
      <x:c r="U15" s="42" t="str">
        <x:v>신화 1명 전환의 슬롯/화력 이득을 RPG에서 체감</x:v>
      </x:c>
      <x:c r="V15" s="42" t="str">
        <x:v>다음 티어로 올라가지 않으면 RPG에서 먼저 막힘</x:v>
      </x:c>
      <x:c r="W15" s="42" t="str">
        <x:v>실패는 정상 학습 루프</x:v>
      </x:c>
    </x:row>
    <x:row r="16">
      <x:c r="A16" s="42" t="n">
        <x:v>13</x:v>
      </x:c>
      <x:c r="B16" s="42" t="str">
        <x:v>심해무녀 우미</x:v>
      </x:c>
      <x:c r="C16" s="42" t="n">
        <x:v>23</x:v>
      </x:c>
      <x:c r="D16" s="618" t="n">
        <x:v>1.52</x:v>
      </x:c>
      <x:c r="E16" s="42" t="str">
        <x:v>전설 2 + 신화 1</x:v>
      </x:c>
      <x:c r="F16" s="42" t="str">
        <x:v>아리아 + 루비 + 미아</x:v>
      </x:c>
      <x:c r="G16" s="42" t="n">
        <x:v>3</x:v>
      </x:c>
      <x:c r="H16" s="477" t="n">
        <x:v>1203.9527870113723</x:v>
      </x:c>
      <x:c r="I16" s="477" t="n">
        <x:v>36118.58361034117</x:v>
      </x:c>
      <x:c r="J16" s="477" t="n">
        <x:v>30</x:v>
      </x:c>
      <x:c r="K16" s="477" t="n">
        <x:v>37.5</x:v>
      </x:c>
      <x:c r="L16" s="42" t="str">
        <x:v>타이트~정상 클리어</x:v>
      </x:c>
      <x:c r="M16" s="42" t="str">
        <x:v>아리아 + 루비</x:v>
      </x:c>
      <x:c r="N16" s="477" t="n">
        <x:v>53.77439518959534</x:v>
      </x:c>
      <x:c r="O16" s="477" t="n">
        <x:v>23.16202977359008</x:v>
      </x:c>
      <x:c r="P16" s="42" t="str">
        <x:v>실패 유도</x:v>
      </x:c>
      <x:c r="Q16" s="42" t="str">
        <x:v>전설+신화=0일 때 자동</x:v>
      </x:c>
      <x:c r="R16" s="42" t="str">
        <x:v>임시 영웅 전투력 70% / ★1 / RPG 1회</x:v>
      </x:c>
      <x:c r="S16" s="42" t="str">
        <x:v>전설급 영웅의 필요성을 강제로 체험</x:v>
      </x:c>
      <x:c r="T16" s="42" t="str">
        <x:v>현재 전설/신화 수가 부족합니다. 권장: 전설 2 + 신화 1</x:v>
      </x:c>
      <x:c r="U16" s="42" t="str">
        <x:v>신화 1명 전환의 슬롯/화력 이득을 RPG에서 체감</x:v>
      </x:c>
      <x:c r="V16" s="42" t="str">
        <x:v>다음 티어로 올라가지 않으면 RPG에서 먼저 막힘</x:v>
      </x:c>
      <x:c r="W16" s="42" t="str">
        <x:v>실패는 정상 학습 루프</x:v>
      </x:c>
    </x:row>
    <x:row r="17">
      <x:c r="A17" s="42" t="n">
        <x:v>14</x:v>
      </x:c>
      <x:c r="B17" s="42" t="str">
        <x:v>대갑각왕 카니바</x:v>
      </x:c>
      <x:c r="C17" s="42" t="n">
        <x:v>24</x:v>
      </x:c>
      <x:c r="D17" s="618" t="n">
        <x:v>1.52</x:v>
      </x:c>
      <x:c r="E17" s="42" t="str">
        <x:v>전설 2 + 신화 1</x:v>
      </x:c>
      <x:c r="F17" s="42" t="str">
        <x:v>아리아 + 루비 + 미아</x:v>
      </x:c>
      <x:c r="G17" s="42" t="n">
        <x:v>3</x:v>
      </x:c>
      <x:c r="H17" s="477" t="n">
        <x:v>1190.8533920605744</x:v>
      </x:c>
      <x:c r="I17" s="477" t="n">
        <x:v>36916.4551538778</x:v>
      </x:c>
      <x:c r="J17" s="477" t="n">
        <x:v>31</x:v>
      </x:c>
      <x:c r="K17" s="477" t="n">
        <x:v>38.75</x:v>
      </x:c>
      <x:c r="L17" s="42" t="str">
        <x:v>타이트~정상 클리어</x:v>
      </x:c>
      <x:c r="M17" s="42" t="str">
        <x:v>아리아 + 루비</x:v>
      </x:c>
      <x:c r="N17" s="477" t="n">
        <x:v>55.56687502924848</x:v>
      </x:c>
      <x:c r="O17" s="477" t="n">
        <x:v>23.933479165797543</x:v>
      </x:c>
      <x:c r="P17" s="42" t="str">
        <x:v>실패 유도</x:v>
      </x:c>
      <x:c r="Q17" s="42" t="str">
        <x:v>전설+신화=0일 때 자동</x:v>
      </x:c>
      <x:c r="R17" s="42" t="str">
        <x:v>임시 영웅 전투력 70% / ★1 / RPG 1회</x:v>
      </x:c>
      <x:c r="S17" s="42" t="str">
        <x:v>전설급 영웅의 필요성을 강제로 체험</x:v>
      </x:c>
      <x:c r="T17" s="42" t="str">
        <x:v>현재 전설/신화 수가 부족합니다. 권장: 전설 2 + 신화 1</x:v>
      </x:c>
      <x:c r="U17" s="42" t="str">
        <x:v>신화 1명 전환의 슬롯/화력 이득을 RPG에서 체감</x:v>
      </x:c>
      <x:c r="V17" s="42" t="str">
        <x:v>다음 티어로 올라가지 않으면 RPG에서 먼저 막힘</x:v>
      </x:c>
      <x:c r="W17" s="42" t="str">
        <x:v>실패는 정상 학습 루프</x:v>
      </x:c>
    </x:row>
    <x:row r="18">
      <x:c r="A18" s="42" t="n">
        <x:v>15</x:v>
      </x:c>
      <x:c r="B18" s="42" t="str">
        <x:v>폭풍닌자 시구레</x:v>
      </x:c>
      <x:c r="C18" s="42" t="n">
        <x:v>25</x:v>
      </x:c>
      <x:c r="D18" s="618" t="n">
        <x:v>1.52</x:v>
      </x:c>
      <x:c r="E18" s="42" t="str">
        <x:v>전설 2 + 신화 1</x:v>
      </x:c>
      <x:c r="F18" s="42" t="str">
        <x:v>아리아 + 루비 + 미아</x:v>
      </x:c>
      <x:c r="G18" s="42" t="n">
        <x:v>3</x:v>
      </x:c>
      <x:c r="H18" s="477" t="n">
        <x:v>1178.1336897170465</x:v>
      </x:c>
      <x:c r="I18" s="477" t="n">
        <x:v>36522.14438122844</x:v>
      </x:c>
      <x:c r="J18" s="477" t="n">
        <x:v>31</x:v>
      </x:c>
      <x:c r="K18" s="477" t="n">
        <x:v>38.75</x:v>
      </x:c>
      <x:c r="L18" s="42" t="str">
        <x:v>타이트~정상 클리어</x:v>
      </x:c>
      <x:c r="M18" s="42" t="str">
        <x:v>아리아 + 루비</x:v>
      </x:c>
      <x:c r="N18" s="477" t="n">
        <x:v>55.5668750292485</x:v>
      </x:c>
      <x:c r="O18" s="477" t="n">
        <x:v>23.932864081279963</x:v>
      </x:c>
      <x:c r="P18" s="42" t="str">
        <x:v>실패 유도</x:v>
      </x:c>
      <x:c r="Q18" s="42" t="str">
        <x:v>전설+신화=0일 때 자동</x:v>
      </x:c>
      <x:c r="R18" s="42" t="str">
        <x:v>임시 영웅 전투력 70% / ★1 / RPG 1회</x:v>
      </x:c>
      <x:c r="S18" s="42" t="str">
        <x:v>전설급 영웅의 필요성을 강제로 체험</x:v>
      </x:c>
      <x:c r="T18" s="42" t="str">
        <x:v>현재 전설/신화 수가 부족합니다. 권장: 전설 2 + 신화 1</x:v>
      </x:c>
      <x:c r="U18" s="42" t="str">
        <x:v>신화 1명 전환의 슬롯/화력 이득을 RPG에서 체감</x:v>
      </x:c>
      <x:c r="V18" s="42" t="str">
        <x:v>다음 티어로 올라가지 않으면 RPG에서 먼저 막힘</x:v>
      </x:c>
      <x:c r="W18" s="42" t="str">
        <x:v>실패는 정상 학습 루프</x:v>
      </x:c>
    </x:row>
    <x:row r="19">
      <x:c r="A19" s="42" t="n">
        <x:v>16</x:v>
      </x:c>
      <x:c r="B19" s="42" t="str">
        <x:v>백야왕 펜리르</x:v>
      </x:c>
      <x:c r="C19" s="42" t="n">
        <x:v>26</x:v>
      </x:c>
      <x:c r="D19" s="618" t="n">
        <x:v>1.52</x:v>
      </x:c>
      <x:c r="E19" s="42" t="str">
        <x:v>전설 2 + 신화 2</x:v>
      </x:c>
      <x:c r="F19" s="42" t="str">
        <x:v>아리아 + 세라 + 샤샤 + 네온</x:v>
      </x:c>
      <x:c r="G19" s="42" t="n">
        <x:v>4</x:v>
      </x:c>
      <x:c r="H19" s="477" t="n">
        <x:v>1528.7413369829064</x:v>
      </x:c>
      <x:c r="I19" s="477" t="n">
        <x:v>48919.722783453006</x:v>
      </x:c>
      <x:c r="J19" s="477" t="n">
        <x:v>32</x:v>
      </x:c>
      <x:c r="K19" s="477" t="n">
        <x:v>40</x:v>
      </x:c>
      <x:c r="L19" s="42" t="str">
        <x:v>타이트~정상 클리어</x:v>
      </x:c>
      <x:c r="M19" s="42" t="str">
        <x:v>아리아 + 루비 + 미아</x:v>
      </x:c>
      <x:c r="N19" s="477" t="n">
        <x:v>41.96317622148703</x:v>
      </x:c>
      <x:c r="O19" s="477" t="n">
        <x:v>27.11185628799498</x:v>
      </x:c>
      <x:c r="P19" s="42" t="str">
        <x:v>실패 유도</x:v>
      </x:c>
      <x:c r="Q19" s="42" t="str">
        <x:v>전설+신화=0일 때 자동</x:v>
      </x:c>
      <x:c r="R19" s="42" t="str">
        <x:v>임시 영웅 전투력 70% / ★1 / RPG 1회</x:v>
      </x:c>
      <x:c r="S19" s="42" t="str">
        <x:v>전설급 영웅의 필요성을 강제로 체험</x:v>
      </x:c>
      <x:c r="T19" s="42" t="str">
        <x:v>현재 전설/신화 수가 부족합니다. 권장: 전설 2 + 신화 2</x:v>
      </x:c>
      <x:c r="U19" s="42" t="str">
        <x:v>4영웅 체제로 넘어가며 신화 2명 이상 요구</x:v>
      </x:c>
      <x:c r="V19" s="42" t="str">
        <x:v>다음 티어로 올라가지 않으면 RPG에서 먼저 막힘</x:v>
      </x:c>
      <x:c r="W19" s="42" t="str">
        <x:v>실패는 정상 학습 루프</x:v>
      </x:c>
    </x:row>
    <x:row r="20">
      <x:c r="A20" s="42" t="n">
        <x:v>17</x:v>
      </x:c>
      <x:c r="B20" s="42" t="str">
        <x:v>빙벽거인 요툰</x:v>
      </x:c>
      <x:c r="C20" s="42" t="n">
        <x:v>27</x:v>
      </x:c>
      <x:c r="D20" s="618" t="n">
        <x:v>1.52</x:v>
      </x:c>
      <x:c r="E20" s="42" t="str">
        <x:v>전설 2 + 신화 2</x:v>
      </x:c>
      <x:c r="F20" s="42" t="str">
        <x:v>아리아 + 세라 + 샤샤 + 네온</x:v>
      </x:c>
      <x:c r="G20" s="42" t="n">
        <x:v>4</x:v>
      </x:c>
      <x:c r="H20" s="477" t="n">
        <x:v>1512.9943692485856</x:v>
      </x:c>
      <x:c r="I20" s="477" t="n">
        <x:v>49928.81418520332</x:v>
      </x:c>
      <x:c r="J20" s="477" t="n">
        <x:v>33</x:v>
      </x:c>
      <x:c r="K20" s="477" t="n">
        <x:v>41.25</x:v>
      </x:c>
      <x:c r="L20" s="42" t="str">
        <x:v>타이트~정상 클리어</x:v>
      </x:c>
      <x:c r="M20" s="42" t="str">
        <x:v>아리아 + 루비 + 미아</x:v>
      </x:c>
      <x:c r="N20" s="477" t="n">
        <x:v>43.2745254784085</x:v>
      </x:c>
      <x:c r="O20" s="477" t="n">
        <x:v>27.958502050986073</x:v>
      </x:c>
      <x:c r="P20" s="42" t="str">
        <x:v>실패 유도</x:v>
      </x:c>
      <x:c r="Q20" s="42" t="str">
        <x:v>전설+신화=0일 때 자동</x:v>
      </x:c>
      <x:c r="R20" s="42" t="str">
        <x:v>임시 영웅 전투력 70% / ★1 / RPG 1회</x:v>
      </x:c>
      <x:c r="S20" s="42" t="str">
        <x:v>전설급 영웅의 필요성을 강제로 체험</x:v>
      </x:c>
      <x:c r="T20" s="42" t="str">
        <x:v>현재 전설/신화 수가 부족합니다. 권장: 전설 2 + 신화 2</x:v>
      </x:c>
      <x:c r="U20" s="42" t="str">
        <x:v>4영웅 체제로 넘어가며 신화 2명 이상 요구</x:v>
      </x:c>
      <x:c r="V20" s="42" t="str">
        <x:v>다음 티어로 올라가지 않으면 RPG에서 먼저 막힘</x:v>
      </x:c>
      <x:c r="W20" s="42" t="str">
        <x:v>실패는 정상 학습 루프</x:v>
      </x:c>
    </x:row>
    <x:row r="21">
      <x:c r="A21" s="42" t="n">
        <x:v>18</x:v>
      </x:c>
      <x:c r="B21" s="42" t="str">
        <x:v>설해마녀 스카디아</x:v>
      </x:c>
      <x:c r="C21" s="42" t="n">
        <x:v>28</x:v>
      </x:c>
      <x:c r="D21" s="618" t="n">
        <x:v>1.52</x:v>
      </x:c>
      <x:c r="E21" s="42" t="str">
        <x:v>전설 2 + 신화 2</x:v>
      </x:c>
      <x:c r="F21" s="42" t="str">
        <x:v>아리아 + 세라 + 샤샤 + 네온</x:v>
      </x:c>
      <x:c r="G21" s="42" t="n">
        <x:v>4</x:v>
      </x:c>
      <x:c r="H21" s="477" t="n">
        <x:v>1497.6848172846626</x:v>
      </x:c>
      <x:c r="I21" s="477" t="n">
        <x:v>50921.28378767853</x:v>
      </x:c>
      <x:c r="J21" s="477" t="n">
        <x:v>34</x:v>
      </x:c>
      <x:c r="K21" s="477" t="n">
        <x:v>42.5</x:v>
      </x:c>
      <x:c r="L21" s="42" t="str">
        <x:v>타이트~정상 클리어</x:v>
      </x:c>
      <x:c r="M21" s="42" t="str">
        <x:v>아리아 + 루비 + 미아</x:v>
      </x:c>
      <x:c r="N21" s="477" t="n">
        <x:v>44.58587473532996</x:v>
      </x:c>
      <x:c r="O21" s="477" t="n">
        <x:v>28.805114648281222</x:v>
      </x:c>
      <x:c r="P21" s="42" t="str">
        <x:v>실패 유도</x:v>
      </x:c>
      <x:c r="Q21" s="42" t="str">
        <x:v>전설+신화=0일 때 자동</x:v>
      </x:c>
      <x:c r="R21" s="42" t="str">
        <x:v>임시 영웅 전투력 70% / ★1 / RPG 1회</x:v>
      </x:c>
      <x:c r="S21" s="42" t="str">
        <x:v>전설급 영웅의 필요성을 강제로 체험</x:v>
      </x:c>
      <x:c r="T21" s="42" t="str">
        <x:v>현재 전설/신화 수가 부족합니다. 권장: 전설 2 + 신화 2</x:v>
      </x:c>
      <x:c r="U21" s="42" t="str">
        <x:v>4영웅 체제로 넘어가며 신화 2명 이상 요구</x:v>
      </x:c>
      <x:c r="V21" s="42" t="str">
        <x:v>다음 티어로 올라가지 않으면 RPG에서 먼저 막힘</x:v>
      </x:c>
      <x:c r="W21" s="42" t="str">
        <x:v>실패는 정상 학습 루프</x:v>
      </x:c>
    </x:row>
    <x:row r="22">
      <x:c r="A22" s="42" t="n">
        <x:v>19</x:v>
      </x:c>
      <x:c r="B22" s="42" t="str">
        <x:v>동토광왕 브란</x:v>
      </x:c>
      <x:c r="C22" s="42" t="n">
        <x:v>30</x:v>
      </x:c>
      <x:c r="D22" s="618" t="n">
        <x:v>1.52</x:v>
      </x:c>
      <x:c r="E22" s="42" t="str">
        <x:v>전설 2 + 신화 2</x:v>
      </x:c>
      <x:c r="F22" s="42" t="str">
        <x:v>아리아 + 세라 + 샤샤 + 네온</x:v>
      </x:c>
      <x:c r="G22" s="42" t="n">
        <x:v>4</x:v>
      </x:c>
      <x:c r="H22" s="477" t="n">
        <x:v>1488.4208232902474</x:v>
      </x:c>
      <x:c r="I22" s="477" t="n">
        <x:v>52094.72881515866</x:v>
      </x:c>
      <x:c r="J22" s="477" t="n">
        <x:v>35</x:v>
      </x:c>
      <x:c r="K22" s="477" t="n">
        <x:v>43.75</x:v>
      </x:c>
      <x:c r="L22" s="42" t="str">
        <x:v>타이트~정상 클리어</x:v>
      </x:c>
      <x:c r="M22" s="42" t="str">
        <x:v>아리아 + 루비 + 미아</x:v>
      </x:c>
      <x:c r="N22" s="477" t="n">
        <x:v>45.89722399225144</x:v>
      </x:c>
      <x:c r="O22" s="477" t="n">
        <x:v>29.651067994173182</x:v>
      </x:c>
      <x:c r="P22" s="42" t="str">
        <x:v>실패 유도</x:v>
      </x:c>
      <x:c r="Q22" s="42" t="str">
        <x:v>전설+신화=0일 때 자동</x:v>
      </x:c>
      <x:c r="R22" s="42" t="str">
        <x:v>임시 영웅 전투력 70% / ★1 / RPG 1회</x:v>
      </x:c>
      <x:c r="S22" s="42" t="str">
        <x:v>전설급 영웅의 필요성을 강제로 체험</x:v>
      </x:c>
      <x:c r="T22" s="42" t="str">
        <x:v>현재 전설/신화 수가 부족합니다. 권장: 전설 2 + 신화 2</x:v>
      </x:c>
      <x:c r="U22" s="42" t="str">
        <x:v>4영웅 체제로 넘어가며 신화 2명 이상 요구</x:v>
      </x:c>
      <x:c r="V22" s="42" t="str">
        <x:v>다음 티어로 올라가지 않으면 RPG에서 먼저 막힘</x:v>
      </x:c>
      <x:c r="W22" s="42" t="str">
        <x:v>실패는 정상 학습 루프</x:v>
      </x:c>
    </x:row>
    <x:row r="23">
      <x:c r="A23" s="42" t="n">
        <x:v>20</x:v>
      </x:c>
      <x:c r="B23" s="42" t="str">
        <x:v>설산군주 아르켄</x:v>
      </x:c>
      <x:c r="C23" s="42" t="n">
        <x:v>31</x:v>
      </x:c>
      <x:c r="D23" s="618" t="n">
        <x:v>1.52</x:v>
      </x:c>
      <x:c r="E23" s="42" t="str">
        <x:v>전설 2 + 신화 2</x:v>
      </x:c>
      <x:c r="F23" s="42" t="str">
        <x:v>아리아 + 세라 + 샤샤 + 네온</x:v>
      </x:c>
      <x:c r="G23" s="42" t="n">
        <x:v>4</x:v>
      </x:c>
      <x:c r="H23" s="477" t="n">
        <x:v>1473.857117946408</x:v>
      </x:c>
      <x:c r="I23" s="477" t="n">
        <x:v>53058.85624607069</x:v>
      </x:c>
      <x:c r="J23" s="477" t="n">
        <x:v>36</x:v>
      </x:c>
      <x:c r="K23" s="477" t="n">
        <x:v>45</x:v>
      </x:c>
      <x:c r="L23" s="42" t="str">
        <x:v>타이트~정상 클리어</x:v>
      </x:c>
      <x:c r="M23" s="42" t="str">
        <x:v>아리아 + 루비 + 미아</x:v>
      </x:c>
      <x:c r="N23" s="477" t="n">
        <x:v>47.20857324917291</x:v>
      </x:c>
      <x:c r="O23" s="477" t="n">
        <x:v>30.497600421346124</x:v>
      </x:c>
      <x:c r="P23" s="42" t="str">
        <x:v>실패 유도</x:v>
      </x:c>
      <x:c r="Q23" s="42" t="str">
        <x:v>전설+신화=0일 때 자동</x:v>
      </x:c>
      <x:c r="R23" s="42" t="str">
        <x:v>임시 영웅 전투력 70% / ★1 / RPG 1회</x:v>
      </x:c>
      <x:c r="S23" s="42" t="str">
        <x:v>전설급 영웅의 필요성을 강제로 체험</x:v>
      </x:c>
      <x:c r="T23" s="42" t="str">
        <x:v>현재 전설/신화 수가 부족합니다. 권장: 전설 2 + 신화 2</x:v>
      </x:c>
      <x:c r="U23" s="42" t="str">
        <x:v>4영웅 체제로 넘어가며 신화 2명 이상 요구</x:v>
      </x:c>
      <x:c r="V23" s="42" t="str">
        <x:v>다음 티어로 올라가지 않으면 RPG에서 먼저 막힘</x:v>
      </x:c>
      <x:c r="W23" s="42" t="str">
        <x:v>실패는 정상 학습 루프</x:v>
      </x:c>
    </x:row>
    <x:row r="26">
      <x:c r="A26" s="664" t="str">
        <x:v>Normal RPG 파티 성장 단계</x:v>
      </x:c>
      <x:c r="B26" s="664"/>
      <x:c r="C26" s="664"/>
      <x:c r="D26" s="664"/>
      <x:c r="E26" s="664"/>
      <x:c r="F26" s="664"/>
      <x:c r="G26" s="664"/>
      <x:c r="H26" s="664"/>
      <x:c r="I26" s="664"/>
      <x:c r="J26" s="664"/>
      <x:c r="K26" s="664"/>
      <x:c r="L26" s="664"/>
      <x:c r="M26" s="664"/>
      <x:c r="N26" s="664"/>
      <x:c r="O26" s="664"/>
      <x:c r="P26" s="664"/>
      <x:c r="Q26" s="664"/>
      <x:c r="R26" s="664"/>
      <x:c r="S26" s="664"/>
      <x:c r="T26" s="664"/>
      <x:c r="U26" s="664"/>
      <x:c r="V26" s="664"/>
      <x:c r="W26" s="664"/>
    </x:row>
    <x:row r="27">
      <x:c r="A27" s="667" t="str">
        <x:v>구간</x:v>
      </x:c>
      <x:c r="B27" s="667" t="str">
        <x:v>최소 기준</x:v>
      </x:c>
      <x:c r="C27" s="667" t="str">
        <x:v>표준 예시</x:v>
      </x:c>
      <x:c r="D27" s="667" t="str">
        <x:v>RPG 역할</x:v>
      </x:c>
      <x:c r="E27" s="667" t="str">
        <x:v>실패 시 학습</x:v>
      </x:c>
      <x:c r="F27" s="667" t="str">
        <x:v>TD 연계</x:v>
      </x:c>
      <x:c r="G27" s="667" t="str">
        <x:v>다음 목표</x:v>
      </x:c>
      <x:c r="H27" s="667" t="str">
        <x:v>판정</x:v>
      </x:c>
    </x:row>
    <x:row r="28">
      <x:c r="A28" s="42" t="str">
        <x:v>Stage1~4</x:v>
      </x:c>
      <x:c r="B28" s="42" t="str">
        <x:v>전설1</x:v>
      </x:c>
      <x:c r="C28" s="42" t="str">
        <x:v>아리아</x:v>
      </x:c>
      <x:c r="D28" s="42" t="str">
        <x:v>RPG 시스템 입문</x:v>
      </x:c>
      <x:c r="E28" s="42" t="str">
        <x:v>전설이 없으면 주사위/패배로 최소 전설 필요 인지</x:v>
      </x:c>
      <x:c r="F28" s="42" t="str">
        <x:v>TD W5 아리아 학습과 연결</x:v>
      </x:c>
      <x:c r="G28" s="42" t="str">
        <x:v>두번째 전설</x:v>
      </x:c>
      <x:c r="H28" s="42" t="str">
        <x:v>기준</x:v>
      </x:c>
    </x:row>
    <x:row r="29">
      <x:c r="A29" s="42" t="str">
        <x:v>Stage5~10</x:v>
      </x:c>
      <x:c r="B29" s="42" t="str">
        <x:v>전설2</x:v>
      </x:c>
      <x:c r="C29" s="42" t="str">
        <x:v>아리아+루비</x:v>
      </x:c>
      <x:c r="D29" s="42" t="str">
        <x:v>단일딜+보스 대응</x:v>
      </x:c>
      <x:c r="E29" s="42" t="str">
        <x:v>전설1만으로는 처치 전 전멸</x:v>
      </x:c>
      <x:c r="F29" s="42" t="str">
        <x:v>TD Stage10 빌드확장과 연결</x:v>
      </x:c>
      <x:c r="G29" s="42" t="str">
        <x:v>첫 신화</x:v>
      </x:c>
      <x:c r="H29" s="42" t="str">
        <x:v>기준</x:v>
      </x:c>
    </x:row>
    <x:row r="30">
      <x:c r="A30" s="42" t="str">
        <x:v>Stage11~15</x:v>
      </x:c>
      <x:c r="B30" s="42" t="str">
        <x:v>전설2+신화1</x:v>
      </x:c>
      <x:c r="C30" s="42" t="str">
        <x:v>아리아+루비+미아</x:v>
      </x:c>
      <x:c r="D30" s="42" t="str">
        <x:v>신화 슬롯압축 체감</x:v>
      </x:c>
      <x:c r="E30" s="42" t="str">
        <x:v>2전설만으로는 RPG 생존/딜 부족</x:v>
      </x:c>
      <x:c r="F30" s="42" t="str">
        <x:v>신화 전환의 의미 명확</x:v>
      </x:c>
      <x:c r="G30" s="42" t="str">
        <x:v>4영웅</x:v>
      </x:c>
      <x:c r="H30" s="42" t="str">
        <x:v>기준</x:v>
      </x:c>
    </x:row>
    <x:row r="31">
      <x:c r="A31" s="42" t="str">
        <x:v>Stage16~20</x:v>
      </x:c>
      <x:c r="B31" s="42" t="str">
        <x:v>전설2+신화2</x:v>
      </x:c>
      <x:c r="C31" s="42" t="str">
        <x:v>아리아+세라+샤샤+네온</x:v>
      </x:c>
      <x:c r="D31" s="42" t="str">
        <x:v>버프+광역+속성 조합</x:v>
      </x:c>
      <x:c r="E31" s="42" t="str">
        <x:v>3영웅으로는 후반 RPG 보스에서 패배</x:v>
      </x:c>
      <x:c r="F31" s="42" t="str">
        <x:v>Stage20 졸업 파티</x:v>
      </x:c>
      <x:c r="G31" s="42" t="str">
        <x:v>5영웅</x:v>
      </x:c>
      <x:c r="H31" s="42" t="str">
        <x:v>기준</x:v>
      </x:c>
    </x:row>
    <x:row r="32">
      <x:c r="A32" s="42" t="str">
        <x:v>Stage21 이후</x:v>
      </x:c>
      <x:c r="B32" s="42" t="str">
        <x:v>5영웅</x:v>
      </x:c>
      <x:c r="C32" s="42" t="str">
        <x:v>3신화+2전설→4신화+1전설</x:v>
      </x:c>
      <x:c r="D32" s="42" t="str">
        <x:v>역할 조합</x:v>
      </x:c>
      <x:c r="E32" s="42" t="str">
        <x:v>파티 수/역할 부족이 패배원인</x:v>
      </x:c>
      <x:c r="F32" s="42" t="str">
        <x:v>Normal21~30 기존 시트와 연결</x:v>
      </x:c>
      <x:c r="G32" s="42" t="str">
        <x:v>Hard</x:v>
      </x:c>
      <x:c r="H32" s="42" t="str">
        <x:v>후속 완료</x:v>
      </x:c>
    </x:row>
    <x:row r="35">
      <x:c r="J35" t="str">
        <x:v>Stage</x:v>
      </x:c>
      <x:c r="K35" t="str">
        <x:v>권장 영웅수</x:v>
      </x:c>
      <x:c r="L35" t="str">
        <x:v>목표 RPG 처치초</x:v>
      </x:c>
    </x:row>
    <x:row r="36">
      <x:c r="J36" t="n">
        <x:v>1</x:v>
      </x:c>
      <x:c r="K36" t="n">
        <x:v>1</x:v>
      </x:c>
      <x:c r="L36" t="n">
        <x:v>18</x:v>
      </x:c>
    </x:row>
    <x:row r="37">
      <x:c r="J37" t="n">
        <x:v>2</x:v>
      </x:c>
      <x:c r="K37" t="n">
        <x:v>1</x:v>
      </x:c>
      <x:c r="L37" t="n">
        <x:v>20</x:v>
      </x:c>
    </x:row>
    <x:row r="38">
      <x:c r="J38" t="n">
        <x:v>3</x:v>
      </x:c>
      <x:c r="K38" t="n">
        <x:v>1</x:v>
      </x:c>
      <x:c r="L38" t="n">
        <x:v>22</x:v>
      </x:c>
    </x:row>
    <x:row r="39">
      <x:c r="J39" t="n">
        <x:v>4</x:v>
      </x:c>
      <x:c r="K39" t="n">
        <x:v>1</x:v>
      </x:c>
      <x:c r="L39" t="n">
        <x:v>24</x:v>
      </x:c>
    </x:row>
    <x:row r="40">
      <x:c r="J40" t="n">
        <x:v>5</x:v>
      </x:c>
      <x:c r="K40" t="n">
        <x:v>2</x:v>
      </x:c>
      <x:c r="L40" t="n">
        <x:v>24</x:v>
      </x:c>
    </x:row>
    <x:row r="41">
      <x:c r="J41" t="n">
        <x:v>6</x:v>
      </x:c>
      <x:c r="K41" t="n">
        <x:v>2</x:v>
      </x:c>
      <x:c r="L41" t="n">
        <x:v>25</x:v>
      </x:c>
    </x:row>
    <x:row r="42">
      <x:c r="J42" t="n">
        <x:v>7</x:v>
      </x:c>
      <x:c r="K42" t="n">
        <x:v>2</x:v>
      </x:c>
      <x:c r="L42" t="n">
        <x:v>26</x:v>
      </x:c>
    </x:row>
    <x:row r="43">
      <x:c r="J43" t="n">
        <x:v>8</x:v>
      </x:c>
      <x:c r="K43" t="n">
        <x:v>2</x:v>
      </x:c>
      <x:c r="L43" t="n">
        <x:v>27</x:v>
      </x:c>
    </x:row>
    <x:row r="44">
      <x:c r="J44" t="n">
        <x:v>9</x:v>
      </x:c>
      <x:c r="K44" t="n">
        <x:v>2</x:v>
      </x:c>
      <x:c r="L44" t="n">
        <x:v>28</x:v>
      </x:c>
    </x:row>
    <x:row r="45">
      <x:c r="J45" t="n">
        <x:v>10</x:v>
      </x:c>
      <x:c r="K45" t="n">
        <x:v>2</x:v>
      </x:c>
      <x:c r="L45" t="n">
        <x:v>29</x:v>
      </x:c>
    </x:row>
    <x:row r="46">
      <x:c r="J46" t="n">
        <x:v>11</x:v>
      </x:c>
      <x:c r="K46" t="n">
        <x:v>3</x:v>
      </x:c>
      <x:c r="L46" t="n">
        <x:v>29</x:v>
      </x:c>
    </x:row>
    <x:row r="47">
      <x:c r="J47" t="n">
        <x:v>12</x:v>
      </x:c>
      <x:c r="K47" t="n">
        <x:v>3</x:v>
      </x:c>
      <x:c r="L47" t="n">
        <x:v>30</x:v>
      </x:c>
    </x:row>
    <x:row r="48">
      <x:c r="J48" t="n">
        <x:v>13</x:v>
      </x:c>
      <x:c r="K48" t="n">
        <x:v>3</x:v>
      </x:c>
      <x:c r="L48" t="n">
        <x:v>30</x:v>
      </x:c>
    </x:row>
    <x:row r="49">
      <x:c r="J49" t="n">
        <x:v>14</x:v>
      </x:c>
      <x:c r="K49" t="n">
        <x:v>3</x:v>
      </x:c>
      <x:c r="L49" t="n">
        <x:v>31</x:v>
      </x:c>
    </x:row>
    <x:row r="50">
      <x:c r="J50" t="n">
        <x:v>15</x:v>
      </x:c>
      <x:c r="K50" t="n">
        <x:v>3</x:v>
      </x:c>
      <x:c r="L50" t="n">
        <x:v>31</x:v>
      </x:c>
    </x:row>
    <x:row r="51">
      <x:c r="J51" t="n">
        <x:v>16</x:v>
      </x:c>
      <x:c r="K51" t="n">
        <x:v>4</x:v>
      </x:c>
      <x:c r="L51" t="n">
        <x:v>32</x:v>
      </x:c>
    </x:row>
    <x:row r="52">
      <x:c r="J52" t="n">
        <x:v>17</x:v>
      </x:c>
      <x:c r="K52" t="n">
        <x:v>4</x:v>
      </x:c>
      <x:c r="L52" t="n">
        <x:v>33</x:v>
      </x:c>
    </x:row>
    <x:row r="53">
      <x:c r="J53" t="n">
        <x:v>18</x:v>
      </x:c>
      <x:c r="K53" t="n">
        <x:v>4</x:v>
      </x:c>
      <x:c r="L53" t="n">
        <x:v>34</x:v>
      </x:c>
    </x:row>
    <x:row r="54">
      <x:c r="J54" t="n">
        <x:v>19</x:v>
      </x:c>
      <x:c r="K54" t="n">
        <x:v>4</x:v>
      </x:c>
      <x:c r="L54" t="n">
        <x:v>35</x:v>
      </x:c>
    </x:row>
    <x:row r="55">
      <x:c r="J55" t="n">
        <x:v>20</x:v>
      </x:c>
      <x:c r="K55" t="n">
        <x:v>4</x:v>
      </x:c>
      <x:c r="L55" t="n">
        <x:v>36</x:v>
      </x:c>
    </x:row>
  </x:sheetData>
  <x:mergeCells>
    <x:mergeCell ref="A1:W1"/>
    <x:mergeCell ref="A26:W26"/>
  </x:mergeCells>
  <x:conditionalFormatting sqref="P4:P23">
    <x:cfRule type="expression" dxfId="24" priority="1">
      <x:formula>P4="실패 유도"</x:formula>
    </x:cfRule>
  </x:conditionalFormatting>
  <x:conditionalFormatting sqref="L4:L23">
    <x:cfRule type="expression" dxfId="25" priority="2">
      <x:formula>L4="타이트~정상 클리어"</x:formula>
    </x:cfRule>
  </x:conditionalFormatting>
  <x:pageMargins left="0.7" right="0.7" top="0.75" bottom="0.75" header="0.3" footer="0.3"/>
  <x:drawing xmlns:r="http://schemas.openxmlformats.org/officeDocument/2006/relationships" r:id="Rfd4b58ab88c54008"/>
</x:worksheet>
</file>

<file path=xl/worksheets/sheet3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2" hidden="0" customWidth="1"/>
    <x:col min="4" max="4" width="10" hidden="0" customWidth="1"/>
    <x:col min="5" max="5" width="10" hidden="0" customWidth="1"/>
    <x:col min="6" max="6" width="14" hidden="0" customWidth="1"/>
    <x:col min="7" max="7" width="13" hidden="0" customWidth="1"/>
    <x:col min="8" max="8" width="14" hidden="0" customWidth="1"/>
    <x:col min="9" max="9" width="38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24" hidden="0" customWidth="1"/>
    <x:col min="15" max="15" width="18" hidden="0" customWidth="1"/>
    <x:col min="16" max="16" width="36" hidden="0" customWidth="1"/>
  </x:cols>
  <x:sheetData>
    <x:row r="1">
      <x:c r="A1" s="657" t="str">
        <x:v>Normal 1~20 — RPG 전용 보스 HP/압박 기준 V1</x:v>
      </x:c>
      <x:c r="B1" s="657"/>
      <x:c r="C1" s="657"/>
      <x:c r="D1" s="657"/>
      <x:c r="E1" s="657"/>
      <x:c r="F1" s="657"/>
      <x:c r="G1" s="657"/>
      <x:c r="H1" s="657"/>
      <x:c r="I1" s="657"/>
      <x:c r="J1" s="657"/>
      <x:c r="K1" s="657"/>
      <x:c r="L1" s="657"/>
      <x:c r="M1" s="657"/>
      <x:c r="N1" s="657"/>
      <x:c r="O1" s="657"/>
      <x:c r="P1" s="657"/>
    </x:row>
    <x:row r="3">
      <x:c r="A3" s="660" t="str">
        <x:v>Stage</x:v>
      </x:c>
      <x:c r="B3" s="660" t="str">
        <x:v>보스</x:v>
      </x:c>
      <x:c r="C3" s="660" t="str">
        <x:v>TD 보스HP</x:v>
      </x:c>
      <x:c r="D3" s="660" t="str">
        <x:v>TD DEF</x:v>
      </x:c>
      <x:c r="E3" s="660" t="str">
        <x:v>TD ATK</x:v>
      </x:c>
      <x:c r="F3" s="660" t="str">
        <x:v>RPG 전용HP</x:v>
      </x:c>
      <x:c r="G3" s="660" t="str">
        <x:v>RPG HP/TD HP</x:v>
      </x:c>
      <x:c r="H3" s="660" t="str">
        <x:v>RPG 압박계수</x:v>
      </x:c>
      <x:c r="I3" s="660" t="str">
        <x:v>권장 파티</x:v>
      </x:c>
      <x:c r="J3" s="660" t="str">
        <x:v>권장Lv</x:v>
      </x:c>
      <x:c r="K3" s="660" t="str">
        <x:v>성급</x:v>
      </x:c>
      <x:c r="L3" s="660" t="str">
        <x:v>목표 처치초</x:v>
      </x:c>
      <x:c r="M3" s="660" t="str">
        <x:v>목표 생존초</x:v>
      </x:c>
      <x:c r="N3" s="660" t="str">
        <x:v>클리어 조건</x:v>
      </x:c>
      <x:c r="O3" s="660" t="str">
        <x:v>실패 조건</x:v>
      </x:c>
      <x:c r="P3" s="660" t="str">
        <x:v>설계 메모</x:v>
      </x:c>
    </x:row>
    <x:row r="4">
      <x:c r="A4" s="42" t="n">
        <x:v>1</x:v>
      </x:c>
      <x:c r="B4" s="42" t="str">
        <x:v>철각왕 브라움</x:v>
      </x:c>
      <x:c r="C4" s="618" t="n">
        <x:v>2200</x:v>
      </x:c>
      <x:c r="D4" s="618" t="n">
        <x:v>10</x:v>
      </x:c>
      <x:c r="E4" s="618" t="n">
        <x:v>62</x:v>
      </x:c>
      <x:c r="F4" s="618" t="n">
        <x:v>3608.1818181818185</x:v>
      </x:c>
      <x:c r="G4" s="618" t="n">
        <x:v>1.6400826446280994</x:v>
      </x:c>
      <x:c r="H4" s="618" t="n">
        <x:v>6.43010752688172</x:v>
      </x:c>
      <x:c r="I4" s="42" t="str">
        <x:v>아리아</x:v>
      </x:c>
      <x:c r="J4" s="42" t="n">
        <x:v>1</x:v>
      </x:c>
      <x:c r="K4" s="618" t="n">
        <x:v>1</x:v>
      </x:c>
      <x:c r="L4" s="618" t="n">
        <x:v>18</x:v>
      </x:c>
      <x:c r="M4" s="618" t="n">
        <x:v>22.5</x:v>
      </x:c>
      <x:c r="N4" s="42" t="str">
        <x:v>파티 전멸 전 RPG HP 0</x:v>
      </x:c>
      <x:c r="O4" s="42" t="str">
        <x:v>파티 전멸</x:v>
      </x:c>
      <x:c r="P4" s="42" t="str">
        <x:v>TD 보스 스탯과 분리된 RPG 전용값</x:v>
      </x:c>
    </x:row>
    <x:row r="5">
      <x:c r="A5" s="42" t="n">
        <x:v>2</x:v>
      </x:c>
      <x:c r="B5" s="42" t="str">
        <x:v>광산왕 모르겐</x:v>
      </x:c>
      <x:c r="C5" s="618" t="n">
        <x:v>2431</x:v>
      </x:c>
      <x:c r="D5" s="618" t="n">
        <x:v>12</x:v>
      </x:c>
      <x:c r="E5" s="618" t="n">
        <x:v>69</x:v>
      </x:c>
      <x:c r="F5" s="618" t="n">
        <x:v>3990.656250000001</x:v>
      </x:c>
      <x:c r="G5" s="618" t="n">
        <x:v>1.6415698272315924</x:v>
      </x:c>
      <x:c r="H5" s="618" t="n">
        <x:v>5.309726500000001</x:v>
      </x:c>
      <x:c r="I5" s="42" t="str">
        <x:v>아리아</x:v>
      </x:c>
      <x:c r="J5" s="42" t="n">
        <x:v>4</x:v>
      </x:c>
      <x:c r="K5" s="618" t="n">
        <x:v>1</x:v>
      </x:c>
      <x:c r="L5" s="618" t="n">
        <x:v>20</x:v>
      </x:c>
      <x:c r="M5" s="618" t="n">
        <x:v>25</x:v>
      </x:c>
      <x:c r="N5" s="42" t="str">
        <x:v>파티 전멸 전 RPG HP 0</x:v>
      </x:c>
      <x:c r="O5" s="42" t="str">
        <x:v>파티 전멸</x:v>
      </x:c>
      <x:c r="P5" s="42" t="str">
        <x:v>TD 보스 스탯과 분리된 RPG 전용값</x:v>
      </x:c>
    </x:row>
    <x:row r="6">
      <x:c r="A6" s="42" t="n">
        <x:v>3</x:v>
      </x:c>
      <x:c r="B6" s="42" t="str">
        <x:v>붉은협곡의 바르칸</x:v>
      </x:c>
      <x:c r="C6" s="618" t="n">
        <x:v>2686</x:v>
      </x:c>
      <x:c r="D6" s="618" t="n">
        <x:v>14</x:v>
      </x:c>
      <x:c r="E6" s="618" t="n">
        <x:v>76</x:v>
      </x:c>
      <x:c r="F6" s="618" t="n">
        <x:v>5003.657565789473</x:v>
      </x:c>
      <x:c r="G6" s="618" t="n">
        <x:v>1.8628658100482027</x:v>
      </x:c>
      <x:c r="H6" s="618" t="n">
        <x:v>5.539802413651313</x:v>
      </x:c>
      <x:c r="I6" s="42" t="str">
        <x:v>아리아</x:v>
      </x:c>
      <x:c r="J6" s="42" t="n">
        <x:v>6</x:v>
      </x:c>
      <x:c r="K6" s="618" t="n">
        <x:v>1.15</x:v>
      </x:c>
      <x:c r="L6" s="618" t="n">
        <x:v>22</x:v>
      </x:c>
      <x:c r="M6" s="618" t="n">
        <x:v>27.5</x:v>
      </x:c>
      <x:c r="N6" s="42" t="str">
        <x:v>파티 전멸 전 RPG HP 0</x:v>
      </x:c>
      <x:c r="O6" s="42" t="str">
        <x:v>파티 전멸</x:v>
      </x:c>
      <x:c r="P6" s="42" t="str">
        <x:v>TD 보스 스탯과 분리된 RPG 전용값</x:v>
      </x:c>
    </x:row>
    <x:row r="7">
      <x:c r="A7" s="42" t="n">
        <x:v>4</x:v>
      </x:c>
      <x:c r="B7" s="42" t="str">
        <x:v>철익 그라핀</x:v>
      </x:c>
      <x:c r="C7" s="618" t="n">
        <x:v>2968</x:v>
      </x:c>
      <x:c r="D7" s="618" t="n">
        <x:v>16</x:v>
      </x:c>
      <x:c r="E7" s="618" t="n">
        <x:v>83</x:v>
      </x:c>
      <x:c r="F7" s="618" t="n">
        <x:v>5411.64025862069</x:v>
      </x:c>
      <x:c r="G7" s="618" t="n">
        <x:v>1.8233289281067013</x:v>
      </x:c>
      <x:c r="H7" s="618" t="n">
        <x:v>4.715373597301707</x:v>
      </x:c>
      <x:c r="I7" s="42" t="str">
        <x:v>아리아</x:v>
      </x:c>
      <x:c r="J7" s="42" t="n">
        <x:v>8</x:v>
      </x:c>
      <x:c r="K7" s="618" t="n">
        <x:v>1.15</x:v>
      </x:c>
      <x:c r="L7" s="618" t="n">
        <x:v>24</x:v>
      </x:c>
      <x:c r="M7" s="618" t="n">
        <x:v>30</x:v>
      </x:c>
      <x:c r="N7" s="42" t="str">
        <x:v>파티 전멸 전 RPG HP 0</x:v>
      </x:c>
      <x:c r="O7" s="42" t="str">
        <x:v>파티 전멸</x:v>
      </x:c>
      <x:c r="P7" s="42" t="str">
        <x:v>TD 보스 스탯과 분리된 RPG 전용값</x:v>
      </x:c>
    </x:row>
    <x:row r="8">
      <x:c r="A8" s="42" t="n">
        <x:v>5</x:v>
      </x:c>
      <x:c r="B8" s="42" t="str">
        <x:v>산맥포식자 가르도스</x:v>
      </x:c>
      <x:c r="C8" s="618" t="n">
        <x:v>3280</x:v>
      </x:c>
      <x:c r="D8" s="618" t="n">
        <x:v>18</x:v>
      </x:c>
      <x:c r="E8" s="618" t="n">
        <x:v>90</x:v>
      </x:c>
      <x:c r="F8" s="618" t="n">
        <x:v>11896.482381355934</x:v>
      </x:c>
      <x:c r="G8" s="618" t="n">
        <x:v>3.6269763357792484</x:v>
      </x:c>
      <x:c r="H8" s="618" t="n">
        <x:v>7.079735540764443</x:v>
      </x:c>
      <x:c r="I8" s="42" t="str">
        <x:v>아리아 + 루비</x:v>
      </x:c>
      <x:c r="J8" s="42" t="n">
        <x:v>9</x:v>
      </x:c>
      <x:c r="K8" s="618" t="n">
        <x:v>1.15</x:v>
      </x:c>
      <x:c r="L8" s="618" t="n">
        <x:v>24</x:v>
      </x:c>
      <x:c r="M8" s="618" t="n">
        <x:v>30</x:v>
      </x:c>
      <x:c r="N8" s="42" t="str">
        <x:v>파티 전멸 전 RPG HP 0</x:v>
      </x:c>
      <x:c r="O8" s="42" t="str">
        <x:v>파티 전멸</x:v>
      </x:c>
      <x:c r="P8" s="42" t="str">
        <x:v>TD 보스 스탯과 분리된 RPG 전용값</x:v>
      </x:c>
    </x:row>
    <x:row r="9">
      <x:c r="A9" s="42" t="n">
        <x:v>6</x:v>
      </x:c>
      <x:c r="B9" s="42" t="str">
        <x:v>사구왕 자하르</x:v>
      </x:c>
      <x:c r="C9" s="618" t="n">
        <x:v>3624</x:v>
      </x:c>
      <x:c r="D9" s="618" t="n">
        <x:v>20</x:v>
      </x:c>
      <x:c r="E9" s="618" t="n">
        <x:v>97</x:v>
      </x:c>
      <x:c r="F9" s="618" t="n">
        <x:v>12238.562867838542</x:v>
      </x:c>
      <x:c r="G9" s="618" t="n">
        <x:v>3.377086884061408</x:v>
      </x:c>
      <x:c r="H9" s="618" t="n">
        <x:v>6.349068785222597</x:v>
      </x:c>
      <x:c r="I9" s="42" t="str">
        <x:v>아리아 + 루비</x:v>
      </x:c>
      <x:c r="J9" s="42" t="n">
        <x:v>10</x:v>
      </x:c>
      <x:c r="K9" s="618" t="n">
        <x:v>1.15</x:v>
      </x:c>
      <x:c r="L9" s="618" t="n">
        <x:v>25</x:v>
      </x:c>
      <x:c r="M9" s="618" t="n">
        <x:v>31.25</x:v>
      </x:c>
      <x:c r="N9" s="42" t="str">
        <x:v>파티 전멸 전 RPG HP 0</x:v>
      </x:c>
      <x:c r="O9" s="42" t="str">
        <x:v>파티 전멸</x:v>
      </x:c>
      <x:c r="P9" s="42" t="str">
        <x:v>TD 보스 스탯과 분리된 RPG 전용값</x:v>
      </x:c>
    </x:row>
    <x:row r="10">
      <x:c r="A10" s="42" t="n">
        <x:v>7</x:v>
      </x:c>
      <x:c r="B10" s="42" t="str">
        <x:v>불꽃도적 카심</x:v>
      </x:c>
      <x:c r="C10" s="618" t="n">
        <x:v>4005</x:v>
      </x:c>
      <x:c r="D10" s="618" t="n">
        <x:v>22</x:v>
      </x:c>
      <x:c r="E10" s="618" t="n">
        <x:v>104</x:v>
      </x:c>
      <x:c r="F10" s="618" t="n">
        <x:v>14494.446213319674</x:v>
      </x:c>
      <x:c r="G10" s="618" t="n">
        <x:v>3.6190876937127774</x:v>
      </x:c>
      <x:c r="H10" s="618" t="n">
        <x:v>7.183185067490842</x:v>
      </x:c>
      <x:c r="I10" s="42" t="str">
        <x:v>아리아 + 루비</x:v>
      </x:c>
      <x:c r="J10" s="42" t="n">
        <x:v>12</x:v>
      </x:c>
      <x:c r="K10" s="618" t="n">
        <x:v>1.32</x:v>
      </x:c>
      <x:c r="L10" s="618" t="n">
        <x:v>26</x:v>
      </x:c>
      <x:c r="M10" s="618" t="n">
        <x:v>32.5</x:v>
      </x:c>
      <x:c r="N10" s="42" t="str">
        <x:v>파티 전멸 전 RPG HP 0</x:v>
      </x:c>
      <x:c r="O10" s="42" t="str">
        <x:v>파티 전멸</x:v>
      </x:c>
      <x:c r="P10" s="42" t="str">
        <x:v>TD 보스 스탯과 분리된 RPG 전용값</x:v>
      </x:c>
    </x:row>
    <x:row r="11">
      <x:c r="A11" s="42" t="n">
        <x:v>8</x:v>
      </x:c>
      <x:c r="B11" s="42" t="str">
        <x:v>유리사막의 네프라</x:v>
      </x:c>
      <x:c r="C11" s="618" t="n">
        <x:v>4425</x:v>
      </x:c>
      <x:c r="D11" s="618" t="n">
        <x:v>24</x:v>
      </x:c>
      <x:c r="E11" s="618" t="n">
        <x:v>111</x:v>
      </x:c>
      <x:c r="F11" s="618" t="n">
        <x:v>14936.147993649198</x:v>
      </x:c>
      <x:c r="G11" s="618" t="n">
        <x:v>3.375400676530892</x:v>
      </x:c>
      <x:c r="H11" s="618" t="n">
        <x:v>6.570346721924743</x:v>
      </x:c>
      <x:c r="I11" s="42" t="str">
        <x:v>아리아 + 루비</x:v>
      </x:c>
      <x:c r="J11" s="42" t="n">
        <x:v>14</x:v>
      </x:c>
      <x:c r="K11" s="618" t="n">
        <x:v>1.32</x:v>
      </x:c>
      <x:c r="L11" s="618" t="n">
        <x:v>27</x:v>
      </x:c>
      <x:c r="M11" s="618" t="n">
        <x:v>33.75</x:v>
      </x:c>
      <x:c r="N11" s="42" t="str">
        <x:v>파티 전멸 전 RPG HP 0</x:v>
      </x:c>
      <x:c r="O11" s="42" t="str">
        <x:v>파티 전멸</x:v>
      </x:c>
      <x:c r="P11" s="42" t="str">
        <x:v>TD 보스 스탯과 분리된 RPG 전용값</x:v>
      </x:c>
    </x:row>
    <x:row r="12">
      <x:c r="A12" s="42" t="n">
        <x:v>9</x:v>
      </x:c>
      <x:c r="B12" s="42" t="str">
        <x:v>오아시스의 배신자 라지르</x:v>
      </x:c>
      <x:c r="C12" s="618" t="n">
        <x:v>4890</x:v>
      </x:c>
      <x:c r="D12" s="618" t="n">
        <x:v>26</x:v>
      </x:c>
      <x:c r="E12" s="618" t="n">
        <x:v>118</x:v>
      </x:c>
      <x:c r="F12" s="618" t="n">
        <x:v>15373.085291666668</x:v>
      </x:c>
      <x:c r="G12" s="618" t="n">
        <x:v>3.1437802232447174</x:v>
      </x:c>
      <x:c r="H12" s="618" t="n">
        <x:v>6.04148023435932</x:v>
      </x:c>
      <x:c r="I12" s="42" t="str">
        <x:v>아리아 + 루비</x:v>
      </x:c>
      <x:c r="J12" s="42" t="n">
        <x:v>16</x:v>
      </x:c>
      <x:c r="K12" s="618" t="n">
        <x:v>1.32</x:v>
      </x:c>
      <x:c r="L12" s="618" t="n">
        <x:v>28</x:v>
      </x:c>
      <x:c r="M12" s="618" t="n">
        <x:v>35</x:v>
      </x:c>
      <x:c r="N12" s="42" t="str">
        <x:v>파티 전멸 전 RPG HP 0</x:v>
      </x:c>
      <x:c r="O12" s="42" t="str">
        <x:v>파티 전멸</x:v>
      </x:c>
      <x:c r="P12" s="42" t="str">
        <x:v>TD 보스 스탯과 분리된 RPG 전용값</x:v>
      </x:c>
    </x:row>
    <x:row r="13">
      <x:c r="A13" s="42" t="n">
        <x:v>10</x:v>
      </x:c>
      <x:c r="B13" s="42" t="str">
        <x:v>태양먹는 아누라</x:v>
      </x:c>
      <x:c r="C13" s="618" t="n">
        <x:v>5404</x:v>
      </x:c>
      <x:c r="D13" s="618" t="n">
        <x:v>28</x:v>
      </x:c>
      <x:c r="E13" s="618" t="n">
        <x:v>125</x:v>
      </x:c>
      <x:c r="F13" s="618" t="n">
        <x:v>15805.481442480474</x:v>
      </x:c>
      <x:c r="G13" s="618" t="n">
        <x:v>2.9247745082310277</x:v>
      </x:c>
      <x:c r="H13" s="618" t="n">
        <x:v>5.581378518245378</x:v>
      </x:c>
      <x:c r="I13" s="42" t="str">
        <x:v>아리아 + 루비</x:v>
      </x:c>
      <x:c r="J13" s="42" t="n">
        <x:v>18</x:v>
      </x:c>
      <x:c r="K13" s="618" t="n">
        <x:v>1.32</x:v>
      </x:c>
      <x:c r="L13" s="618" t="n">
        <x:v>29</x:v>
      </x:c>
      <x:c r="M13" s="618" t="n">
        <x:v>36.25</x:v>
      </x:c>
      <x:c r="N13" s="42" t="str">
        <x:v>파티 전멸 전 RPG HP 0</x:v>
      </x:c>
      <x:c r="O13" s="42" t="str">
        <x:v>파티 전멸</x:v>
      </x:c>
      <x:c r="P13" s="42" t="str">
        <x:v>TD 보스 스탯과 분리된 RPG 전용값</x:v>
      </x:c>
    </x:row>
    <x:row r="14">
      <x:c r="A14" s="42" t="n">
        <x:v>11</x:v>
      </x:c>
      <x:c r="B14" s="42" t="str">
        <x:v>해적왕 쿠로가네</x:v>
      </x:c>
      <x:c r="C14" s="618" t="n">
        <x:v>5971</x:v>
      </x:c>
      <x:c r="D14" s="618" t="n">
        <x:v>30</x:v>
      </x:c>
      <x:c r="E14" s="618" t="n">
        <x:v>132</x:v>
      </x:c>
      <x:c r="F14" s="618" t="n">
        <x:v>30889.501609848907</x:v>
      </x:c>
      <x:c r="G14" s="618" t="n">
        <x:v>5.173254330907538</x:v>
      </x:c>
      <x:c r="H14" s="618" t="n">
        <x:v>9.451765947733335</x:v>
      </x:c>
      <x:c r="I14" s="42" t="str">
        <x:v>아리아 + 루비 + 미아</x:v>
      </x:c>
      <x:c r="J14" s="42" t="n">
        <x:v>20</x:v>
      </x:c>
      <x:c r="K14" s="618" t="n">
        <x:v>1.32</x:v>
      </x:c>
      <x:c r="L14" s="618" t="n">
        <x:v>29</x:v>
      </x:c>
      <x:c r="M14" s="618" t="n">
        <x:v>36.25</x:v>
      </x:c>
      <x:c r="N14" s="42" t="str">
        <x:v>파티 전멸 전 RPG HP 0</x:v>
      </x:c>
      <x:c r="O14" s="42" t="str">
        <x:v>파티 전멸</x:v>
      </x:c>
      <x:c r="P14" s="42" t="str">
        <x:v>TD 보스 스탯과 분리된 RPG 전용값</x:v>
      </x:c>
    </x:row>
    <x:row r="15">
      <x:c r="A15" s="42" t="n">
        <x:v>12</x:v>
      </x:c>
      <x:c r="B15" s="42" t="str">
        <x:v>청룡치어왕 류가</x:v>
      </x:c>
      <x:c r="C15" s="618" t="n">
        <x:v>6598</x:v>
      </x:c>
      <x:c r="D15" s="618" t="n">
        <x:v>32</x:v>
      </x:c>
      <x:c r="E15" s="618" t="n">
        <x:v>139</x:v>
      </x:c>
      <x:c r="F15" s="618" t="n">
        <x:v>31594.124553571433</x:v>
      </x:c>
      <x:c r="G15" s="618" t="n">
        <x:v>4.788439611029317</x:v>
      </x:c>
      <x:c r="H15" s="618" t="n">
        <x:v>8.732279589448444</x:v>
      </x:c>
      <x:c r="I15" s="42" t="str">
        <x:v>아리아 + 루비 + 미아</x:v>
      </x:c>
      <x:c r="J15" s="42" t="n">
        <x:v>21</x:v>
      </x:c>
      <x:c r="K15" s="618" t="n">
        <x:v>1.32</x:v>
      </x:c>
      <x:c r="L15" s="618" t="n">
        <x:v>30</x:v>
      </x:c>
      <x:c r="M15" s="618" t="n">
        <x:v>37.5</x:v>
      </x:c>
      <x:c r="N15" s="42" t="str">
        <x:v>파티 전멸 전 RPG HP 0</x:v>
      </x:c>
      <x:c r="O15" s="42" t="str">
        <x:v>파티 전멸</x:v>
      </x:c>
      <x:c r="P15" s="42" t="str">
        <x:v>TD 보스 스탯과 분리된 RPG 전용값</x:v>
      </x:c>
    </x:row>
    <x:row r="16">
      <x:c r="A16" s="42" t="n">
        <x:v>13</x:v>
      </x:c>
      <x:c r="B16" s="42" t="str">
        <x:v>심해무녀 우미</x:v>
      </x:c>
      <x:c r="C16" s="618" t="n">
        <x:v>7291</x:v>
      </x:c>
      <x:c r="D16" s="618" t="n">
        <x:v>34</x:v>
      </x:c>
      <x:c r="E16" s="618" t="n">
        <x:v>146</x:v>
      </x:c>
      <x:c r="F16" s="618" t="n">
        <x:v>36118.58361034117</x:v>
      </x:c>
      <x:c r="G16" s="618" t="n">
        <x:v>4.9538586764972115</x:v>
      </x:c>
      <x:c r="H16" s="618" t="n">
        <x:v>10.627633938420914</x:v>
      </x:c>
      <x:c r="I16" s="42" t="str">
        <x:v>아리아 + 루비 + 미아</x:v>
      </x:c>
      <x:c r="J16" s="42" t="n">
        <x:v>23</x:v>
      </x:c>
      <x:c r="K16" s="618" t="n">
        <x:v>1.52</x:v>
      </x:c>
      <x:c r="L16" s="618" t="n">
        <x:v>30</x:v>
      </x:c>
      <x:c r="M16" s="618" t="n">
        <x:v>37.5</x:v>
      </x:c>
      <x:c r="N16" s="42" t="str">
        <x:v>파티 전멸 전 RPG HP 0</x:v>
      </x:c>
      <x:c r="O16" s="42" t="str">
        <x:v>파티 전멸</x:v>
      </x:c>
      <x:c r="P16" s="42" t="str">
        <x:v>TD 보스 스탯과 분리된 RPG 전용값</x:v>
      </x:c>
    </x:row>
    <x:row r="17">
      <x:c r="A17" s="42" t="n">
        <x:v>14</x:v>
      </x:c>
      <x:c r="B17" s="42" t="str">
        <x:v>대갑각왕 카니바</x:v>
      </x:c>
      <x:c r="C17" s="618" t="n">
        <x:v>8056</x:v>
      </x:c>
      <x:c r="D17" s="618" t="n">
        <x:v>36</x:v>
      </x:c>
      <x:c r="E17" s="618" t="n">
        <x:v>153</x:v>
      </x:c>
      <x:c r="F17" s="618" t="n">
        <x:v>36916.4551538778</x:v>
      </x:c>
      <x:c r="G17" s="618" t="n">
        <x:v>4.582479537472419</x:v>
      </x:c>
      <x:c r="H17" s="618" t="n">
        <x:v>9.87785336926691</x:v>
      </x:c>
      <x:c r="I17" s="42" t="str">
        <x:v>아리아 + 루비 + 미아</x:v>
      </x:c>
      <x:c r="J17" s="42" t="n">
        <x:v>24</x:v>
      </x:c>
      <x:c r="K17" s="618" t="n">
        <x:v>1.52</x:v>
      </x:c>
      <x:c r="L17" s="618" t="n">
        <x:v>31</x:v>
      </x:c>
      <x:c r="M17" s="618" t="n">
        <x:v>38.75</x:v>
      </x:c>
      <x:c r="N17" s="42" t="str">
        <x:v>파티 전멸 전 RPG HP 0</x:v>
      </x:c>
      <x:c r="O17" s="42" t="str">
        <x:v>파티 전멸</x:v>
      </x:c>
      <x:c r="P17" s="42" t="str">
        <x:v>TD 보스 스탯과 분리된 RPG 전용값</x:v>
      </x:c>
    </x:row>
    <x:row r="18">
      <x:c r="A18" s="42" t="n">
        <x:v>15</x:v>
      </x:c>
      <x:c r="B18" s="42" t="str">
        <x:v>폭풍닌자 시구레</x:v>
      </x:c>
      <x:c r="C18" s="618" t="n">
        <x:v>8902</x:v>
      </x:c>
      <x:c r="D18" s="618" t="n">
        <x:v>38</x:v>
      </x:c>
      <x:c r="E18" s="618" t="n">
        <x:v>160</x:v>
      </x:c>
      <x:c r="F18" s="618" t="n">
        <x:v>36522.14438122844</x:v>
      </x:c>
      <x:c r="G18" s="618" t="n">
        <x:v>4.102689775469383</x:v>
      </x:c>
      <x:c r="H18" s="618" t="n">
        <x:v>9.506696675934819</x:v>
      </x:c>
      <x:c r="I18" s="42" t="str">
        <x:v>아리아 + 루비 + 미아</x:v>
      </x:c>
      <x:c r="J18" s="42" t="n">
        <x:v>25</x:v>
      </x:c>
      <x:c r="K18" s="618" t="n">
        <x:v>1.52</x:v>
      </x:c>
      <x:c r="L18" s="618" t="n">
        <x:v>31</x:v>
      </x:c>
      <x:c r="M18" s="618" t="n">
        <x:v>38.75</x:v>
      </x:c>
      <x:c r="N18" s="42" t="str">
        <x:v>파티 전멸 전 RPG HP 0</x:v>
      </x:c>
      <x:c r="O18" s="42" t="str">
        <x:v>파티 전멸</x:v>
      </x:c>
      <x:c r="P18" s="42" t="str">
        <x:v>TD 보스 스탯과 분리된 RPG 전용값</x:v>
      </x:c>
    </x:row>
    <x:row r="19">
      <x:c r="A19" s="42" t="n">
        <x:v>16</x:v>
      </x:c>
      <x:c r="B19" s="42" t="str">
        <x:v>백야왕 펜리르</x:v>
      </x:c>
      <x:c r="C19" s="618" t="n">
        <x:v>9837</x:v>
      </x:c>
      <x:c r="D19" s="618" t="n">
        <x:v>40</x:v>
      </x:c>
      <x:c r="E19" s="618" t="n">
        <x:v>167</x:v>
      </x:c>
      <x:c r="F19" s="618" t="n">
        <x:v>48919.722783453006</x:v>
      </x:c>
      <x:c r="G19" s="618" t="n">
        <x:v>4.973032711543459</x:v>
      </x:c>
      <x:c r="H19" s="618" t="n">
        <x:v>13.101827976993016</x:v>
      </x:c>
      <x:c r="I19" s="42" t="str">
        <x:v>아리아 + 세라 + 샤샤 + 네온</x:v>
      </x:c>
      <x:c r="J19" s="42" t="n">
        <x:v>26</x:v>
      </x:c>
      <x:c r="K19" s="618" t="n">
        <x:v>1.52</x:v>
      </x:c>
      <x:c r="L19" s="618" t="n">
        <x:v>32</x:v>
      </x:c>
      <x:c r="M19" s="618" t="n">
        <x:v>40</x:v>
      </x:c>
      <x:c r="N19" s="42" t="str">
        <x:v>파티 전멸 전 RPG HP 0</x:v>
      </x:c>
      <x:c r="O19" s="42" t="str">
        <x:v>파티 전멸</x:v>
      </x:c>
      <x:c r="P19" s="42" t="str">
        <x:v>TD 보스 스탯과 분리된 RPG 전용값</x:v>
      </x:c>
    </x:row>
    <x:row r="20">
      <x:c r="A20" s="42" t="n">
        <x:v>17</x:v>
      </x:c>
      <x:c r="B20" s="42" t="str">
        <x:v>빙벽거인 요툰</x:v>
      </x:c>
      <x:c r="C20" s="618" t="n">
        <x:v>10870</x:v>
      </x:c>
      <x:c r="D20" s="618" t="n">
        <x:v>42</x:v>
      </x:c>
      <x:c r="E20" s="618" t="n">
        <x:v>174</x:v>
      </x:c>
      <x:c r="F20" s="618" t="n">
        <x:v>49928.81418520332</x:v>
      </x:c>
      <x:c r="G20" s="618" t="n">
        <x:v>4.593267174351731</x:v>
      </x:c>
      <x:c r="H20" s="618" t="n">
        <x:v>12.272173946528532</x:v>
      </x:c>
      <x:c r="I20" s="42" t="str">
        <x:v>아리아 + 세라 + 샤샤 + 네온</x:v>
      </x:c>
      <x:c r="J20" s="42" t="n">
        <x:v>27</x:v>
      </x:c>
      <x:c r="K20" s="618" t="n">
        <x:v>1.52</x:v>
      </x:c>
      <x:c r="L20" s="618" t="n">
        <x:v>33</x:v>
      </x:c>
      <x:c r="M20" s="618" t="n">
        <x:v>41.25</x:v>
      </x:c>
      <x:c r="N20" s="42" t="str">
        <x:v>파티 전멸 전 RPG HP 0</x:v>
      </x:c>
      <x:c r="O20" s="42" t="str">
        <x:v>파티 전멸</x:v>
      </x:c>
      <x:c r="P20" s="42" t="str">
        <x:v>TD 보스 스탯과 분리된 RPG 전용값</x:v>
      </x:c>
    </x:row>
    <x:row r="21">
      <x:c r="A21" s="42" t="n">
        <x:v>18</x:v>
      </x:c>
      <x:c r="B21" s="42" t="str">
        <x:v>설해마녀 스카디아</x:v>
      </x:c>
      <x:c r="C21" s="618" t="n">
        <x:v>12011</x:v>
      </x:c>
      <x:c r="D21" s="618" t="n">
        <x:v>44</x:v>
      </x:c>
      <x:c r="E21" s="618" t="n">
        <x:v>181</x:v>
      </x:c>
      <x:c r="F21" s="618" t="n">
        <x:v>50921.28378767853</x:v>
      </x:c>
      <x:c r="G21" s="618" t="n">
        <x:v>4.239554057753603</x:v>
      </x:c>
      <x:c r="H21" s="618" t="n">
        <x:v>11.524027961010088</x:v>
      </x:c>
      <x:c r="I21" s="42" t="str">
        <x:v>아리아 + 세라 + 샤샤 + 네온</x:v>
      </x:c>
      <x:c r="J21" s="42" t="n">
        <x:v>28</x:v>
      </x:c>
      <x:c r="K21" s="618" t="n">
        <x:v>1.52</x:v>
      </x:c>
      <x:c r="L21" s="618" t="n">
        <x:v>34</x:v>
      </x:c>
      <x:c r="M21" s="618" t="n">
        <x:v>42.5</x:v>
      </x:c>
      <x:c r="N21" s="42" t="str">
        <x:v>파티 전멸 전 RPG HP 0</x:v>
      </x:c>
      <x:c r="O21" s="42" t="str">
        <x:v>파티 전멸</x:v>
      </x:c>
      <x:c r="P21" s="42" t="str">
        <x:v>TD 보스 스탯과 분리된 RPG 전용값</x:v>
      </x:c>
    </x:row>
    <x:row r="22">
      <x:c r="A22" s="42" t="n">
        <x:v>19</x:v>
      </x:c>
      <x:c r="B22" s="42" t="str">
        <x:v>동토광왕 브란</x:v>
      </x:c>
      <x:c r="C22" s="618" t="n">
        <x:v>13272</x:v>
      </x:c>
      <x:c r="D22" s="618" t="n">
        <x:v>46</x:v>
      </x:c>
      <x:c r="E22" s="618" t="n">
        <x:v>188</x:v>
      </x:c>
      <x:c r="F22" s="618" t="n">
        <x:v>52094.72881515866</x:v>
      </x:c>
      <x:c r="G22" s="618" t="n">
        <x:v>3.9251603989721717</x:v>
      </x:c>
      <x:c r="H22" s="618" t="n">
        <x:v>10.91597753066171</x:v>
      </x:c>
      <x:c r="I22" s="42" t="str">
        <x:v>아리아 + 세라 + 샤샤 + 네온</x:v>
      </x:c>
      <x:c r="J22" s="42" t="n">
        <x:v>30</x:v>
      </x:c>
      <x:c r="K22" s="618" t="n">
        <x:v>1.52</x:v>
      </x:c>
      <x:c r="L22" s="618" t="n">
        <x:v>35</x:v>
      </x:c>
      <x:c r="M22" s="618" t="n">
        <x:v>43.75</x:v>
      </x:c>
      <x:c r="N22" s="42" t="str">
        <x:v>파티 전멸 전 RPG HP 0</x:v>
      </x:c>
      <x:c r="O22" s="42" t="str">
        <x:v>파티 전멸</x:v>
      </x:c>
      <x:c r="P22" s="42" t="str">
        <x:v>TD 보스 스탯과 분리된 RPG 전용값</x:v>
      </x:c>
    </x:row>
    <x:row r="23">
      <x:c r="A23" s="42" t="n">
        <x:v>20</x:v>
      </x:c>
      <x:c r="B23" s="42" t="str">
        <x:v>설산군주 아르켄</x:v>
      </x:c>
      <x:c r="C23" s="618" t="n">
        <x:v>14666</x:v>
      </x:c>
      <x:c r="D23" s="618" t="n">
        <x:v>48</x:v>
      </x:c>
      <x:c r="E23" s="618" t="n">
        <x:v>195</x:v>
      </x:c>
      <x:c r="F23" s="618" t="n">
        <x:v>53058.85624607069</x:v>
      </x:c>
      <x:c r="G23" s="618" t="n">
        <x:v>3.61781373558371</x:v>
      </x:c>
      <x:c r="H23" s="618" t="n">
        <x:v>10.296773641077305</x:v>
      </x:c>
      <x:c r="I23" s="42" t="str">
        <x:v>아리아 + 세라 + 샤샤 + 네온</x:v>
      </x:c>
      <x:c r="J23" s="42" t="n">
        <x:v>31</x:v>
      </x:c>
      <x:c r="K23" s="618" t="n">
        <x:v>1.52</x:v>
      </x:c>
      <x:c r="L23" s="618" t="n">
        <x:v>36</x:v>
      </x:c>
      <x:c r="M23" s="618" t="n">
        <x:v>45</x:v>
      </x:c>
      <x:c r="N23" s="42" t="str">
        <x:v>파티 전멸 전 RPG HP 0</x:v>
      </x:c>
      <x:c r="O23" s="42" t="str">
        <x:v>파티 전멸</x:v>
      </x:c>
      <x:c r="P23" s="42" t="str">
        <x:v>TD 보스 스탯과 분리된 RPG 전용값</x:v>
      </x:c>
    </x:row>
  </x:sheetData>
  <x:mergeCells>
    <x:mergeCell ref="A1:P1"/>
  </x:mergeCells>
  <x:conditionalFormatting sqref="G4:G2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{82BF5344-6291-A50D-AD1E-6173F93985F5}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BF5344-6291-A50D-AD1E-6173F93985F5}">
            <x14:dataBar gradient="1">
              <x14:cfvo type="min"/>
              <x14:cfvo type="max"/>
              <x14:fillColor rgb="FFA02B93"/>
            </x14:dataBar>
          </x14:cfRule>
          <xm:sqref>G4:G23</xm:sqref>
        </x14:conditionalFormatting>
      </x14:conditionalFormattings>
    </x:ext>
  </x:extLst>
</x:worksheet>
</file>

<file path=xl/worksheets/sheet4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0" hidden="0" customWidth="1"/>
    <x:col min="4" max="4" width="12" hidden="0" customWidth="1"/>
    <x:col min="5" max="5" width="42" hidden="0" customWidth="1"/>
    <x:col min="6" max="6" width="9" hidden="0" customWidth="1"/>
    <x:col min="7" max="7" width="14" hidden="0" customWidth="1"/>
    <x:col min="8" max="8" width="14" hidden="0" customWidth="1"/>
    <x:col min="9" max="9" width="16" hidden="0" customWidth="1"/>
    <x:col min="10" max="10" width="15" hidden="0" customWidth="1"/>
    <x:col min="11" max="11" width="13" hidden="0" customWidth="1"/>
    <x:col min="12" max="12" width="15" hidden="0" customWidth="1"/>
    <x:col min="13" max="13" width="16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18" hidden="0" customWidth="1"/>
    <x:col min="22" max="22" width="42" hidden="0" customWidth="1"/>
    <x:col min="23" max="23" width="34" hidden="0" customWidth="1"/>
  </x:cols>
  <x:sheetData>
    <x:row r="1">
      <x:c r="A1" s="674" t="str">
        <x:v>Hard 45~50 — 5신화 최종구간 통합 설계 V3.6</x:v>
      </x:c>
      <x:c r="B1" s="674"/>
      <x:c r="C1" s="674"/>
      <x:c r="D1" s="674"/>
      <x:c r="E1" s="674"/>
      <x:c r="F1" s="674"/>
      <x:c r="G1" s="674"/>
      <x:c r="H1" s="674"/>
      <x:c r="I1" s="674"/>
      <x:c r="J1" s="674"/>
      <x:c r="K1" s="674"/>
      <x:c r="L1" s="674"/>
      <x:c r="M1" s="674"/>
      <x:c r="N1" s="674"/>
      <x:c r="O1" s="674"/>
      <x:c r="P1" s="674"/>
      <x:c r="Q1" s="674"/>
      <x:c r="R1" s="674"/>
      <x:c r="S1" s="674"/>
      <x:c r="T1" s="674"/>
      <x:c r="U1" s="674"/>
      <x:c r="V1" s="674"/>
      <x:c r="W1" s="674"/>
    </x:row>
    <x:row r="3">
      <x:c r="A3" s="678" t="str">
        <x:v>Stage</x:v>
      </x:c>
      <x:c r="B3" s="678" t="str">
        <x:v>보스</x:v>
      </x:c>
      <x:c r="C3" s="678" t="str">
        <x:v>권장Lv</x:v>
      </x:c>
      <x:c r="D3" s="678" t="str">
        <x:v>권장성급</x:v>
      </x:c>
      <x:c r="E3" s="678" t="str">
        <x:v>표준 파티</x:v>
      </x:c>
      <x:c r="F3" s="678" t="str">
        <x:v>신화수</x:v>
      </x:c>
      <x:c r="G3" s="678" t="str">
        <x:v>조합원가</x:v>
      </x:c>
      <x:c r="H3" s="678" t="str">
        <x:v>W9 표준G</x:v>
      </x:c>
      <x:c r="I3" s="678" t="str">
        <x:v>TD 실전EHP 목표</x:v>
      </x:c>
      <x:c r="J3" s="678" t="str">
        <x:v>5신화 TD DPS</x:v>
      </x:c>
      <x:c r="K3" s="678" t="str">
        <x:v>5신화 TD초</x:v>
      </x:c>
      <x:c r="L3" s="678" t="str">
        <x:v>4신화+전설 TD초</x:v>
      </x:c>
      <x:c r="M3" s="678" t="str">
        <x:v>5신화 TD판정</x:v>
      </x:c>
      <x:c r="N3" s="678" t="str">
        <x:v>4신화+전설 판정</x:v>
      </x:c>
      <x:c r="O3" s="678" t="str">
        <x:v>RPG 전용HP</x:v>
      </x:c>
      <x:c r="P3" s="678" t="str">
        <x:v>RPG 5신화 처치초</x:v>
      </x:c>
      <x:c r="Q3" s="678" t="str">
        <x:v>RPG 5신화 생존초</x:v>
      </x:c>
      <x:c r="R3" s="678" t="str">
        <x:v>RPG 4+1 처치초</x:v>
      </x:c>
      <x:c r="S3" s="678" t="str">
        <x:v>RPG 4+1 생존초</x:v>
      </x:c>
      <x:c r="T3" s="678" t="str">
        <x:v>RPG 판정</x:v>
      </x:c>
      <x:c r="U3" s="678" t="str">
        <x:v>통합 판정</x:v>
      </x:c>
      <x:c r="V3" s="678" t="str">
        <x:v>설계 목적</x:v>
      </x:c>
      <x:c r="W3" s="678" t="str">
        <x:v>비고</x:v>
      </x:c>
    </x:row>
    <x:row r="4">
      <x:c r="A4" s="42" t="n">
        <x:v>45</x:v>
      </x:c>
      <x:c r="B4" s="42" t="str">
        <x:v>침식에 물들은 용살자의 설화</x:v>
      </x:c>
      <x:c r="C4" s="42" t="n">
        <x:v>85</x:v>
      </x:c>
      <x:c r="D4" s="42" t="str">
        <x:v>★5</x:v>
      </x:c>
      <x:c r="E4" s="42" t="str">
        <x:v>아델 + 니아 + 오로라 + 클로에 + 이브</x:v>
      </x:c>
      <x:c r="F4" s="42" t="n">
        <x:v>5</x:v>
      </x:c>
      <x:c r="G4" s="338" t="n">
        <x:v>8938</x:v>
      </x:c>
      <x:c r="H4" s="338" t="n">
        <x:v>11542</x:v>
      </x:c>
      <x:c r="I4" s="338" t="n">
        <x:v>176500</x:v>
      </x:c>
      <x:c r="J4" s="477" t="n">
        <x:v>6008.583045990001</x:v>
      </x:c>
      <x:c r="K4" s="477" t="n">
        <x:v>29.374646010392134</x:v>
      </x:c>
      <x:c r="L4" s="477" t="n">
        <x:v>30.61539168308995</x:v>
      </x:c>
      <x:c r="M4" s="42" t="str">
        <x:v>타이트 클리어</x:v>
      </x:c>
      <x:c r="N4" s="42" t="str">
        <x:v>매우 어려움</x:v>
      </x:c>
      <x:c r="O4" s="477" t="n">
        <x:v>104189.01346886792</x:v>
      </x:c>
      <x:c r="P4" s="477" t="n">
        <x:v>48</x:v>
      </x:c>
      <x:c r="Q4" s="477" t="n">
        <x:v>56</x:v>
      </x:c>
      <x:c r="R4" s="477" t="n">
        <x:v>48.12081304576384</x:v>
      </x:c>
      <x:c r="S4" s="477" t="n">
        <x:v>47.63342574537137</x:v>
      </x:c>
      <x:c r="T4" s="42" t="str">
        <x:v>5신화 통과 / 4+1 실패</x:v>
      </x:c>
      <x:c r="U4" s="42" t="str">
        <x:v>5신화 기준</x:v>
      </x:c>
      <x:c r="V4" s="42" t="str">
        <x:v>45~49는 5신화가 사실상 표준. 50은 Lv100·★5·한계돌파IV까지 요구.</x:v>
      </x:c>
      <x:c r="W4" s="42" t="str">
        <x:v>TD에서 소환한 동일 5영웅이 RPG까지 유지</x:v>
      </x:c>
    </x:row>
    <x:row r="5">
      <x:c r="A5" s="42" t="n">
        <x:v>46</x:v>
      </x:c>
      <x:c r="B5" s="42" t="str">
        <x:v>심연황실골렘 아르카논</x:v>
      </x:c>
      <x:c r="C5" s="42" t="n">
        <x:v>88</x:v>
      </x:c>
      <x:c r="D5" s="42" t="str">
        <x:v>★5</x:v>
      </x:c>
      <x:c r="E5" s="42" t="str">
        <x:v>아델 + 니아 + 오로라 + 클로에 + 이브</x:v>
      </x:c>
      <x:c r="F5" s="42" t="n">
        <x:v>5</x:v>
      </x:c>
      <x:c r="G5" s="338" t="n">
        <x:v>8938</x:v>
      </x:c>
      <x:c r="H5" s="338" t="n">
        <x:v>11975</x:v>
      </x:c>
      <x:c r="I5" s="338" t="n">
        <x:v>177000</x:v>
      </x:c>
      <x:c r="J5" s="477" t="n">
        <x:v>5977.6544635535</x:v>
      </x:c>
      <x:c r="K5" s="477" t="n">
        <x:v>29.610276251193664</x:v>
      </x:c>
      <x:c r="L5" s="477" t="n">
        <x:v>30.878661667420523</x:v>
      </x:c>
      <x:c r="M5" s="42" t="str">
        <x:v>타이트 클리어</x:v>
      </x:c>
      <x:c r="N5" s="42" t="str">
        <x:v>매우 어려움</x:v>
      </x:c>
      <x:c r="O5" s="477" t="n">
        <x:v>107409.1707028839</x:v>
      </x:c>
      <x:c r="P5" s="477" t="n">
        <x:v>50</x:v>
      </x:c>
      <x:c r="Q5" s="477" t="n">
        <x:v>57</x:v>
      </x:c>
      <x:c r="R5" s="477" t="n">
        <x:v>50.12584692267067</x:v>
      </x:c>
      <x:c r="S5" s="477" t="n">
        <x:v>48.47835391328562</x:v>
      </x:c>
      <x:c r="T5" s="42" t="str">
        <x:v>5신화 통과 / 4+1 실패</x:v>
      </x:c>
      <x:c r="U5" s="42" t="str">
        <x:v>5신화 기준</x:v>
      </x:c>
      <x:c r="V5" s="42" t="str">
        <x:v>45~49는 5신화가 사실상 표준. 50은 Lv100·★5·한계돌파IV까지 요구.</x:v>
      </x:c>
      <x:c r="W5" s="42" t="str">
        <x:v>TD에서 소환한 동일 5영웅이 RPG까지 유지</x:v>
      </x:c>
    </x:row>
    <x:row r="6">
      <x:c r="A6" s="42" t="n">
        <x:v>47</x:v>
      </x:c>
      <x:c r="B6" s="42" t="str">
        <x:v>침식된 반역장군 드라켄</x:v>
      </x:c>
      <x:c r="C6" s="42" t="n">
        <x:v>91</x:v>
      </x:c>
      <x:c r="D6" s="42" t="str">
        <x:v>★5</x:v>
      </x:c>
      <x:c r="E6" s="42" t="str">
        <x:v>아델 + 니아 + 오로라 + 클로에 + 이브</x:v>
      </x:c>
      <x:c r="F6" s="42" t="n">
        <x:v>5</x:v>
      </x:c>
      <x:c r="G6" s="338" t="n">
        <x:v>8938</x:v>
      </x:c>
      <x:c r="H6" s="338" t="n">
        <x:v>12131</x:v>
      </x:c>
      <x:c r="I6" s="338" t="n">
        <x:v>178000</x:v>
      </x:c>
      <x:c r="J6" s="477" t="n">
        <x:v>5945.384370835001</x:v>
      </x:c>
      <x:c r="K6" s="477" t="n">
        <x:v>29.939191294876824</x:v>
      </x:c>
      <x:c r="L6" s="477" t="n">
        <x:v>31.24006268285487</x:v>
      </x:c>
      <x:c r="M6" s="42" t="str">
        <x:v>타이트 클리어</x:v>
      </x:c>
      <x:c r="N6" s="42" t="str">
        <x:v>매우 어려움</x:v>
      </x:c>
      <x:c r="O6" s="477" t="n">
        <x:v>110582.03993958334</x:v>
      </x:c>
      <x:c r="P6" s="477" t="n">
        <x:v>52</x:v>
      </x:c>
      <x:c r="Q6" s="477" t="n">
        <x:v>58</x:v>
      </x:c>
      <x:c r="R6" s="477" t="n">
        <x:v>52.13088079957748</x:v>
      </x:c>
      <x:c r="S6" s="477" t="n">
        <x:v>49.32315764487996</x:v>
      </x:c>
      <x:c r="T6" s="42" t="str">
        <x:v>5신화 통과 / 4+1 실패</x:v>
      </x:c>
      <x:c r="U6" s="42" t="str">
        <x:v>5신화 기준</x:v>
      </x:c>
      <x:c r="V6" s="42" t="str">
        <x:v>45~49는 5신화가 사실상 표준. 50은 Lv100·★5·한계돌파IV까지 요구.</x:v>
      </x:c>
      <x:c r="W6" s="42" t="str">
        <x:v>TD에서 소환한 동일 5영웅이 RPG까지 유지</x:v>
      </x:c>
    </x:row>
    <x:row r="7">
      <x:c r="A7" s="42" t="n">
        <x:v>48</x:v>
      </x:c>
      <x:c r="B7" s="42" t="str">
        <x:v>사룡의 화신 네메시스</x:v>
      </x:c>
      <x:c r="C7" s="42" t="n">
        <x:v>94</x:v>
      </x:c>
      <x:c r="D7" s="42" t="str">
        <x:v>★5</x:v>
      </x:c>
      <x:c r="E7" s="42" t="str">
        <x:v>아델 + 니아 + 오로라 + 클로에 + 이브</x:v>
      </x:c>
      <x:c r="F7" s="42" t="n">
        <x:v>5</x:v>
      </x:c>
      <x:c r="G7" s="338" t="n">
        <x:v>8938</x:v>
      </x:c>
      <x:c r="H7" s="338" t="n">
        <x:v>12593</x:v>
      </x:c>
      <x:c r="I7" s="338" t="n">
        <x:v>179000</x:v>
      </x:c>
      <x:c r="J7" s="477" t="n">
        <x:v>5911.7727678345</x:v>
      </x:c>
      <x:c r="K7" s="477" t="n">
        <x:v>30.27856567389146</x:v>
      </x:c>
      <x:c r="L7" s="477" t="n">
        <x:v>31.61332966975322</x:v>
      </x:c>
      <x:c r="M7" s="42" t="str">
        <x:v>최적운용 필요</x:v>
      </x:c>
      <x:c r="N7" s="42" t="str">
        <x:v>매우 어려움</x:v>
      </x:c>
      <x:c r="O7" s="477" t="n">
        <x:v>113710.15446453684</x:v>
      </x:c>
      <x:c r="P7" s="477" t="n">
        <x:v>54</x:v>
      </x:c>
      <x:c r="Q7" s="477" t="n">
        <x:v>59</x:v>
      </x:c>
      <x:c r="R7" s="477" t="n">
        <x:v>54.13591467648432</x:v>
      </x:c>
      <x:c r="S7" s="477" t="n">
        <x:v>50.167839334378684</x:v>
      </x:c>
      <x:c r="T7" s="42" t="str">
        <x:v>5신화 통과 / 4+1 실패</x:v>
      </x:c>
      <x:c r="U7" s="42" t="str">
        <x:v>5신화 기준</x:v>
      </x:c>
      <x:c r="V7" s="42" t="str">
        <x:v>45~49는 5신화가 사실상 표준. 50은 Lv100·★5·한계돌파IV까지 요구.</x:v>
      </x:c>
      <x:c r="W7" s="42" t="str">
        <x:v>TD에서 소환한 동일 5영웅이 RPG까지 유지</x:v>
      </x:c>
    </x:row>
    <x:row r="8">
      <x:c r="A8" s="42" t="n">
        <x:v>49</x:v>
      </x:c>
      <x:c r="B8" s="42" t="str">
        <x:v>종말을 걷는 자 에레보스</x:v>
      </x:c>
      <x:c r="C8" s="42" t="n">
        <x:v>97</x:v>
      </x:c>
      <x:c r="D8" s="42" t="str">
        <x:v>★5</x:v>
      </x:c>
      <x:c r="E8" s="42" t="str">
        <x:v>아델 + 니아 + 오로라 + 클로에 + 이브</x:v>
      </x:c>
      <x:c r="F8" s="42" t="n">
        <x:v>5</x:v>
      </x:c>
      <x:c r="G8" s="338" t="n">
        <x:v>8938</x:v>
      </x:c>
      <x:c r="H8" s="338" t="n">
        <x:v>12783</x:v>
      </x:c>
      <x:c r="I8" s="338" t="n">
        <x:v>180000</x:v>
      </x:c>
      <x:c r="J8" s="477" t="n">
        <x:v>5876.819654552</x:v>
      </x:c>
      <x:c r="K8" s="477" t="n">
        <x:v>30.628811258582292</x:v>
      </x:c>
      <x:c r="L8" s="477" t="n">
        <x:v>31.99895524377071</x:v>
      </x:c>
      <x:c r="M8" s="42" t="str">
        <x:v>최적운용 필요</x:v>
      </x:c>
      <x:c r="N8" s="42" t="str">
        <x:v>매우 어려움</x:v>
      </x:c>
      <x:c r="O8" s="477" t="n">
        <x:v>116795.8697888889</x:v>
      </x:c>
      <x:c r="P8" s="477" t="n">
        <x:v>56</x:v>
      </x:c>
      <x:c r="Q8" s="477" t="n">
        <x:v>60</x:v>
      </x:c>
      <x:c r="R8" s="477" t="n">
        <x:v>56.14094855339115</x:v>
      </x:c>
      <x:c r="S8" s="477" t="n">
        <x:v>51.01240131497572</x:v>
      </x:c>
      <x:c r="T8" s="42" t="str">
        <x:v>5신화 통과 / 4+1 실패</x:v>
      </x:c>
      <x:c r="U8" s="42" t="str">
        <x:v>5신화 기준</x:v>
      </x:c>
      <x:c r="V8" s="42" t="str">
        <x:v>45~49는 5신화가 사실상 표준. 50은 Lv100·★5·한계돌파IV까지 요구.</x:v>
      </x:c>
      <x:c r="W8" s="42" t="str">
        <x:v>TD에서 소환한 동일 5영웅이 RPG까지 유지</x:v>
      </x:c>
    </x:row>
    <x:row r="9">
      <x:c r="A9" s="42" t="n">
        <x:v>50</x:v>
      </x:c>
      <x:c r="B9" s="42" t="str">
        <x:v>침식의 근원, 사룡 발테리옹</x:v>
      </x:c>
      <x:c r="C9" s="42" t="n">
        <x:v>100</x:v>
      </x:c>
      <x:c r="D9" s="42" t="str">
        <x:v>★5</x:v>
      </x:c>
      <x:c r="E9" s="42" t="str">
        <x:v>아델 + 니아 + 오로라 + 클로에 + 이브</x:v>
      </x:c>
      <x:c r="F9" s="42" t="n">
        <x:v>5</x:v>
      </x:c>
      <x:c r="G9" s="338" t="n">
        <x:v>8938</x:v>
      </x:c>
      <x:c r="H9" s="338" t="n">
        <x:v>12938</x:v>
      </x:c>
      <x:c r="I9" s="338" t="n">
        <x:v>180000</x:v>
      </x:c>
      <x:c r="J9" s="477" t="n">
        <x:v>5840.5250309875</x:v>
      </x:c>
      <x:c r="K9" s="477" t="n">
        <x:v>30.81914708780318</x:v>
      </x:c>
      <x:c r="L9" s="477" t="n">
        <x:v>32.21847112732836</x:v>
      </x:c>
      <x:c r="M9" s="42" t="str">
        <x:v>최적운용 필요</x:v>
      </x:c>
      <x:c r="N9" s="42" t="str">
        <x:v>매우 어려움</x:v>
      </x:c>
      <x:c r="O9" s="477" t="n">
        <x:v>119841.37897473958</x:v>
      </x:c>
      <x:c r="P9" s="477" t="n">
        <x:v>58</x:v>
      </x:c>
      <x:c r="Q9" s="477" t="n">
        <x:v>60</x:v>
      </x:c>
      <x:c r="R9" s="477" t="n">
        <x:v>58.14598243029798</x:v>
      </x:c>
      <x:c r="S9" s="477" t="n">
        <x:v>51.006733633541565</x:v>
      </x:c>
      <x:c r="T9" s="42" t="str">
        <x:v>5신화 통과 / 4+1 실패</x:v>
      </x:c>
      <x:c r="U9" s="42" t="str">
        <x:v>잘 육성된 5신화 + 최적운용</x:v>
      </x:c>
      <x:c r="V9" s="42" t="str">
        <x:v>45~49는 5신화가 사실상 표준. 50은 Lv100·★5·한계돌파IV까지 요구.</x:v>
      </x:c>
      <x:c r="W9" s="42" t="str">
        <x:v>TD에서 소환한 동일 5영웅이 RPG까지 유지</x:v>
      </x:c>
    </x:row>
    <x:row r="12">
      <x:c r="A12" s="681" t="str">
        <x:v>Hard 34~44 → 45 진입 구조</x:v>
      </x:c>
      <x:c r="B12" s="681"/>
      <x:c r="C12" s="681"/>
      <x:c r="D12" s="681"/>
      <x:c r="E12" s="681"/>
      <x:c r="F12" s="681"/>
      <x:c r="G12" s="681"/>
      <x:c r="H12" s="681"/>
      <x:c r="I12" s="681"/>
      <x:c r="J12" s="681"/>
      <x:c r="K12" s="681"/>
      <x:c r="L12" s="681"/>
      <x:c r="M12" s="681"/>
      <x:c r="N12" s="681"/>
      <x:c r="O12" s="681"/>
      <x:c r="P12" s="681"/>
      <x:c r="Q12" s="681"/>
      <x:c r="R12" s="681"/>
      <x:c r="S12" s="681"/>
      <x:c r="T12" s="681"/>
      <x:c r="U12" s="681"/>
      <x:c r="V12" s="681"/>
      <x:c r="W12" s="681"/>
    </x:row>
    <x:row r="13">
      <x:c r="A13" s="684" t="str">
        <x:v>구간</x:v>
      </x:c>
      <x:c r="B13" s="684" t="str">
        <x:v>권장 영웅</x:v>
      </x:c>
      <x:c r="C13" s="684" t="str">
        <x:v>신화수</x:v>
      </x:c>
      <x:c r="D13" s="684" t="str">
        <x:v>레벨</x:v>
      </x:c>
      <x:c r="E13" s="684" t="str">
        <x:v>핵심 성장</x:v>
      </x:c>
      <x:c r="F13" s="684" t="str">
        <x:v>첫도전 실패</x:v>
      </x:c>
      <x:c r="G13" s="684" t="str">
        <x:v>클리어 기대</x:v>
      </x:c>
      <x:c r="H13" s="684" t="str">
        <x:v>45 진입 의미</x:v>
      </x:c>
    </x:row>
    <x:row r="14">
      <x:c r="A14" s="42" t="str">
        <x:v>34~36</x:v>
      </x:c>
      <x:c r="B14" s="42" t="str">
        <x:v>5영웅</x:v>
      </x:c>
      <x:c r="C14" s="42" t="n">
        <x:v>4</x:v>
      </x:c>
      <x:c r="D14" s="42" t="str">
        <x:v>65~70</x:v>
      </x:c>
      <x:c r="E14" s="42" t="str">
        <x:v>한계돌파 III + 역할조합</x:v>
      </x:c>
      <x:c r="F14" s="42" t="str">
        <x:v>허용</x:v>
      </x:c>
      <x:c r="G14" s="42" t="str">
        <x:v>성장 후 가능</x:v>
      </x:c>
      <x:c r="H14" s="42" t="str">
        <x:v>4신화 표준 확립</x:v>
      </x:c>
    </x:row>
    <x:row r="15">
      <x:c r="A15" s="42" t="str">
        <x:v>37~39</x:v>
      </x:c>
      <x:c r="B15" s="42" t="str">
        <x:v>5영웅</x:v>
      </x:c>
      <x:c r="C15" s="42" t="n">
        <x:v>4</x:v>
      </x:c>
      <x:c r="D15" s="42" t="str">
        <x:v>70~76</x:v>
      </x:c>
      <x:c r="E15" s="42" t="str">
        <x:v>4신화 완성도/성급</x:v>
      </x:c>
      <x:c r="F15" s="42" t="str">
        <x:v>허용</x:v>
      </x:c>
      <x:c r="G15" s="42" t="str">
        <x:v>7~10일 성장 후</x:v>
      </x:c>
      <x:c r="H15" s="42" t="str">
        <x:v>5번째 신화 준비</x:v>
      </x:c>
    </x:row>
    <x:row r="16">
      <x:c r="A16" s="42" t="str">
        <x:v>40~42</x:v>
      </x:c>
      <x:c r="B16" s="42" t="str">
        <x:v>5영웅</x:v>
      </x:c>
      <x:c r="C16" s="42" t="str">
        <x:v>4~5</x:v>
      </x:c>
      <x:c r="D16" s="42" t="str">
        <x:v>76~82</x:v>
      </x:c>
      <x:c r="E16" s="42" t="str">
        <x:v>한계돌파 IV 진입</x:v>
      </x:c>
      <x:c r="F16" s="42" t="str">
        <x:v>허용</x:v>
      </x:c>
      <x:c r="G16" s="42" t="str">
        <x:v>타이트</x:v>
      </x:c>
      <x:c r="H16" s="42" t="str">
        <x:v>5신화 전환 압박</x:v>
      </x:c>
    </x:row>
    <x:row r="17">
      <x:c r="A17" s="42" t="str">
        <x:v>43~44</x:v>
      </x:c>
      <x:c r="B17" s="42" t="str">
        <x:v>5영웅</x:v>
      </x:c>
      <x:c r="C17" s="42" t="str">
        <x:v>5 권장</x:v>
      </x:c>
      <x:c r="D17" s="42" t="str">
        <x:v>82~85</x:v>
      </x:c>
      <x:c r="E17" s="42" t="str">
        <x:v>5신화 조합 완성</x:v>
      </x:c>
      <x:c r="F17" s="42" t="str">
        <x:v>정상</x:v>
      </x:c>
      <x:c r="G17" s="42" t="str">
        <x:v>성장 후 안정</x:v>
      </x:c>
      <x:c r="H17" s="42" t="str">
        <x:v>45부터 사실상 5신화 기준</x:v>
      </x:c>
    </x:row>
    <x:row r="18">
      <x:c r="A18" s="42" t="str">
        <x:v>45~49</x:v>
      </x:c>
      <x:c r="B18" s="42" t="str">
        <x:v>5영웅</x:v>
      </x:c>
      <x:c r="C18" s="42" t="n">
        <x:v>5</x:v>
      </x:c>
      <x:c r="D18" s="42" t="str">
        <x:v>85~97</x:v>
      </x:c>
      <x:c r="E18" s="42" t="str">
        <x:v>5신화 육성/조합</x:v>
      </x:c>
      <x:c r="F18" s="42" t="str">
        <x:v>정상</x:v>
      </x:c>
      <x:c r="G18" s="42" t="str">
        <x:v>타이트</x:v>
      </x:c>
      <x:c r="H18" s="42" t="str">
        <x:v>4+1은 고숙련 외 매우 어려움</x:v>
      </x:c>
    </x:row>
    <x:row r="21">
      <x:c r="A21" s="687" t="str">
        <x:v>Stage 50 — 발테리옹 최종 기준</x:v>
      </x:c>
      <x:c r="B21" s="687"/>
      <x:c r="C21" s="687"/>
      <x:c r="D21" s="687"/>
      <x:c r="E21" s="687"/>
      <x:c r="F21" s="687"/>
      <x:c r="G21" s="687"/>
      <x:c r="H21" s="687"/>
      <x:c r="I21" s="687"/>
      <x:c r="J21" s="687"/>
      <x:c r="K21" s="687"/>
      <x:c r="L21" s="687"/>
      <x:c r="M21" s="687"/>
      <x:c r="N21" s="687"/>
      <x:c r="O21" s="687"/>
      <x:c r="P21" s="687"/>
      <x:c r="Q21" s="687"/>
      <x:c r="R21" s="687"/>
      <x:c r="S21" s="687"/>
      <x:c r="T21" s="687"/>
      <x:c r="U21" s="687"/>
      <x:c r="V21" s="687"/>
      <x:c r="W21" s="687"/>
    </x:row>
    <x:row r="22">
      <x:c r="A22" s="689" t="str">
        <x:v>항목</x:v>
      </x:c>
      <x:c r="B22" s="689" t="str">
        <x:v>기준</x:v>
      </x:c>
      <x:c r="C22" s="689" t="str">
        <x:v>판정</x:v>
      </x:c>
      <x:c r="D22" s="689" t="str">
        <x:v>의미</x:v>
      </x:c>
      <x:c r="E22" s="689" t="str">
        <x:v>실패 허용</x:v>
      </x:c>
      <x:c r="F22" s="689" t="str">
        <x:v>조정 원칙</x:v>
      </x:c>
      <x:c r="H22" s="689" t="str">
        <x:v>Stage</x:v>
      </x:c>
      <x:c r="I22" s="689" t="str">
        <x:v>W9 표준G</x:v>
      </x:c>
      <x:c r="J22" s="689" t="str">
        <x:v>5신화 예시원가</x:v>
      </x:c>
      <x:c r="K22" s="689" t="str">
        <x:v>잔여G</x:v>
      </x:c>
      <x:c r="L22" s="689" t="str">
        <x:v>경제 판정</x:v>
      </x:c>
      <x:c r="M22" s="689" t="str">
        <x:v>의미</x:v>
      </x:c>
      <x:c r="N22" s="689" t="str">
        <x:v>주의</x:v>
      </x:c>
    </x:row>
    <x:row r="23">
      <x:c r="A23" s="42" t="str">
        <x:v>영웅</x:v>
      </x:c>
      <x:c r="B23" s="42" t="str">
        <x:v>5신화</x:v>
      </x:c>
      <x:c r="C23" s="42" t="str">
        <x:v>필수에 가까움</x:v>
      </x:c>
      <x:c r="D23" s="42" t="str">
        <x:v>전설 혼합은 거의 한계 밖</x:v>
      </x:c>
      <x:c r="E23" s="42" t="str">
        <x:v>허용</x:v>
      </x:c>
      <x:c r="F23" s="42" t="str">
        <x:v>하드락 대신 수치로 압박</x:v>
      </x:c>
      <x:c r="H23" s="42" t="n">
        <x:v>45</x:v>
      </x:c>
      <x:c r="I23" s="338" t="n">
        <x:v>11542</x:v>
      </x:c>
      <x:c r="J23" s="338" t="n">
        <x:v>8938</x:v>
      </x:c>
      <x:c r="K23" s="338" t="n">
        <x:v>2604</x:v>
      </x:c>
      <x:c r="L23" s="42" t="str">
        <x:v>가능</x:v>
      </x:c>
      <x:c r="M23" s="42" t="str">
        <x:v>신화5 자체는 경제적으로 가능</x:v>
      </x:c>
      <x:c r="N23" s="42" t="str">
        <x:v>성급/방어선까지 포함하면 더 타이트</x:v>
      </x:c>
    </x:row>
    <x:row r="24">
      <x:c r="A24" s="42" t="str">
        <x:v>로비 레벨</x:v>
      </x:c>
      <x:c r="B24" s="42" t="str">
        <x:v>Lv100권</x:v>
      </x:c>
      <x:c r="C24" s="42" t="str">
        <x:v>필수</x:v>
      </x:c>
      <x:c r="D24" s="42" t="str">
        <x:v>최종 육성의 보상</x:v>
      </x:c>
      <x:c r="E24" s="42" t="str">
        <x:v>허용</x:v>
      </x:c>
      <x:c r="F24" s="42" t="str">
        <x:v>Lv95 이하도 고숙련은 도전 가능</x:v>
      </x:c>
      <x:c r="H24" s="42" t="n">
        <x:v>46</x:v>
      </x:c>
      <x:c r="I24" s="338" t="n">
        <x:v>11975</x:v>
      </x:c>
      <x:c r="J24" s="338" t="n">
        <x:v>8938</x:v>
      </x:c>
      <x:c r="K24" s="338" t="n">
        <x:v>3037</x:v>
      </x:c>
      <x:c r="L24" s="42" t="str">
        <x:v>가능</x:v>
      </x:c>
      <x:c r="M24" s="42" t="str">
        <x:v>신화5 자체는 경제적으로 가능</x:v>
      </x:c>
      <x:c r="N24" s="42" t="str">
        <x:v>성급/방어선까지 포함하면 더 타이트</x:v>
      </x:c>
    </x:row>
    <x:row r="25">
      <x:c r="A25" s="42" t="str">
        <x:v>TD 성급</x:v>
      </x:c>
      <x:c r="B25" s="42" t="str">
        <x:v>5명 ★5</x:v>
      </x:c>
      <x:c r="C25" s="42" t="str">
        <x:v>필수권</x:v>
      </x:c>
      <x:c r="D25" s="42" t="str">
        <x:v>전투 중 골드 운용까지 검증</x:v>
      </x:c>
      <x:c r="E25" s="42" t="str">
        <x:v>허용</x:v>
      </x:c>
      <x:c r="F25" s="42" t="str">
        <x:v>한 명 ★4이면 매우 타이트</x:v>
      </x:c>
      <x:c r="H25" s="42" t="n">
        <x:v>47</x:v>
      </x:c>
      <x:c r="I25" s="338" t="n">
        <x:v>12131</x:v>
      </x:c>
      <x:c r="J25" s="338" t="n">
        <x:v>8938</x:v>
      </x:c>
      <x:c r="K25" s="338" t="n">
        <x:v>3193</x:v>
      </x:c>
      <x:c r="L25" s="42" t="str">
        <x:v>가능</x:v>
      </x:c>
      <x:c r="M25" s="42" t="str">
        <x:v>신화5 자체는 경제적으로 가능</x:v>
      </x:c>
      <x:c r="N25" s="42" t="str">
        <x:v>성급/방어선까지 포함하면 더 타이트</x:v>
      </x:c>
    </x:row>
    <x:row r="26">
      <x:c r="A26" s="42" t="str">
        <x:v>한계돌파</x:v>
      </x:c>
      <x:c r="B26" s="42" t="str">
        <x:v>IV</x:v>
      </x:c>
      <x:c r="C26" s="42" t="str">
        <x:v>필수권</x:v>
      </x:c>
      <x:c r="D26" s="42" t="str">
        <x:v>최종 성장 완료</x:v>
      </x:c>
      <x:c r="E26" s="42" t="str">
        <x:v>허용</x:v>
      </x:c>
      <x:c r="F26" s="42" t="str">
        <x:v>결제 전용 필수 스킬 없음</x:v>
      </x:c>
      <x:c r="H26" s="42" t="n">
        <x:v>48</x:v>
      </x:c>
      <x:c r="I26" s="338" t="n">
        <x:v>12593</x:v>
      </x:c>
      <x:c r="J26" s="338" t="n">
        <x:v>8938</x:v>
      </x:c>
      <x:c r="K26" s="338" t="n">
        <x:v>3655</x:v>
      </x:c>
      <x:c r="L26" s="42" t="str">
        <x:v>가능</x:v>
      </x:c>
      <x:c r="M26" s="42" t="str">
        <x:v>신화5 자체는 경제적으로 가능</x:v>
      </x:c>
      <x:c r="N26" s="42" t="str">
        <x:v>성급/방어선까지 포함하면 더 타이트</x:v>
      </x:c>
    </x:row>
    <x:row r="27">
      <x:c r="A27" s="42" t="str">
        <x:v>TD W10</x:v>
      </x:c>
      <x:c r="B27" s="42" t="str">
        <x:v>약 30초</x:v>
      </x:c>
      <x:c r="C27" s="42" t="str">
        <x:v>경계</x:v>
      </x:c>
      <x:c r="D27" s="42" t="str">
        <x:v>완벽한 배치/스킬이면 통과</x:v>
      </x:c>
      <x:c r="E27" s="42" t="str">
        <x:v>실패 정상</x:v>
      </x:c>
      <x:c r="F27" s="42" t="str">
        <x:v>29~31초 범위</x:v>
      </x:c>
      <x:c r="H27" s="42" t="n">
        <x:v>49</x:v>
      </x:c>
      <x:c r="I27" s="338" t="n">
        <x:v>12783</x:v>
      </x:c>
      <x:c r="J27" s="338" t="n">
        <x:v>8938</x:v>
      </x:c>
      <x:c r="K27" s="338" t="n">
        <x:v>3845</x:v>
      </x:c>
      <x:c r="L27" s="42" t="str">
        <x:v>가능</x:v>
      </x:c>
      <x:c r="M27" s="42" t="str">
        <x:v>신화5 자체는 경제적으로 가능</x:v>
      </x:c>
      <x:c r="N27" s="42" t="str">
        <x:v>성급/방어선까지 포함하면 더 타이트</x:v>
      </x:c>
    </x:row>
    <x:row r="28">
      <x:c r="A28" s="42" t="str">
        <x:v>RPG</x:v>
      </x:c>
      <x:c r="B28" s="42" t="str">
        <x:v>처치58초 / 생존60초</x:v>
      </x:c>
      <x:c r="C28" s="42" t="str">
        <x:v>극타이트</x:v>
      </x:c>
      <x:c r="D28" s="42" t="str">
        <x:v>조합과 필살기 운용까지 확인</x:v>
      </x:c>
      <x:c r="E28" s="42" t="str">
        <x:v>실패 정상</x:v>
      </x:c>
      <x:c r="F28" s="42" t="str">
        <x:v>5신화여도 역할조합 불량이면 패배</x:v>
      </x:c>
      <x:c r="H28" s="42" t="n">
        <x:v>50</x:v>
      </x:c>
      <x:c r="I28" s="338" t="n">
        <x:v>12938</x:v>
      </x:c>
      <x:c r="J28" s="338" t="n">
        <x:v>8938</x:v>
      </x:c>
      <x:c r="K28" s="338" t="n">
        <x:v>4000</x:v>
      </x:c>
      <x:c r="L28" s="42" t="str">
        <x:v>가능</x:v>
      </x:c>
      <x:c r="M28" s="42" t="str">
        <x:v>신화5 자체는 경제적으로 가능</x:v>
      </x:c>
      <x:c r="N28" s="42" t="str">
        <x:v>성급/방어선까지 포함하면 더 타이트</x:v>
      </x:c>
    </x:row>
    <x:row r="32">
      <x:c r="P32" t="str">
        <x:v>Stage</x:v>
      </x:c>
      <x:c r="Q32" t="str">
        <x:v>5신화 TD초</x:v>
      </x:c>
      <x:c r="R32" t="str">
        <x:v>4+1 TD초</x:v>
      </x:c>
      <x:c r="S32" t="str">
        <x:v>30초</x:v>
      </x:c>
    </x:row>
    <x:row r="33">
      <x:c r="P33" t="n">
        <x:f>A4</x:f>
        <x:v>45</x:v>
      </x:c>
      <x:c r="Q33" t="n">
        <x:f>K4</x:f>
        <x:v>29.374646010392134</x:v>
      </x:c>
      <x:c r="R33" t="n">
        <x:f>L4</x:f>
        <x:v>30.61539168308995</x:v>
      </x:c>
      <x:c r="S33" t="n">
        <x:v>30</x:v>
      </x:c>
    </x:row>
    <x:row r="34">
      <x:c r="P34" t="n">
        <x:f>A5</x:f>
        <x:v>46</x:v>
      </x:c>
      <x:c r="Q34" t="n">
        <x:f>K5</x:f>
        <x:v>29.610276251193664</x:v>
      </x:c>
      <x:c r="R34" t="n">
        <x:f>L5</x:f>
        <x:v>30.878661667420523</x:v>
      </x:c>
      <x:c r="S34" t="n">
        <x:v>30</x:v>
      </x:c>
    </x:row>
    <x:row r="35">
      <x:c r="P35" t="n">
        <x:f>A6</x:f>
        <x:v>47</x:v>
      </x:c>
      <x:c r="Q35" t="n">
        <x:f>K6</x:f>
        <x:v>29.939191294876824</x:v>
      </x:c>
      <x:c r="R35" t="n">
        <x:f>L6</x:f>
        <x:v>31.24006268285487</x:v>
      </x:c>
      <x:c r="S35" t="n">
        <x:v>30</x:v>
      </x:c>
    </x:row>
    <x:row r="36">
      <x:c r="P36" t="n">
        <x:f>A7</x:f>
        <x:v>48</x:v>
      </x:c>
      <x:c r="Q36" t="n">
        <x:f>K7</x:f>
        <x:v>30.27856567389146</x:v>
      </x:c>
      <x:c r="R36" t="n">
        <x:f>L7</x:f>
        <x:v>31.61332966975322</x:v>
      </x:c>
      <x:c r="S36" t="n">
        <x:v>30</x:v>
      </x:c>
    </x:row>
    <x:row r="37">
      <x:c r="P37" t="n">
        <x:f>A8</x:f>
        <x:v>49</x:v>
      </x:c>
      <x:c r="Q37" t="n">
        <x:f>K8</x:f>
        <x:v>30.628811258582292</x:v>
      </x:c>
      <x:c r="R37" t="n">
        <x:f>L8</x:f>
        <x:v>31.99895524377071</x:v>
      </x:c>
      <x:c r="S37" t="n">
        <x:v>30</x:v>
      </x:c>
    </x:row>
    <x:row r="38">
      <x:c r="P38" t="n">
        <x:f>A9</x:f>
        <x:v>50</x:v>
      </x:c>
      <x:c r="Q38" t="n">
        <x:f>K9</x:f>
        <x:v>30.81914708780318</x:v>
      </x:c>
      <x:c r="R38" t="n">
        <x:f>L9</x:f>
        <x:v>32.21847112732836</x:v>
      </x:c>
      <x:c r="S38" t="n">
        <x:v>30</x:v>
      </x:c>
    </x:row>
    <x:row r="40">
      <x:c r="A40" s="719" t="str">
        <x:v>5신화 파티 슬롯 검증</x:v>
      </x:c>
      <x:c r="B40" s="719" t="str">
        <x:v>슬롯1</x:v>
      </x:c>
      <x:c r="C40" s="719" t="str">
        <x:v>슬롯2</x:v>
      </x:c>
      <x:c r="D40" s="719" t="str">
        <x:v>슬롯3</x:v>
      </x:c>
      <x:c r="E40" s="719" t="str">
        <x:v>슬롯4</x:v>
      </x:c>
      <x:c r="F40" s="719" t="str">
        <x:v>슬롯5</x:v>
      </x:c>
      <x:c r="G40" s="719" t="str">
        <x:v>TD 종료</x:v>
      </x:c>
      <x:c r="H40" s="719" t="str">
        <x:v>RPG</x:v>
      </x:c>
    </x:row>
    <x:row r="41">
      <x:c r="A41" s="42" t="str">
        <x:v>표준</x:v>
      </x:c>
      <x:c r="B41" s="42" t="str">
        <x:v>아델</x:v>
      </x:c>
      <x:c r="C41" s="42" t="str">
        <x:v>니아</x:v>
      </x:c>
      <x:c r="D41" s="42" t="str">
        <x:v>오로라</x:v>
      </x:c>
      <x:c r="E41" s="42" t="str">
        <x:v>클로에</x:v>
      </x:c>
      <x:c r="F41" s="42" t="str">
        <x:v>이브</x:v>
      </x:c>
      <x:c r="G41" s="42" t="str">
        <x:v>5/5 잠금</x:v>
      </x:c>
      <x:c r="H41" s="42" t="str">
        <x:v>동일5명</x:v>
      </x:c>
    </x:row>
    <x:row r="42">
      <x:c r="A42" s="42" t="str">
        <x:v>재료전설</x:v>
      </x:c>
      <x:c r="B42" s="42" t="str">
        <x:v>아리아</x:v>
      </x:c>
      <x:c r="C42" s="42" t="str">
        <x:v>리엘</x:v>
      </x:c>
      <x:c r="D42" s="42" t="str">
        <x:v>세라</x:v>
      </x:c>
      <x:c r="E42" s="42" t="str">
        <x:v>세라(재조합)</x:v>
      </x:c>
      <x:c r="F42" s="42" t="str">
        <x:v>카린</x:v>
      </x:c>
      <x:c r="G42" s="42" t="str">
        <x:v>각 슬롯 내 신화전환</x:v>
      </x:c>
      <x:c r="H42" s="42" t="str">
        <x:v>-</x:v>
      </x:c>
    </x:row>
    <x:row r="43">
      <x:c r="A43" s="42" t="str">
        <x:v>신화 전환</x:v>
      </x:c>
      <x:c r="B43" s="42" t="str">
        <x:v>아리아→아델</x:v>
      </x:c>
      <x:c r="C43" s="42" t="str">
        <x:v>리엘→니아</x:v>
      </x:c>
      <x:c r="D43" s="42" t="str">
        <x:v>세라→오로라</x:v>
      </x:c>
      <x:c r="E43" s="42" t="str">
        <x:v>세라→클로에</x:v>
      </x:c>
      <x:c r="F43" s="42" t="str">
        <x:v>카린→이브</x:v>
      </x:c>
      <x:c r="G43" s="42" t="str">
        <x:v>슬롯 수=5 유지</x:v>
      </x:c>
      <x:c r="H43" s="42" t="str">
        <x:v>동일</x:v>
      </x:c>
    </x:row>
    <x:row r="44">
      <x:c r="A44" s="42" t="str">
        <x:v>6번째 영웅</x:v>
      </x:c>
      <x:c r="B44" s="42" t="str">
        <x:v>차단</x:v>
      </x:c>
      <x:c r="C44" s="42" t="str">
        <x:v>차단</x:v>
      </x:c>
      <x:c r="D44" s="42" t="str">
        <x:v>차단</x:v>
      </x:c>
      <x:c r="E44" s="42" t="str">
        <x:v>차단</x:v>
      </x:c>
      <x:c r="F44" s="42" t="str">
        <x:v>차단</x:v>
      </x:c>
      <x:c r="G44" s="42" t="str">
        <x:v>불가</x:v>
      </x:c>
      <x:c r="H44" s="42" t="str">
        <x:v>불가</x:v>
      </x:c>
    </x:row>
    <x:row r="45">
      <x:c r="A45" s="42" t="str">
        <x:v>직접 교체</x:v>
      </x:c>
      <x:c r="B45" s="42" t="str">
        <x:v>불가</x:v>
      </x:c>
      <x:c r="C45" s="42" t="str">
        <x:v>불가</x:v>
      </x:c>
      <x:c r="D45" s="42" t="str">
        <x:v>불가</x:v>
      </x:c>
      <x:c r="E45" s="42" t="str">
        <x:v>불가</x:v>
      </x:c>
      <x:c r="F45" s="42" t="str">
        <x:v>불가</x:v>
      </x:c>
      <x:c r="G45" s="42" t="str">
        <x:v>신화승급만 허용</x:v>
      </x:c>
      <x:c r="H45" s="42" t="str">
        <x:v>재편성 없음</x:v>
      </x:c>
    </x:row>
    <x:row r="46">
      <x:c r="A46" s="42" t="str">
        <x:v>결론</x:v>
      </x:c>
      <x:c r="B46" s="42" t="str">
        <x:v>TD에서 최종5인 완성</x:v>
      </x:c>
      <x:c r="C46" s="42" t="str">
        <x:v>-</x:v>
      </x:c>
      <x:c r="D46" s="42" t="str">
        <x:v>-</x:v>
      </x:c>
      <x:c r="E46" s="42" t="str">
        <x:v>-</x:v>
      </x:c>
      <x:c r="F46" s="42" t="str">
        <x:v>-</x:v>
      </x:c>
      <x:c r="G46" s="42" t="str">
        <x:v>그 5명이 최종파티</x:v>
      </x:c>
      <x:c r="H46" s="42" t="str">
        <x:v>보스전 출전</x:v>
      </x:c>
    </x:row>
  </x:sheetData>
  <x:mergeCells>
    <x:mergeCell ref="A1:W1"/>
    <x:mergeCell ref="A12:W12"/>
    <x:mergeCell ref="A21:W21"/>
  </x:mergeCells>
  <x:conditionalFormatting sqref="K4:L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9f6fa25739cc4b15"/>
</x:worksheet>
</file>

<file path=xl/worksheets/sheet4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0" hidden="0" customWidth="1"/>
    <x:col min="4" max="4" width="42" hidden="0" customWidth="1"/>
    <x:col min="5" max="5" width="9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6" hidden="0" customWidth="1"/>
    <x:col min="15" max="15" width="16" hidden="0" customWidth="1"/>
    <x:col min="16" max="16" width="42" hidden="0" customWidth="1"/>
  </x:cols>
  <x:sheetData>
    <x:row r="1">
      <x:c r="A1" s="674" t="str">
        <x:v>Hard 45~50 — RPG 보스전 5신화 기준 V1</x:v>
      </x:c>
      <x:c r="B1" s="674"/>
      <x:c r="C1" s="674"/>
      <x:c r="D1" s="674"/>
      <x:c r="E1" s="674"/>
      <x:c r="F1" s="674"/>
      <x:c r="G1" s="674"/>
      <x:c r="H1" s="674"/>
      <x:c r="I1" s="674"/>
      <x:c r="J1" s="674"/>
      <x:c r="K1" s="674"/>
      <x:c r="L1" s="674"/>
      <x:c r="M1" s="674"/>
      <x:c r="N1" s="674"/>
      <x:c r="O1" s="674"/>
      <x:c r="P1" s="674"/>
    </x:row>
    <x:row r="3">
      <x:c r="A3" s="677" t="str">
        <x:v>Stage</x:v>
      </x:c>
      <x:c r="B3" s="677" t="str">
        <x:v>보스</x:v>
      </x:c>
      <x:c r="C3" s="677" t="str">
        <x:v>권장Lv</x:v>
      </x:c>
      <x:c r="D3" s="677" t="str">
        <x:v>파티</x:v>
      </x:c>
      <x:c r="E3" s="677" t="str">
        <x:v>신화수</x:v>
      </x:c>
      <x:c r="F3" s="677" t="str">
        <x:v>RPG 전용HP</x:v>
      </x:c>
      <x:c r="G3" s="677" t="str">
        <x:v>압박계수</x:v>
      </x:c>
      <x:c r="H3" s="677" t="str">
        <x:v>5신화 처치초</x:v>
      </x:c>
      <x:c r="I3" s="677" t="str">
        <x:v>5신화 생존초</x:v>
      </x:c>
      <x:c r="J3" s="677" t="str">
        <x:v>4+1 처치초</x:v>
      </x:c>
      <x:c r="K3" s="677" t="str">
        <x:v>4+1 생존초</x:v>
      </x:c>
      <x:c r="L3" s="677" t="str">
        <x:v>5신화 판정</x:v>
      </x:c>
      <x:c r="M3" s="677" t="str">
        <x:v>4+1 판정</x:v>
      </x:c>
      <x:c r="N3" s="677" t="str">
        <x:v>필살기</x:v>
      </x:c>
      <x:c r="O3" s="677" t="str">
        <x:v>권장 체감</x:v>
      </x:c>
      <x:c r="P3" s="677" t="str">
        <x:v>설계</x:v>
      </x:c>
    </x:row>
    <x:row r="4">
      <x:c r="A4" s="42" t="n">
        <x:v>45</x:v>
      </x:c>
      <x:c r="B4" s="42" t="str">
        <x:v>침식에 물들은 용살자의 설화</x:v>
      </x:c>
      <x:c r="C4" s="42" t="n">
        <x:v>85</x:v>
      </x:c>
      <x:c r="D4" s="42" t="str">
        <x:v>아델 + 니아 + 오로라 + 클로에 + 이브</x:v>
      </x:c>
      <x:c r="E4" s="42" t="n">
        <x:v>5</x:v>
      </x:c>
      <x:c r="F4" s="477" t="n">
        <x:v>104189.01346886792</x:v>
      </x:c>
      <x:c r="G4" s="477" t="n">
        <x:v>6.653231382955666</x:v>
      </x:c>
      <x:c r="H4" s="477" t="n">
        <x:v>48</x:v>
      </x:c>
      <x:c r="I4" s="477" t="n">
        <x:v>56</x:v>
      </x:c>
      <x:c r="J4" s="477" t="n">
        <x:v>48.12081304576384</x:v>
      </x:c>
      <x:c r="K4" s="477" t="n">
        <x:v>47.63342574537137</x:v>
      </x:c>
      <x:c r="L4" s="42" t="str">
        <x:v>통과</x:v>
      </x:c>
      <x:c r="M4" s="42" t="str">
        <x:v>실패</x:v>
      </x:c>
      <x:c r="N4" s="42" t="str">
        <x:v>Skill3 필수권</x:v>
      </x:c>
      <x:c r="O4" s="42" t="str">
        <x:v>타이트</x:v>
      </x:c>
      <x:c r="P4" s="42" t="str">
        <x:v>Stage50은 2초 생존여유만 남김.</x:v>
      </x:c>
    </x:row>
    <x:row r="5">
      <x:c r="A5" s="42" t="n">
        <x:v>46</x:v>
      </x:c>
      <x:c r="B5" s="42" t="str">
        <x:v>심연황실골렘 아르카논</x:v>
      </x:c>
      <x:c r="C5" s="42" t="n">
        <x:v>88</x:v>
      </x:c>
      <x:c r="D5" s="42" t="str">
        <x:v>아델 + 니아 + 오로라 + 클로에 + 이브</x:v>
      </x:c>
      <x:c r="E5" s="42" t="n">
        <x:v>5</x:v>
      </x:c>
      <x:c r="F5" s="477" t="n">
        <x:v>107409.1707028839</x:v>
      </x:c>
      <x:c r="G5" s="477" t="n">
        <x:v>6.413009103146199</x:v>
      </x:c>
      <x:c r="H5" s="477" t="n">
        <x:v>50</x:v>
      </x:c>
      <x:c r="I5" s="477" t="n">
        <x:v>57</x:v>
      </x:c>
      <x:c r="J5" s="477" t="n">
        <x:v>50.12584692267067</x:v>
      </x:c>
      <x:c r="K5" s="477" t="n">
        <x:v>48.47835391328562</x:v>
      </x:c>
      <x:c r="L5" s="42" t="str">
        <x:v>통과</x:v>
      </x:c>
      <x:c r="M5" s="42" t="str">
        <x:v>실패</x:v>
      </x:c>
      <x:c r="N5" s="42" t="str">
        <x:v>Skill3 필수권</x:v>
      </x:c>
      <x:c r="O5" s="42" t="str">
        <x:v>타이트</x:v>
      </x:c>
      <x:c r="P5" s="42" t="str">
        <x:v>Stage50은 2초 생존여유만 남김.</x:v>
      </x:c>
    </x:row>
    <x:row r="6">
      <x:c r="A6" s="42" t="n">
        <x:v>47</x:v>
      </x:c>
      <x:c r="B6" s="42" t="str">
        <x:v>침식된 반역장군 드라켄</x:v>
      </x:c>
      <x:c r="C6" s="42" t="n">
        <x:v>91</x:v>
      </x:c>
      <x:c r="D6" s="42" t="str">
        <x:v>아델 + 니아 + 오로라 + 클로에 + 이브</x:v>
      </x:c>
      <x:c r="E6" s="42" t="n">
        <x:v>5</x:v>
      </x:c>
      <x:c r="F6" s="477" t="n">
        <x:v>110582.03993958334</x:v>
      </x:c>
      <x:c r="G6" s="477" t="n">
        <x:v>6.189556413793106</x:v>
      </x:c>
      <x:c r="H6" s="477" t="n">
        <x:v>52</x:v>
      </x:c>
      <x:c r="I6" s="477" t="n">
        <x:v>58</x:v>
      </x:c>
      <x:c r="J6" s="477" t="n">
        <x:v>52.13088079957748</x:v>
      </x:c>
      <x:c r="K6" s="477" t="n">
        <x:v>49.32315764487996</x:v>
      </x:c>
      <x:c r="L6" s="42" t="str">
        <x:v>통과</x:v>
      </x:c>
      <x:c r="M6" s="42" t="str">
        <x:v>실패</x:v>
      </x:c>
      <x:c r="N6" s="42" t="str">
        <x:v>Skill3 필수권</x:v>
      </x:c>
      <x:c r="O6" s="42" t="str">
        <x:v>타이트</x:v>
      </x:c>
      <x:c r="P6" s="42" t="str">
        <x:v>Stage50은 2초 생존여유만 남김.</x:v>
      </x:c>
    </x:row>
    <x:row r="7">
      <x:c r="A7" s="42" t="n">
        <x:v>48</x:v>
      </x:c>
      <x:c r="B7" s="42" t="str">
        <x:v>사룡의 화신 네메시스</x:v>
      </x:c>
      <x:c r="C7" s="42" t="n">
        <x:v>94</x:v>
      </x:c>
      <x:c r="D7" s="42" t="str">
        <x:v>아델 + 니아 + 오로라 + 클로에 + 이브</x:v>
      </x:c>
      <x:c r="E7" s="42" t="n">
        <x:v>5</x:v>
      </x:c>
      <x:c r="F7" s="477" t="n">
        <x:v>113710.15446453684</x:v>
      </x:c>
      <x:c r="G7" s="477" t="n">
        <x:v>5.981238539608052</x:v>
      </x:c>
      <x:c r="H7" s="477" t="n">
        <x:v>54</x:v>
      </x:c>
      <x:c r="I7" s="477" t="n">
        <x:v>59</x:v>
      </x:c>
      <x:c r="J7" s="477" t="n">
        <x:v>54.13591467648432</x:v>
      </x:c>
      <x:c r="K7" s="477" t="n">
        <x:v>50.167839334378684</x:v>
      </x:c>
      <x:c r="L7" s="42" t="str">
        <x:v>통과</x:v>
      </x:c>
      <x:c r="M7" s="42" t="str">
        <x:v>실패</x:v>
      </x:c>
      <x:c r="N7" s="42" t="str">
        <x:v>Skill3 필수권</x:v>
      </x:c>
      <x:c r="O7" s="42" t="str">
        <x:v>극타이트</x:v>
      </x:c>
      <x:c r="P7" s="42" t="str">
        <x:v>Stage50은 2초 생존여유만 남김.</x:v>
      </x:c>
    </x:row>
    <x:row r="8">
      <x:c r="A8" s="42" t="n">
        <x:v>49</x:v>
      </x:c>
      <x:c r="B8" s="42" t="str">
        <x:v>종말을 걷는 자 에레보스</x:v>
      </x:c>
      <x:c r="C8" s="42" t="n">
        <x:v>97</x:v>
      </x:c>
      <x:c r="D8" s="42" t="str">
        <x:v>아델 + 니아 + 오로라 + 클로에 + 이브</x:v>
      </x:c>
      <x:c r="E8" s="42" t="n">
        <x:v>5</x:v>
      </x:c>
      <x:c r="F8" s="477" t="n">
        <x:v>116795.8697888889</x:v>
      </x:c>
      <x:c r="G8" s="477" t="n">
        <x:v>5.7866229084444445</x:v>
      </x:c>
      <x:c r="H8" s="477" t="n">
        <x:v>56</x:v>
      </x:c>
      <x:c r="I8" s="477" t="n">
        <x:v>60</x:v>
      </x:c>
      <x:c r="J8" s="477" t="n">
        <x:v>56.14094855339115</x:v>
      </x:c>
      <x:c r="K8" s="477" t="n">
        <x:v>51.01240131497572</x:v>
      </x:c>
      <x:c r="L8" s="42" t="str">
        <x:v>통과</x:v>
      </x:c>
      <x:c r="M8" s="42" t="str">
        <x:v>실패</x:v>
      </x:c>
      <x:c r="N8" s="42" t="str">
        <x:v>Skill3 필수권</x:v>
      </x:c>
      <x:c r="O8" s="42" t="str">
        <x:v>극타이트</x:v>
      </x:c>
      <x:c r="P8" s="42" t="str">
        <x:v>Stage50은 2초 생존여유만 남김.</x:v>
      </x:c>
    </x:row>
    <x:row r="9">
      <x:c r="A9" s="42" t="n">
        <x:v>50</x:v>
      </x:c>
      <x:c r="B9" s="42" t="str">
        <x:v>침식의 근원, 사룡 발테리옹</x:v>
      </x:c>
      <x:c r="C9" s="42" t="n">
        <x:v>100</x:v>
      </x:c>
      <x:c r="D9" s="42" t="str">
        <x:v>아델 + 니아 + 오로라 + 클로에 + 이브</x:v>
      </x:c>
      <x:c r="E9" s="42" t="n">
        <x:v>5</x:v>
      </x:c>
      <x:c r="F9" s="477" t="n">
        <x:v>119841.37897473958</x:v>
      </x:c>
      <x:c r="G9" s="477" t="n">
        <x:v>5.6978565783431385</x:v>
      </x:c>
      <x:c r="H9" s="477" t="n">
        <x:v>58</x:v>
      </x:c>
      <x:c r="I9" s="477" t="n">
        <x:v>60</x:v>
      </x:c>
      <x:c r="J9" s="477" t="n">
        <x:v>58.14598243029798</x:v>
      </x:c>
      <x:c r="K9" s="477" t="n">
        <x:v>51.006733633541565</x:v>
      </x:c>
      <x:c r="L9" s="42" t="str">
        <x:v>통과</x:v>
      </x:c>
      <x:c r="M9" s="42" t="str">
        <x:v>실패</x:v>
      </x:c>
      <x:c r="N9" s="42" t="str">
        <x:v>Skill3 필수권</x:v>
      </x:c>
      <x:c r="O9" s="42" t="str">
        <x:v>극타이트</x:v>
      </x:c>
      <x:c r="P9" s="42" t="str">
        <x:v>Stage50은 2초 생존여유만 남김.</x:v>
      </x:c>
    </x:row>
  </x:sheetData>
  <x:mergeCells>
    <x:mergeCell ref="A1:P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20" hidden="0" customWidth="1"/>
    <x:col min="5" max="5" width="28" hidden="0" customWidth="1"/>
    <x:col min="6" max="6" width="15" hidden="0" customWidth="1"/>
    <x:col min="7" max="7" width="24" hidden="0" customWidth="1"/>
    <x:col min="8" max="8" width="34" hidden="0" customWidth="1"/>
    <x:col min="10" max="10" width="22" hidden="0" customWidth="1"/>
    <x:col min="11" max="11" width="22" hidden="0" customWidth="1"/>
    <x:col min="12" max="12" width="18" hidden="0" customWidth="1"/>
    <x:col min="13" max="13" width="20" hidden="0" customWidth="1"/>
    <x:col min="14" max="14" width="22" hidden="0" customWidth="1"/>
    <x:col min="15" max="15" width="22" hidden="0" customWidth="1"/>
    <x:col min="16" max="16" width="22" hidden="0" customWidth="1"/>
    <x:col min="17" max="17" width="26" hidden="0" customWidth="1"/>
    <x:col min="18" max="18" width="26" hidden="0" customWidth="1"/>
    <x:col min="19" max="19" width="18" hidden="0" customWidth="1"/>
    <x:col min="20" max="20" width="30" hidden="0" customWidth="1"/>
  </x:cols>
  <x:sheetData>
    <x:row r="1">
      <x:c r="A1" s="698" t="str">
        <x:v>TD 5영웅 슬롯 → RPG 동일 5인 파티 규칙 V1</x:v>
      </x:c>
      <x:c r="B1" s="698"/>
      <x:c r="C1" s="698"/>
      <x:c r="D1" s="698"/>
      <x:c r="E1" s="698"/>
      <x:c r="F1" s="698"/>
      <x:c r="G1" s="698"/>
      <x:c r="H1" s="698"/>
      <x:c r="I1" s="698"/>
      <x:c r="J1" s="698"/>
      <x:c r="K1" s="698"/>
      <x:c r="L1" s="698"/>
      <x:c r="M1" s="698"/>
      <x:c r="N1" s="698"/>
      <x:c r="O1" s="698"/>
      <x:c r="P1" s="698"/>
      <x:c r="Q1" s="698"/>
      <x:c r="R1" s="698"/>
      <x:c r="S1" s="698"/>
      <x:c r="T1" s="698"/>
    </x:row>
    <x:row r="3">
      <x:c r="A3" s="702" t="str">
        <x:v>규칙</x:v>
      </x:c>
      <x:c r="B3" s="702" t="str">
        <x:v>조건</x:v>
      </x:c>
      <x:c r="C3" s="702" t="str">
        <x:v>TD 처리</x:v>
      </x:c>
      <x:c r="D3" s="702" t="str">
        <x:v>영웅 슬롯 변화</x:v>
      </x:c>
      <x:c r="E3" s="702" t="str">
        <x:v>RPG 반영</x:v>
      </x:c>
      <x:c r="F3" s="702" t="str">
        <x:v>허용</x:v>
      </x:c>
      <x:c r="G3" s="702" t="str">
        <x:v>차단</x:v>
      </x:c>
      <x:c r="H3" s="702" t="str">
        <x:v>설계 이유</x:v>
      </x:c>
    </x:row>
    <x:row r="4">
      <x:c r="A4" s="42" t="str">
        <x:v>최대 영웅 수</x:v>
      </x:c>
      <x:c r="B4" s="42" t="str">
        <x:v>한 스테이지</x:v>
      </x:c>
      <x:c r="C4" s="42" t="str">
        <x:v>최대 5명</x:v>
      </x:c>
      <x:c r="D4" s="42" t="str">
        <x:v>0→최대5</x:v>
      </x:c>
      <x:c r="E4" s="42" t="str">
        <x:v>TD 종료 시 현재 슬롯 그대로</x:v>
      </x:c>
      <x:c r="F4" s="42" t="str">
        <x:v>5명 이하</x:v>
      </x:c>
      <x:c r="G4" s="42" t="str">
        <x:v>6번째 영웅 소환</x:v>
      </x:c>
      <x:c r="H4" s="42" t="str">
        <x:v>TD 선택이 RPG 파티 선택</x:v>
      </x:c>
    </x:row>
    <x:row r="5">
      <x:c r="A5" s="42" t="str">
        <x:v>전설 소환</x:v>
      </x:c>
      <x:c r="B5" s="42" t="str">
        <x:v>빈 슬롯 존재</x:v>
      </x:c>
      <x:c r="C5" s="42" t="str">
        <x:v>전설 1명 생성</x:v>
      </x:c>
      <x:c r="D5" s="42" t="str">
        <x:v>빈 슬롯 1개 점유</x:v>
      </x:c>
      <x:c r="E5" s="42" t="str">
        <x:v>해당 전설 RPG 참가</x:v>
      </x:c>
      <x:c r="F5" s="42" t="str">
        <x:v>슬롯&lt;5</x:v>
      </x:c>
      <x:c r="G5" s="42" t="str">
        <x:v>슬롯=5</x:v>
      </x:c>
      <x:c r="H5" s="42" t="str">
        <x:v>전설 선택에 책임 부여</x:v>
      </x:c>
    </x:row>
    <x:row r="6">
      <x:c r="A6" s="42" t="str">
        <x:v>신화 조합</x:v>
      </x:c>
      <x:c r="B6" s="42" t="str">
        <x:v>재료 전설 1명 보유</x:v>
      </x:c>
      <x:c r="C6" s="42" t="str">
        <x:v>재료전설+상급재료 소모 후 신화 생성</x:v>
      </x:c>
      <x:c r="D6" s="42" t="str">
        <x:v>재료 전설 슬롯을 신화가 그대로 계승</x:v>
      </x:c>
      <x:c r="E6" s="42" t="str">
        <x:v>신화가 같은 파티 슬롯으로 참가</x:v>
      </x:c>
      <x:c r="F6" s="42" t="str">
        <x:v>슬롯5/5에서도 가능</x:v>
      </x:c>
      <x:c r="G6" s="42" t="str">
        <x:v>새 6번째 슬롯 생성</x:v>
      </x:c>
      <x:c r="H6" s="42" t="str">
        <x:v>신화는 '추가 소환'이 아니라 상위 전환</x:v>
      </x:c>
    </x:row>
    <x:row r="7">
      <x:c r="A7" s="42" t="str">
        <x:v>신화 배치 위치</x:v>
      </x:c>
      <x:c r="B7" s="42" t="str">
        <x:v>조합 성립</x:v>
      </x:c>
      <x:c r="C7" s="42" t="str">
        <x:v>소모 재료 타일 중 선택</x:v>
      </x:c>
      <x:c r="D7" s="42" t="str">
        <x:v>파티 슬롯은 재료 전설 슬롯 유지</x:v>
      </x:c>
      <x:c r="E7" s="42" t="str">
        <x:v>영웅 ID만 신화로 교체</x:v>
      </x:c>
      <x:c r="F7" s="42" t="str">
        <x:v>위치 변경</x:v>
      </x:c>
      <x:c r="G7" s="42" t="str">
        <x:v>슬롯 변경</x:v>
      </x:c>
      <x:c r="H7" s="42" t="str">
        <x:v>TD 위치와 RPG 파티슬롯 분리</x:v>
      </x:c>
    </x:row>
    <x:row r="8">
      <x:c r="A8" s="42" t="str">
        <x:v>신화 성급</x:v>
      </x:c>
      <x:c r="B8" s="42" t="str">
        <x:v>전환 직후</x:v>
      </x:c>
      <x:c r="C8" s="42" t="str">
        <x:v>신화 ★1로 시작</x:v>
      </x:c>
      <x:c r="D8" s="42" t="str">
        <x:v>슬롯 유지</x:v>
      </x:c>
      <x:c r="E8" s="42" t="str">
        <x:v>RPG도 ★1로 진입</x:v>
      </x:c>
      <x:c r="F8" s="42" t="str">
        <x:v>재강화</x:v>
      </x:c>
      <x:c r="G8" s="42" t="str">
        <x:v>전설 성급 자동상속</x:v>
      </x:c>
      <x:c r="H8" s="42" t="str">
        <x:v>전환 타이밍/골드 선택 의미</x:v>
      </x:c>
    </x:row>
    <x:row r="9">
      <x:c r="A9" s="42" t="str">
        <x:v>일반/구조물 판매</x:v>
      </x:c>
      <x:c r="B9" s="42" t="str">
        <x:v>W1~W9</x:v>
      </x:c>
      <x:c r="C9" s="42" t="str">
        <x:v>해당 오브젝트 제거 + 판매골드</x:v>
      </x:c>
      <x:c r="D9" s="42" t="str">
        <x:v>영웅슬롯 영향 없음</x:v>
      </x:c>
      <x:c r="E9" s="42" t="str">
        <x:v>RPG 미참가</x:v>
      </x:c>
      <x:c r="F9" s="42" t="str">
        <x:v>가능</x:v>
      </x:c>
      <x:c r="G9" s="42" t="str">
        <x:v>W10 이후</x:v>
      </x:c>
      <x:c r="H9" s="42" t="str">
        <x:v>TD 배치 실수 수정</x:v>
      </x:c>
    </x:row>
    <x:row r="10">
      <x:c r="A10" s="42" t="str">
        <x:v>전설 영웅 판매</x:v>
      </x:c>
      <x:c r="B10" s="42" t="str">
        <x:v>W1~W9</x:v>
      </x:c>
      <x:c r="C10" s="42" t="str">
        <x:v>전설 제거 + 판매골드</x:v>
      </x:c>
      <x:c r="D10" s="42" t="str">
        <x:v>영웅 슬롯 1개 비움</x:v>
      </x:c>
      <x:c r="E10" s="42" t="str">
        <x:v>해당 전설 RPG 제외</x:v>
      </x:c>
      <x:c r="F10" s="42" t="str">
        <x:v>가능</x:v>
      </x:c>
      <x:c r="G10" s="42" t="str">
        <x:v>W10 이후</x:v>
      </x:c>
      <x:c r="H10" s="42" t="str">
        <x:v>5인 파티 수정 가능</x:v>
      </x:c>
    </x:row>
    <x:row r="11">
      <x:c r="A11" s="42" t="str">
        <x:v>신화 영웅 판매</x:v>
      </x:c>
      <x:c r="B11" s="42" t="str">
        <x:v>항상</x:v>
      </x:c>
      <x:c r="C11" s="42" t="str">
        <x:v>불가</x:v>
      </x:c>
      <x:c r="D11" s="42" t="str">
        <x:v>슬롯 유지</x:v>
      </x:c>
      <x:c r="E11" s="42" t="str">
        <x:v>RPG 참가 유지</x:v>
      </x:c>
      <x:c r="F11" s="42" t="str">
        <x:v>없음</x:v>
      </x:c>
      <x:c r="G11" s="42" t="str">
        <x:v>판매 버튼 자체</x:v>
      </x:c>
      <x:c r="H11" s="42" t="str">
        <x:v>신화 선택의 비가역성</x:v>
      </x:c>
    </x:row>
    <x:row r="12">
      <x:c r="A12" s="42" t="str">
        <x:v>5슬롯 완성 후</x:v>
      </x:c>
      <x:c r="B12" s="42" t="str">
        <x:v>5/5</x:v>
      </x:c>
      <x:c r="C12" s="42" t="str">
        <x:v>전설 판매로 4/5 가능 / 신화는 판매 불가</x:v>
      </x:c>
      <x:c r="D12" s="42" t="str">
        <x:v>전설 판매 시 빈 슬롯 생성</x:v>
      </x:c>
      <x:c r="E12" s="42" t="str">
        <x:v>현재 남은 영웅이 RPG 파티</x:v>
      </x:c>
      <x:c r="F12" s="42" t="str">
        <x:v>새 전설 재소환</x:v>
      </x:c>
      <x:c r="G12" s="42" t="str">
        <x:v>신화 판매</x:v>
      </x:c>
      <x:c r="H12" s="42" t="str">
        <x:v>전설만 수정 가능한 최종 조정창</x:v>
      </x:c>
    </x:row>
    <x:row r="13">
      <x:c r="A13" s="42" t="str">
        <x:v>TD 종료</x:v>
      </x:c>
      <x:c r="B13" s="42" t="str">
        <x:v>W10 보스 HP0</x:v>
      </x:c>
      <x:c r="C13" s="42" t="str">
        <x:v>영웅 슬롯·일반·구조물 판매 잠금</x:v>
      </x:c>
      <x:c r="D13" s="42" t="str">
        <x:v>변화 없음</x:v>
      </x:c>
      <x:c r="E13" s="42" t="str">
        <x:v>같은 0~5명으로 RPG 즉시 전환</x:v>
      </x:c>
      <x:c r="F13" s="42" t="str">
        <x:v>동일 영웅</x:v>
      </x:c>
      <x:c r="G13" s="42" t="str">
        <x:v>파티 재편성/판매</x:v>
      </x:c>
      <x:c r="H13" s="42" t="str">
        <x:v>TD와 RPG를 한 빌드로 묶음</x:v>
      </x:c>
    </x:row>
    <x:row r="16">
      <x:c r="A16" s="705" t="str">
        <x:v>5개 영웅 슬롯 상태 흐름</x:v>
      </x:c>
      <x:c r="B16" s="705"/>
      <x:c r="C16" s="705"/>
      <x:c r="D16" s="705"/>
      <x:c r="E16" s="705"/>
      <x:c r="F16" s="705"/>
      <x:c r="G16" s="705"/>
      <x:c r="H16" s="705"/>
      <x:c r="I16" s="705"/>
      <x:c r="J16" s="705"/>
      <x:c r="K16" s="705"/>
      <x:c r="L16" s="705"/>
      <x:c r="M16" s="705"/>
      <x:c r="N16" s="705"/>
      <x:c r="O16" s="705"/>
      <x:c r="P16" s="705"/>
      <x:c r="Q16" s="705"/>
      <x:c r="R16" s="705"/>
      <x:c r="S16" s="705"/>
      <x:c r="T16" s="705"/>
    </x:row>
    <x:row r="18">
      <x:c r="A18" s="708" t="str">
        <x:v>상태</x:v>
      </x:c>
      <x:c r="B18" s="708" t="str">
        <x:v>예시</x:v>
      </x:c>
      <x:c r="C18" s="708" t="str">
        <x:v>가능 행동</x:v>
      </x:c>
      <x:c r="D18" s="708" t="str">
        <x:v>슬롯 수</x:v>
      </x:c>
      <x:c r="E18" s="708" t="str">
        <x:v>RPG 파티</x:v>
      </x:c>
      <x:c r="F18" s="708" t="str">
        <x:v>비고</x:v>
      </x:c>
      <x:c r="H18" s="711" t="str">
        <x:v>사례</x:v>
      </x:c>
      <x:c r="I18" s="711" t="str">
        <x:v>현재</x:v>
      </x:c>
      <x:c r="J18" s="711" t="str">
        <x:v>행동</x:v>
      </x:c>
      <x:c r="K18" s="711" t="str">
        <x:v>결과</x:v>
      </x:c>
      <x:c r="L18" s="711" t="str">
        <x:v>판정</x:v>
      </x:c>
      <x:c r="M18" s="711" t="str">
        <x:v>이유</x:v>
      </x:c>
      <x:c r="N18" s="711" t="str">
        <x:v>RPG 결과</x:v>
      </x:c>
    </x:row>
    <x:row r="19">
      <x:c r="A19" s="42" t="str">
        <x:v>0/5</x:v>
      </x:c>
      <x:c r="B19" s="42" t="str">
        <x:v>없음</x:v>
      </x:c>
      <x:c r="C19" s="42" t="str">
        <x:v>전설 소환</x:v>
      </x:c>
      <x:c r="D19" s="42" t="str">
        <x:v>0</x:v>
      </x:c>
      <x:c r="E19" s="42" t="str">
        <x:v>0명</x:v>
      </x:c>
      <x:c r="F19" s="42" t="str">
        <x:v>전설0이면 RPG 직전 운명의 주사위 가능</x:v>
      </x:c>
      <x:c r="H19" s="42" t="str">
        <x:v>전설 추가</x:v>
      </x:c>
      <x:c r="I19" s="42" t="str">
        <x:v>4/5</x:v>
      </x:c>
      <x:c r="J19" s="42" t="str">
        <x:v>카린 소환</x:v>
      </x:c>
      <x:c r="K19" s="42" t="str">
        <x:v>5/5</x:v>
      </x:c>
      <x:c r="L19" s="42" t="str">
        <x:v>허용</x:v>
      </x:c>
      <x:c r="M19" s="42" t="str">
        <x:v>빈 슬롯 존재</x:v>
      </x:c>
      <x:c r="N19" s="42" t="str">
        <x:v>카린 포함 5인</x:v>
      </x:c>
    </x:row>
    <x:row r="20">
      <x:c r="A20" s="42" t="str">
        <x:v>1/5</x:v>
      </x:c>
      <x:c r="B20" s="42" t="str">
        <x:v>아리아</x:v>
      </x:c>
      <x:c r="C20" s="42" t="str">
        <x:v>전설 추가 / 아리아 기반 신화 전환</x:v>
      </x:c>
      <x:c r="D20" s="42" t="str">
        <x:v>1</x:v>
      </x:c>
      <x:c r="E20" s="42" t="str">
        <x:v>1명</x:v>
      </x:c>
      <x:c r="F20" s="42" t="str">
        <x:v>아리아→아델이면 여전히 1/5</x:v>
      </x:c>
      <x:c r="H20" s="42" t="str">
        <x:v>6번째 전설</x:v>
      </x:c>
      <x:c r="I20" s="42" t="str">
        <x:v>5/5</x:v>
      </x:c>
      <x:c r="J20" s="42" t="str">
        <x:v>루비 소환</x:v>
      </x:c>
      <x:c r="K20" s="42" t="str">
        <x:v>변화 없음</x:v>
      </x:c>
      <x:c r="L20" s="42" t="str">
        <x:v>차단</x:v>
      </x:c>
      <x:c r="M20" s="42" t="str">
        <x:v>최대 5영웅</x:v>
      </x:c>
      <x:c r="N20" s="42" t="str">
        <x:v>기존 5인 유지</x:v>
      </x:c>
    </x:row>
    <x:row r="21">
      <x:c r="A21" s="42" t="str">
        <x:v>3/5</x:v>
      </x:c>
      <x:c r="B21" s="42" t="str">
        <x:v>아델·니아·세라</x:v>
      </x:c>
      <x:c r="C21" s="42" t="str">
        <x:v>전설 추가 / 세라→오로라</x:v>
      </x:c>
      <x:c r="D21" s="42" t="str">
        <x:v>3</x:v>
      </x:c>
      <x:c r="E21" s="42" t="str">
        <x:v>3명</x:v>
      </x:c>
      <x:c r="F21" s="42" t="str">
        <x:v>신화 전환은 슬롯 수 증가 없음</x:v>
      </x:c>
      <x:c r="H21" s="42" t="str">
        <x:v>전설 교체</x:v>
      </x:c>
      <x:c r="I21" s="42" t="str">
        <x:v>5/5, 카린 보유</x:v>
      </x:c>
      <x:c r="J21" s="42" t="str">
        <x:v>카린 판매→루비 소환</x:v>
      </x:c>
      <x:c r="K21" s="42" t="str">
        <x:v>5/5</x:v>
      </x:c>
      <x:c r="L21" s="42" t="str">
        <x:v>허용</x:v>
      </x:c>
      <x:c r="M21" s="42" t="str">
        <x:v>전설 판매로 슬롯 1칸 확보</x:v>
      </x:c>
      <x:c r="N21" s="42" t="str">
        <x:v>루비 포함 5인</x:v>
      </x:c>
    </x:row>
    <x:row r="22">
      <x:c r="A22" s="42" t="str">
        <x:v>4/5</x:v>
      </x:c>
      <x:c r="B22" s="42" t="str">
        <x:v>아델·니아·오로라·세라</x:v>
      </x:c>
      <x:c r="C22" s="42" t="str">
        <x:v>세라→클로에 / 카린 소환</x:v>
      </x:c>
      <x:c r="D22" s="42" t="str">
        <x:v>4</x:v>
      </x:c>
      <x:c r="E22" s="42" t="str">
        <x:v>4명</x:v>
      </x:c>
      <x:c r="F22" s="42" t="str">
        <x:v>빈 슬롯 1개</x:v>
      </x:c>
      <x:c r="H22" s="42" t="str">
        <x:v>신화 승급</x:v>
      </x:c>
      <x:c r="I22" s="42" t="str">
        <x:v>5/5, 카린 보유</x:v>
      </x:c>
      <x:c r="J22" s="42" t="str">
        <x:v>카린+재료→이브</x:v>
      </x:c>
      <x:c r="K22" s="42" t="str">
        <x:v>5/5</x:v>
      </x:c>
      <x:c r="L22" s="42" t="str">
        <x:v>허용</x:v>
      </x:c>
      <x:c r="M22" s="42" t="str">
        <x:v>카린 슬롯을 이브가 계승</x:v>
      </x:c>
      <x:c r="N22" s="42" t="str">
        <x:v>이브 포함 5인</x:v>
      </x:c>
    </x:row>
    <x:row r="23">
      <x:c r="A23" s="42" t="str">
        <x:v>5/5</x:v>
      </x:c>
      <x:c r="B23" s="42" t="str">
        <x:v>아델·니아·오로라·클로에·카린</x:v>
      </x:c>
      <x:c r="C23" s="42" t="str">
        <x:v>카린 판매→다른 전설 / 카린→이브</x:v>
      </x:c>
      <x:c r="D23" s="42" t="str">
        <x:v>5</x:v>
      </x:c>
      <x:c r="E23" s="42" t="str">
        <x:v>현재 5명</x:v>
      </x:c>
      <x:c r="F23" s="42" t="str">
        <x:v>전설은 수정 가능, 신화는 비가역</x:v>
      </x:c>
      <x:c r="H23" s="42" t="str">
        <x:v>신화 판매</x:v>
      </x:c>
      <x:c r="I23" s="42" t="str">
        <x:v>5/5, 이브 보유</x:v>
      </x:c>
      <x:c r="J23" s="42" t="str">
        <x:v>이브 판매 시도</x:v>
      </x:c>
      <x:c r="K23" s="42" t="str">
        <x:v>변화 없음</x:v>
      </x:c>
      <x:c r="L23" s="42" t="str">
        <x:v>차단</x:v>
      </x:c>
      <x:c r="M23" s="42" t="str">
        <x:v>신화 판매 불가</x:v>
      </x:c>
      <x:c r="N23" s="42" t="str">
        <x:v>이브 유지</x:v>
      </x:c>
    </x:row>
    <x:row r="24">
      <x:c r="A24" s="42" t="str">
        <x:v>5/5 최종</x:v>
      </x:c>
      <x:c r="B24" s="42" t="str">
        <x:v>아델·니아·오로라·클로에·이브</x:v>
      </x:c>
      <x:c r="C24" s="42" t="str">
        <x:v>성급/이동/스킬운용</x:v>
      </x:c>
      <x:c r="D24" s="42" t="str">
        <x:v>5</x:v>
      </x:c>
      <x:c r="E24" s="42" t="str">
        <x:v>동일 5신화</x:v>
      </x:c>
      <x:c r="F24" s="42" t="str">
        <x:v>신화 5명은 판매 불가</x:v>
      </x:c>
      <x:c r="H24" s="42" t="str">
        <x:v>W10 이후 교체</x:v>
      </x:c>
      <x:c r="I24" s="42" t="str">
        <x:v>5/5</x:v>
      </x:c>
      <x:c r="J24" s="42" t="str">
        <x:v>전설 판매</x:v>
      </x:c>
      <x:c r="K24" s="42" t="str">
        <x:v>변화 없음</x:v>
      </x:c>
      <x:c r="L24" s="42" t="str">
        <x:v>차단</x:v>
      </x:c>
      <x:c r="M24" s="42" t="str">
        <x:v>보스 시작 시 슬롯 잠금</x:v>
      </x:c>
      <x:c r="N24" s="42" t="str">
        <x:v>현재 5인 그대로 RPG</x:v>
      </x:c>
    </x:row>
    <x:row r="28">
      <x:c r="A28" s="714" t="str">
        <x:v>Stage45~50 표준 5신화 파티의 합법적 조합 순서 예시</x:v>
      </x:c>
      <x:c r="B28" s="714"/>
      <x:c r="C28" s="714"/>
      <x:c r="D28" s="714"/>
      <x:c r="E28" s="714"/>
      <x:c r="F28" s="714"/>
      <x:c r="G28" s="714"/>
      <x:c r="H28" s="714"/>
      <x:c r="I28" s="714"/>
      <x:c r="J28" s="714"/>
      <x:c r="K28" s="714"/>
      <x:c r="L28" s="714"/>
      <x:c r="M28" s="714"/>
      <x:c r="N28" s="714"/>
      <x:c r="O28" s="714"/>
      <x:c r="P28" s="714"/>
      <x:c r="Q28" s="714"/>
      <x:c r="R28" s="714"/>
      <x:c r="S28" s="714"/>
      <x:c r="T28" s="714"/>
    </x:row>
    <x:row r="30">
      <x:c r="A30" s="711" t="str">
        <x:v>순서</x:v>
      </x:c>
      <x:c r="B30" s="711" t="str">
        <x:v>빈 슬롯</x:v>
      </x:c>
      <x:c r="C30" s="711" t="str">
        <x:v>먼저 소환</x:v>
      </x:c>
      <x:c r="D30" s="711" t="str">
        <x:v>신화 전환</x:v>
      </x:c>
      <x:c r="E30" s="711" t="str">
        <x:v>완료 슬롯</x:v>
      </x:c>
      <x:c r="F30" s="711" t="str">
        <x:v>현재 파티</x:v>
      </x:c>
      <x:c r="G30" s="711" t="str">
        <x:v>슬롯 수</x:v>
      </x:c>
      <x:c r="H30" s="711" t="str">
        <x:v>판정</x:v>
      </x:c>
      <x:c r="J30" s="717" t="str">
        <x:v>UI 요소</x:v>
      </x:c>
      <x:c r="K30" s="717" t="str">
        <x:v>표시</x:v>
      </x:c>
      <x:c r="L30" s="717" t="str">
        <x:v>상태</x:v>
      </x:c>
      <x:c r="M30" s="717" t="str">
        <x:v>터치/클릭</x:v>
      </x:c>
      <x:c r="N30" s="717" t="str">
        <x:v>5/5 시</x:v>
      </x:c>
      <x:c r="O30" s="717" t="str">
        <x:v>신화 가능 시</x:v>
      </x:c>
      <x:c r="P30" s="717" t="str">
        <x:v>RPG 전환</x:v>
      </x:c>
      <x:c r="Q30" s="717" t="str">
        <x:v>교육 문구</x:v>
      </x:c>
      <x:c r="R30" s="717" t="str">
        <x:v>오류방지</x:v>
      </x:c>
      <x:c r="S30" s="717" t="str">
        <x:v>우선순위</x:v>
      </x:c>
      <x:c r="T30" s="717" t="str">
        <x:v>비고</x:v>
      </x:c>
    </x:row>
    <x:row r="31">
      <x:c r="A31" s="42" t="n">
        <x:v>1</x:v>
      </x:c>
      <x:c r="B31" s="42" t="n">
        <x:v>5</x:v>
      </x:c>
      <x:c r="C31" s="42" t="str">
        <x:v>아리아</x:v>
      </x:c>
      <x:c r="D31" s="42" t="str">
        <x:v>아리아→아델</x:v>
      </x:c>
      <x:c r="E31" s="42" t="str">
        <x:v>1번=아델</x:v>
      </x:c>
      <x:c r="F31" s="42" t="str">
        <x:v>아델</x:v>
      </x:c>
      <x:c r="G31" s="42" t="n">
        <x:v>1</x:v>
      </x:c>
      <x:c r="H31" s="42" t="str">
        <x:v>허용</x:v>
      </x:c>
      <x:c r="J31" s="42" t="str">
        <x:v>상단 영웅 슬롯</x:v>
      </x:c>
      <x:c r="K31" s="42" t="str">
        <x:v>초상 5칸</x:v>
      </x:c>
      <x:c r="L31" s="42" t="str">
        <x:v>빈칸/전설/신화</x:v>
      </x:c>
      <x:c r="M31" s="42" t="str">
        <x:v>슬롯 선택</x:v>
      </x:c>
      <x:c r="N31" s="42" t="str">
        <x:v>모두 채움 표시</x:v>
      </x:c>
      <x:c r="O31" s="42" t="str">
        <x:v>재료 전설 슬롯 점멸</x:v>
      </x:c>
      <x:c r="P31" s="42" t="str">
        <x:v>그대로 RPG HUD로 변환</x:v>
      </x:c>
      <x:c r="Q31" s="42" t="str">
        <x:v>이 5명이 보스전에 참가합니다</x:v>
      </x:c>
      <x:c r="R31" s="42" t="str">
        <x:v>6번째 소환 버튼 비활성</x:v>
      </x:c>
      <x:c r="S31" s="42" t="str">
        <x:v>필수</x:v>
      </x:c>
      <x:c r="T31" s="42" t="str">
        <x:v>TD 시작부터 항상 노출</x:v>
      </x:c>
    </x:row>
    <x:row r="32">
      <x:c r="A32" s="42" t="n">
        <x:v>2</x:v>
      </x:c>
      <x:c r="B32" s="42" t="n">
        <x:v>4</x:v>
      </x:c>
      <x:c r="C32" s="42" t="str">
        <x:v>리엘</x:v>
      </x:c>
      <x:c r="D32" s="42" t="str">
        <x:v>리엘→니아</x:v>
      </x:c>
      <x:c r="E32" s="42" t="str">
        <x:v>2번=니아</x:v>
      </x:c>
      <x:c r="F32" s="42" t="str">
        <x:v>아델·니아</x:v>
      </x:c>
      <x:c r="G32" s="42" t="n">
        <x:v>2</x:v>
      </x:c>
      <x:c r="H32" s="42" t="str">
        <x:v>허용</x:v>
      </x:c>
      <x:c r="J32" s="42" t="str">
        <x:v>조합 아이콘</x:v>
      </x:c>
      <x:c r="K32" s="42" t="str">
        <x:v>가능 영웅</x:v>
      </x:c>
      <x:c r="L32" s="42" t="str">
        <x:v>활성/잠금</x:v>
      </x:c>
      <x:c r="M32" s="42" t="str">
        <x:v>조합창</x:v>
      </x:c>
      <x:c r="N32" s="42" t="str">
        <x:v>새 전설은 잠금</x:v>
      </x:c>
      <x:c r="O32" s="42" t="str">
        <x:v>신화 승급은 활성</x:v>
      </x:c>
      <x:c r="P32" s="42" t="str">
        <x:v>-</x:v>
      </x:c>
      <x:c r="Q32" s="42" t="str">
        <x:v>신화 승급은 슬롯을 늘리지 않습니다</x:v>
      </x:c>
      <x:c r="R32" s="42" t="str">
        <x:v>슬롯 수 사전검사</x:v>
      </x:c>
      <x:c r="S32" s="42" t="str">
        <x:v>필수</x:v>
      </x:c>
      <x:c r="T32" s="42" t="str">
        <x:v>혼동 방지</x:v>
      </x:c>
    </x:row>
    <x:row r="33">
      <x:c r="A33" s="42" t="n">
        <x:v>3</x:v>
      </x:c>
      <x:c r="B33" s="42" t="n">
        <x:v>3</x:v>
      </x:c>
      <x:c r="C33" s="42" t="str">
        <x:v>세라</x:v>
      </x:c>
      <x:c r="D33" s="42" t="str">
        <x:v>세라→오로라</x:v>
      </x:c>
      <x:c r="E33" s="42" t="str">
        <x:v>3번=오로라</x:v>
      </x:c>
      <x:c r="F33" s="42" t="str">
        <x:v>아델·니아·오로라</x:v>
      </x:c>
      <x:c r="G33" s="42" t="n">
        <x:v>3</x:v>
      </x:c>
      <x:c r="H33" s="42" t="str">
        <x:v>허용</x:v>
      </x:c>
      <x:c r="J33" s="42" t="str">
        <x:v>슬롯 5/5 경고</x:v>
      </x:c>
      <x:c r="K33" s="42" t="str">
        <x:v>텍스트</x:v>
      </x:c>
      <x:c r="L33" s="42" t="str">
        <x:v>가득 참</x:v>
      </x:c>
      <x:c r="M33" s="42" t="str">
        <x:v>-</x:v>
      </x:c>
      <x:c r="N33" s="42" t="str">
        <x:v>표시</x:v>
      </x:c>
      <x:c r="O33" s="42" t="str">
        <x:v>-</x:v>
      </x:c>
      <x:c r="P33" s="42" t="str">
        <x:v>-</x:v>
      </x:c>
      <x:c r="Q33" s="42" t="str">
        <x:v>영웅 슬롯이 가득 찼습니다</x:v>
      </x:c>
      <x:c r="R33" s="42" t="str">
        <x:v>새 전설 생성 차단</x:v>
      </x:c>
      <x:c r="S33" s="42" t="str">
        <x:v>필수</x:v>
      </x:c>
      <x:c r="T33" s="42" t="str">
        <x:v>짧은 토스트</x:v>
      </x:c>
    </x:row>
    <x:row r="34">
      <x:c r="A34" s="42" t="n">
        <x:v>4</x:v>
      </x:c>
      <x:c r="B34" s="42" t="n">
        <x:v>2</x:v>
      </x:c>
      <x:c r="C34" s="42" t="str">
        <x:v>세라(재조합)</x:v>
      </x:c>
      <x:c r="D34" s="42" t="str">
        <x:v>세라→클로에</x:v>
      </x:c>
      <x:c r="E34" s="42" t="str">
        <x:v>4번=클로에</x:v>
      </x:c>
      <x:c r="F34" s="42" t="str">
        <x:v>아델·니아·오로라·클로에</x:v>
      </x:c>
      <x:c r="G34" s="42" t="n">
        <x:v>4</x:v>
      </x:c>
      <x:c r="H34" s="42" t="str">
        <x:v>허용</x:v>
      </x:c>
      <x:c r="J34" s="42" t="str">
        <x:v>RPG 전환 컷</x:v>
      </x:c>
      <x:c r="K34" s="42" t="str">
        <x:v>초상 0~5명</x:v>
      </x:c>
      <x:c r="L34" s="42" t="str">
        <x:v>잠금</x:v>
      </x:c>
      <x:c r="M34" s="42" t="str">
        <x:v>-</x:v>
      </x:c>
      <x:c r="N34" s="42" t="str">
        <x:v>-</x:v>
      </x:c>
      <x:c r="O34" s="42" t="str">
        <x:v>-</x:v>
      </x:c>
      <x:c r="P34" s="42" t="str">
        <x:v>TD 슬롯 순서 그대로</x:v>
      </x:c>
      <x:c r="Q34" s="42" t="str">
        <x:v>TD에서 선택한 영웅이 그대로 출전합니다</x:v>
      </x:c>
      <x:c r="R34" s="42" t="str">
        <x:v>파티편성 버튼 없음</x:v>
      </x:c>
      <x:c r="S34" s="42" t="str">
        <x:v>필수</x:v>
      </x:c>
      <x:c r="T34" s="42" t="str">
        <x:v>장르전환 핵심</x:v>
      </x:c>
    </x:row>
    <x:row r="35">
      <x:c r="A35" s="42" t="n">
        <x:v>5</x:v>
      </x:c>
      <x:c r="B35" s="42" t="n">
        <x:v>1</x:v>
      </x:c>
      <x:c r="C35" s="42" t="str">
        <x:v>카린</x:v>
      </x:c>
      <x:c r="D35" s="42" t="str">
        <x:v>카린→이브</x:v>
      </x:c>
      <x:c r="E35" s="42" t="str">
        <x:v>5번=이브</x:v>
      </x:c>
      <x:c r="F35" s="42" t="str">
        <x:v>아델·니아·오로라·클로에·이브</x:v>
      </x:c>
      <x:c r="G35" s="42" t="n">
        <x:v>5</x:v>
      </x:c>
      <x:c r="H35" s="42" t="str">
        <x:v>허용</x:v>
      </x:c>
      <x:c r="J35" s="42" t="str">
        <x:v>전설0 경고</x:v>
      </x:c>
      <x:c r="K35" s="42" t="str">
        <x:v>운명의 주사위</x:v>
      </x:c>
      <x:c r="L35" s="42" t="str">
        <x:v>조건부</x:v>
      </x:c>
      <x:c r="M35" s="42" t="str">
        <x:v>주사위 실행</x:v>
      </x:c>
      <x:c r="N35" s="42" t="str">
        <x:v>-</x:v>
      </x:c>
      <x:c r="O35" s="42" t="str">
        <x:v>-</x:v>
      </x:c>
      <x:c r="P35" s="42" t="str">
        <x:v>임시 전설 1명 삽입</x:v>
      </x:c>
      <x:c r="Q35" s="42" t="str">
        <x:v>전설 없이 RPG에 진입했습니다</x:v>
      </x:c>
      <x:c r="R35" s="42" t="str">
        <x:v>임시/영구 구분</x:v>
      </x:c>
      <x:c r="S35" s="42" t="str">
        <x:v>필수</x:v>
      </x:c>
      <x:c r="T35" s="42" t="str">
        <x:v>구제 시스템 연결</x:v>
      </x:c>
    </x:row>
    <x:row r="36">
      <x:c r="A36" s="42" t="n">
        <x:v>6</x:v>
      </x:c>
      <x:c r="B36" s="42" t="n">
        <x:v>0</x:v>
      </x:c>
      <x:c r="C36" s="42" t="str">
        <x:v>추가 전설</x:v>
      </x:c>
      <x:c r="D36" s="42" t="str">
        <x:v>-</x:v>
      </x:c>
      <x:c r="E36" s="42" t="str">
        <x:v>변화 없음</x:v>
      </x:c>
      <x:c r="F36" s="42" t="str">
        <x:v>5신화 유지</x:v>
      </x:c>
      <x:c r="G36" s="42" t="n">
        <x:v>5</x:v>
      </x:c>
      <x:c r="H36" s="42" t="str">
        <x:v>차단</x:v>
      </x:c>
    </x:row>
    <x:row r="40">
      <x:c r="J40" t="str">
        <x:v>상태</x:v>
      </x:c>
      <x:c r="K40" t="str">
        <x:v>현재 영웅수</x:v>
      </x:c>
      <x:c r="L40" t="str">
        <x:v>RPG 참가수</x:v>
      </x:c>
    </x:row>
    <x:row r="41">
      <x:c r="J41" t="str">
        <x:v>초기</x:v>
      </x:c>
      <x:c r="K41" t="n">
        <x:v>0</x:v>
      </x:c>
      <x:c r="L41" t="n">
        <x:v>0</x:v>
      </x:c>
    </x:row>
    <x:row r="42">
      <x:c r="J42" t="str">
        <x:v>전설1</x:v>
      </x:c>
      <x:c r="K42" t="n">
        <x:v>1</x:v>
      </x:c>
      <x:c r="L42" t="n">
        <x:v>1</x:v>
      </x:c>
    </x:row>
    <x:row r="43">
      <x:c r="J43" t="str">
        <x:v>신화승급후</x:v>
      </x:c>
      <x:c r="K43" t="n">
        <x:v>1</x:v>
      </x:c>
      <x:c r="L43" t="n">
        <x:v>1</x:v>
      </x:c>
    </x:row>
    <x:row r="44">
      <x:c r="J44" t="str">
        <x:v>중간</x:v>
      </x:c>
      <x:c r="K44" t="n">
        <x:v>3</x:v>
      </x:c>
      <x:c r="L44" t="n">
        <x:v>3</x:v>
      </x:c>
    </x:row>
    <x:row r="45">
      <x:c r="J45" t="str">
        <x:v>최대</x:v>
      </x:c>
      <x:c r="K45" t="n">
        <x:v>5</x:v>
      </x:c>
      <x:c r="L45" t="n">
        <x:v>5</x:v>
      </x:c>
    </x:row>
  </x:sheetData>
  <x:mergeCells>
    <x:mergeCell ref="A1:T1"/>
    <x:mergeCell ref="A16:T16"/>
    <x:mergeCell ref="A28:T28"/>
  </x:mergeCells>
  <x:conditionalFormatting sqref="G4:G13">
    <x:cfRule type="expression" dxfId="26" priority="1">
      <x:formula>G4&lt;&gt;"-"</x:formula>
    </x:cfRule>
  </x:conditionalFormatting>
  <x:conditionalFormatting sqref="F4:F13">
    <x:cfRule type="expression" dxfId="27" priority="2">
      <x:formula>F4&lt;&gt;"-"</x:formula>
    </x:cfRule>
  </x:conditionalFormatting>
  <x:pageMargins left="0.7" right="0.7" top="0.75" bottom="0.75" header="0.3" footer="0.3"/>
  <x:drawing xmlns:r="http://schemas.openxmlformats.org/officeDocument/2006/relationships" r:id="R4a5f0a0f1e074882"/>
</x:worksheet>
</file>

<file path=xl/worksheets/sheet4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34" hidden="0" customWidth="1"/>
    <x:col min="14" max="14" width="18" hidden="0" customWidth="1"/>
    <x:col min="15" max="15" width="2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  <x:col min="22" max="22" width="36" hidden="0" customWidth="1"/>
  </x:cols>
  <x:sheetData>
    <x:row r="1">
      <x:c r="A1" s="722" t="str">
        <x:v>TD 판매 시스템 — 일반 캐릭터 / 전설 영웅 판매가격 V1</x:v>
      </x:c>
      <x:c r="B1" s="722"/>
      <x:c r="C1" s="722"/>
      <x:c r="D1" s="722"/>
      <x:c r="E1" s="722"/>
      <x:c r="F1" s="722"/>
      <x:c r="G1" s="722"/>
      <x:c r="H1" s="722"/>
      <x:c r="I1" s="722"/>
      <x:c r="J1" s="722"/>
      <x:c r="K1" s="722"/>
      <x:c r="L1" s="722"/>
      <x:c r="M1" s="722"/>
      <x:c r="N1" s="722"/>
      <x:c r="O1" s="722"/>
      <x:c r="P1" s="722"/>
      <x:c r="Q1" s="722"/>
      <x:c r="R1" s="722"/>
      <x:c r="S1" s="722"/>
      <x:c r="T1" s="722"/>
      <x:c r="U1" s="722"/>
      <x:c r="V1" s="722"/>
    </x:row>
    <x:row r="3">
      <x:c r="A3" s="725" t="str">
        <x:v>구분</x:v>
      </x:c>
      <x:c r="B3" s="725" t="str">
        <x:v>판매 가능</x:v>
      </x:c>
      <x:c r="C3" s="725" t="str">
        <x:v>기본 환급률</x:v>
      </x:c>
      <x:c r="D3" s="725" t="str">
        <x:v>성급투자 환급</x:v>
      </x:c>
      <x:c r="E3" s="725" t="str">
        <x:v>슬롯/타일</x:v>
      </x:c>
      <x:c r="F3" s="725" t="str">
        <x:v>판매 후</x:v>
      </x:c>
      <x:c r="G3" s="725" t="str">
        <x:v>악용방지</x:v>
      </x:c>
      <x:c r="H3" s="725" t="str">
        <x:v>설계 의도</x:v>
      </x:c>
    </x:row>
    <x:row r="4">
      <x:c r="A4" s="42" t="str">
        <x:v>일반 캐릭터</x:v>
      </x:c>
      <x:c r="B4" s="42" t="str">
        <x:v>가능</x:v>
      </x:c>
      <x:c r="C4" s="42" t="str">
        <x:v>기존 V3.9 판매가의 70%</x:v>
      </x:c>
      <x:c r="D4" s="42" t="str">
        <x:v>기존 V3.9 판매가의 70%</x:v>
      </x:c>
      <x:c r="E4" s="42" t="str">
        <x:v>배치 타일 비움</x:v>
      </x:c>
      <x:c r="F4" s="42" t="str">
        <x:v>골드 반환</x:v>
      </x:c>
      <x:c r="G4" s="42" t="str">
        <x:v>재료 원상복구 없음 / 전문화 되돌림 없음</x:v>
      </x:c>
      <x:c r="H4" s="42" t="str">
        <x:v>기존 환급안에서 30% 하향</x:v>
      </x:c>
    </x:row>
    <x:row r="5">
      <x:c r="A5" s="42" t="str">
        <x:v>구조물</x:v>
      </x:c>
      <x:c r="B5" s="42" t="str">
        <x:v>가능</x:v>
      </x:c>
      <x:c r="C5" s="42" t="str">
        <x:v>기존 V3.9 판매가의 70%</x:v>
      </x:c>
      <x:c r="D5" s="42" t="str">
        <x:v>기존 V3.9 판매가의 70%</x:v>
      </x:c>
      <x:c r="E5" s="42" t="str">
        <x:v>배치 타일 비움</x:v>
      </x:c>
      <x:c r="F5" s="42" t="str">
        <x:v>골드 반환</x:v>
      </x:c>
      <x:c r="G5" s="42" t="str">
        <x:v>재료 원상복구 없음 / 전문화 되돌림 없음</x:v>
      </x:c>
      <x:c r="H5" s="42" t="str">
        <x:v>일반 캐릭터와 동일</x:v>
      </x:c>
    </x:row>
    <x:row r="6">
      <x:c r="A6" s="42" t="str">
        <x:v>전설 영웅</x:v>
      </x:c>
      <x:c r="B6" s="42" t="str">
        <x:v>가능</x:v>
      </x:c>
      <x:c r="C6" s="42" t="str">
        <x:v>기존 V3.9 판매가의 70%</x:v>
      </x:c>
      <x:c r="D6" s="42" t="str">
        <x:v>기존 V3.9 판매가의 70%</x:v>
      </x:c>
      <x:c r="E6" s="42" t="str">
        <x:v>영웅 슬롯 1개 비움</x:v>
      </x:c>
      <x:c r="F6" s="42" t="str">
        <x:v>골드 반환</x:v>
      </x:c>
      <x:c r="G6" s="42" t="str">
        <x:v>조합재료 반환 없음 / 재소환은 새 원가 지불</x:v>
      </x:c>
      <x:c r="H6" s="42" t="str">
        <x:v>전설 판매 교체는 가능하되 손실 확대</x:v>
      </x:c>
    </x:row>
    <x:row r="7">
      <x:c r="A7" s="42" t="str">
        <x:v>신화 영웅</x:v>
      </x:c>
      <x:c r="B7" s="42" t="str">
        <x:v>불가</x:v>
      </x:c>
      <x:c r="C7" s="42" t="str">
        <x:v>0%</x:v>
      </x:c>
      <x:c r="D7" s="42" t="str">
        <x:v>0%</x:v>
      </x:c>
      <x:c r="E7" s="42" t="str">
        <x:v>슬롯 유지</x:v>
      </x:c>
      <x:c r="F7" s="42" t="str">
        <x:v>판매 버튼 없음</x:v>
      </x:c>
      <x:c r="G7" s="42" t="str">
        <x:v>신화 전환은 되돌릴 수 없음</x:v>
      </x:c>
      <x:c r="H7" s="42" t="str">
        <x:v>최종 선택의 무게</x:v>
      </x:c>
    </x:row>
    <x:row r="8">
      <x:c r="A8" s="42" t="str">
        <x:v>판매 타이밍</x:v>
      </x:c>
      <x:c r="B8" s="42" t="str">
        <x:v>W1~W9 전투 중</x:v>
      </x:c>
      <x:c r="C8" s="42" t="str">
        <x:v>-</x:v>
      </x:c>
      <x:c r="D8" s="42" t="str">
        <x:v>-</x:v>
      </x:c>
      <x:c r="E8" s="42" t="str">
        <x:v>즉시 반영</x:v>
      </x:c>
      <x:c r="F8" s="42" t="str">
        <x:v>판매 골드 즉시 사용 가능</x:v>
      </x:c>
      <x:c r="G8" s="42" t="str">
        <x:v>W10 TD 보스 시작 후 판매 잠금</x:v>
      </x:c>
      <x:c r="H8" s="42" t="str">
        <x:v>보스 직전 빌드 스왑 악용 방지</x:v>
      </x:c>
    </x:row>
    <x:row r="11">
      <x:c r="A11" s="728" t="str">
        <x:v>일반 캐릭터 판매가격 — 누적 제작비 40% + 현재 형태 성급 투자 50%</x:v>
      </x:c>
      <x:c r="B11" s="728"/>
      <x:c r="C11" s="728"/>
      <x:c r="D11" s="728"/>
      <x:c r="E11" s="728"/>
      <x:c r="F11" s="728"/>
      <x:c r="G11" s="728"/>
      <x:c r="H11" s="728"/>
      <x:c r="I11" s="728"/>
      <x:c r="J11" s="728"/>
      <x:c r="K11" s="728"/>
      <x:c r="L11" s="728"/>
      <x:c r="M11" s="728"/>
      <x:c r="N11" s="728"/>
      <x:c r="O11" s="728"/>
      <x:c r="P11" s="728"/>
      <x:c r="Q11" s="728"/>
      <x:c r="R11" s="728"/>
      <x:c r="S11" s="728"/>
      <x:c r="T11" s="728"/>
      <x:c r="U11" s="728"/>
      <x:c r="V11" s="728"/>
    </x:row>
    <x:row r="13">
      <x:c r="A13" s="731" t="str">
        <x:v>계열</x:v>
      </x:c>
      <x:c r="B13" s="731" t="str">
        <x:v>캐릭터</x:v>
      </x:c>
      <x:c r="C13" s="731" t="str">
        <x:v>누적 제작원가</x:v>
      </x:c>
      <x:c r="D13" s="731" t="str">
        <x:v>★1 판매</x:v>
      </x:c>
      <x:c r="E13" s="731" t="str">
        <x:v>★2 판매</x:v>
      </x:c>
      <x:c r="F13" s="731" t="str">
        <x:v>★3 판매</x:v>
      </x:c>
      <x:c r="G13" s="731" t="str">
        <x:v>★4 판매</x:v>
      </x:c>
      <x:c r="H13" s="731" t="str">
        <x:v>★5 판매</x:v>
      </x:c>
      <x:c r="I13" s="731" t="str">
        <x:v>★5 총투자</x:v>
      </x:c>
      <x:c r="J13" s="731" t="str">
        <x:v>★5 회수율</x:v>
      </x:c>
      <x:c r="K13" s="731" t="str">
        <x:v>판매 가능</x:v>
      </x:c>
      <x:c r="L13" s="731" t="str">
        <x:v>메모</x:v>
      </x:c>
      <x:c r="N13" s="743" t="str">
        <x:v>경제 악용 검수</x:v>
      </x:c>
      <x:c r="O13" s="743"/>
      <x:c r="P13" s="743"/>
      <x:c r="Q13" s="743"/>
      <x:c r="R13" s="743"/>
      <x:c r="S13" s="743"/>
      <x:c r="T13" s="743"/>
      <x:c r="U13" s="743"/>
      <x:c r="V13" s="743"/>
    </x:row>
    <x:row r="14">
      <x:c r="A14" s="42" t="str">
        <x:v>기사</x:v>
      </x:c>
      <x:c r="B14" s="42" t="str">
        <x:v>견습 기사</x:v>
      </x:c>
      <x:c r="C14" s="338" t="n">
        <x:v>35</x:v>
      </x:c>
      <x:c r="D14" s="338" t="n">
        <x:v>10</x:v>
      </x:c>
      <x:c r="E14" s="338" t="n">
        <x:v>20</x:v>
      </x:c>
      <x:c r="F14" s="338" t="n">
        <x:v>25</x:v>
      </x:c>
      <x:c r="G14" s="338" t="n">
        <x:v>40</x:v>
      </x:c>
      <x:c r="H14" s="338" t="n">
        <x:v>60</x:v>
      </x:c>
      <x:c r="I14" s="338" t="n">
        <x:v>175</x:v>
      </x:c>
      <x:c r="J14" s="246" t="n">
        <x:v>0.34285714285714286</x:v>
      </x:c>
      <x:c r="K14" s="42" t="str">
        <x:v>가능</x:v>
      </x:c>
      <x:c r="L14" s="42" t="str">
        <x:v>전문화/성급 재료는 복구되지 않음</x:v>
      </x:c>
      <x:c r="N14" s="42" t="str">
        <x:v>테스트</x:v>
      </x:c>
      <x:c r="O14" s="42" t="str">
        <x:v>예시</x:v>
      </x:c>
      <x:c r="P14" s="42" t="str">
        <x:v>투입</x:v>
      </x:c>
      <x:c r="Q14" s="42" t="str">
        <x:v>회수</x:v>
      </x:c>
      <x:c r="R14" s="42" t="str">
        <x:v>손실</x:v>
      </x:c>
      <x:c r="S14" s="42" t="str">
        <x:v>슬롯</x:v>
      </x:c>
      <x:c r="T14" s="42" t="str">
        <x:v>재료</x:v>
      </x:c>
      <x:c r="U14" s="42" t="str">
        <x:v>판정</x:v>
      </x:c>
      <x:c r="V14" s="42" t="str">
        <x:v>이유</x:v>
      </x:c>
    </x:row>
    <x:row r="15">
      <x:c r="A15" s="42" t="str">
        <x:v>기사</x:v>
      </x:c>
      <x:c r="B15" s="42" t="str">
        <x:v>상급 기사</x:v>
      </x:c>
      <x:c r="C15" s="338" t="n">
        <x:v>100</x:v>
      </x:c>
      <x:c r="D15" s="338" t="n">
        <x:v>30</x:v>
      </x:c>
      <x:c r="E15" s="338" t="n">
        <x:v>40</x:v>
      </x:c>
      <x:c r="F15" s="338" t="n">
        <x:v>55</x:v>
      </x:c>
      <x:c r="G15" s="338" t="n">
        <x:v>75</x:v>
      </x:c>
      <x:c r="H15" s="338" t="n">
        <x:v>105</x:v>
      </x:c>
      <x:c r="I15" s="338" t="n">
        <x:v>315</x:v>
      </x:c>
      <x:c r="J15" s="246" t="n">
        <x:v>0.3333333333333333</x:v>
      </x:c>
      <x:c r="K15" s="42" t="str">
        <x:v>가능</x:v>
      </x:c>
      <x:c r="L15" s="42" t="str">
        <x:v>전문화/성급 재료는 복구되지 않음</x:v>
      </x:c>
      <x:c r="N15" s="42" t="str">
        <x:v>전설 ★1 즉시 판매</x:v>
      </x:c>
      <x:c r="O15" s="42" t="str">
        <x:v>아리아</x:v>
      </x:c>
      <x:c r="P15" s="338" t="n">
        <x:v>730</x:v>
      </x:c>
      <x:c r="Q15" s="338" t="n">
        <x:v>255</x:v>
      </x:c>
      <x:c r="R15" s="338" t="n">
        <x:v>475</x:v>
      </x:c>
      <x:c r="S15" s="338" t="str">
        <x:v>1칸 비움</x:v>
      </x:c>
      <x:c r="T15" s="42" t="str">
        <x:v>복구 안 됨</x:v>
      </x:c>
      <x:c r="U15" s="42" t="str">
        <x:v>안전</x:v>
      </x:c>
      <x:c r="V15" s="42" t="str">
        <x:v>즉시 교체에도 큰 손실</x:v>
      </x:c>
    </x:row>
    <x:row r="16">
      <x:c r="A16" s="42" t="str">
        <x:v>기사</x:v>
      </x:c>
      <x:c r="B16" s="42" t="str">
        <x:v>기사 단장</x:v>
      </x:c>
      <x:c r="C16" s="338" t="n">
        <x:v>365</x:v>
      </x:c>
      <x:c r="D16" s="338" t="n">
        <x:v>100</x:v>
      </x:c>
      <x:c r="E16" s="338" t="n">
        <x:v>115</x:v>
      </x:c>
      <x:c r="F16" s="338" t="n">
        <x:v>135</x:v>
      </x:c>
      <x:c r="G16" s="338" t="n">
        <x:v>170</x:v>
      </x:c>
      <x:c r="H16" s="338" t="n">
        <x:v>215</x:v>
      </x:c>
      <x:c r="I16" s="338" t="n">
        <x:v>685</x:v>
      </x:c>
      <x:c r="J16" s="246" t="n">
        <x:v>0.31386861313868614</x:v>
      </x:c>
      <x:c r="K16" s="42" t="str">
        <x:v>가능</x:v>
      </x:c>
      <x:c r="L16" s="42" t="str">
        <x:v>전문화/성급 재료는 복구되지 않음</x:v>
      </x:c>
      <x:c r="N16" s="42" t="str">
        <x:v>전설 ★5 판매</x:v>
      </x:c>
      <x:c r="O16" s="42" t="str">
        <x:v>아리아</x:v>
      </x:c>
      <x:c r="P16" s="338" t="n">
        <x:v>1300</x:v>
      </x:c>
      <x:c r="Q16" s="338" t="n">
        <x:v>540</x:v>
      </x:c>
      <x:c r="R16" s="338" t="n">
        <x:v>760</x:v>
      </x:c>
      <x:c r="S16" s="338" t="str">
        <x:v>1칸 비움</x:v>
      </x:c>
      <x:c r="T16" s="42" t="str">
        <x:v>복구 안 됨</x:v>
      </x:c>
      <x:c r="U16" s="42" t="str">
        <x:v>안전</x:v>
      </x:c>
      <x:c r="V16" s="42" t="str">
        <x:v>성급 투자 일부만 환급</x:v>
      </x:c>
    </x:row>
    <x:row r="17">
      <x:c r="A17" s="42" t="str">
        <x:v>기사</x:v>
      </x:c>
      <x:c r="B17" s="42" t="str">
        <x:v>광전사</x:v>
      </x:c>
      <x:c r="C17" s="338" t="n">
        <x:v>365</x:v>
      </x:c>
      <x:c r="D17" s="338" t="n">
        <x:v>100</x:v>
      </x:c>
      <x:c r="E17" s="338" t="n">
        <x:v>115</x:v>
      </x:c>
      <x:c r="F17" s="338" t="n">
        <x:v>135</x:v>
      </x:c>
      <x:c r="G17" s="338" t="n">
        <x:v>170</x:v>
      </x:c>
      <x:c r="H17" s="338" t="n">
        <x:v>215</x:v>
      </x:c>
      <x:c r="I17" s="338" t="n">
        <x:v>685</x:v>
      </x:c>
      <x:c r="J17" s="246" t="n">
        <x:v>0.31386861313868614</x:v>
      </x:c>
      <x:c r="K17" s="42" t="str">
        <x:v>가능</x:v>
      </x:c>
      <x:c r="L17" s="42" t="str">
        <x:v>전문화/성급 재료는 복구되지 않음</x:v>
      </x:c>
      <x:c r="N17" s="42" t="str">
        <x:v>저비용 전설 반복</x:v>
      </x:c>
      <x:c r="O17" s="42" t="str">
        <x:v>루비</x:v>
      </x:c>
      <x:c r="P17" s="338" t="n">
        <x:v>685</x:v>
      </x:c>
      <x:c r="Q17" s="338" t="n">
        <x:v>240</x:v>
      </x:c>
      <x:c r="R17" s="338" t="n">
        <x:v>445</x:v>
      </x:c>
      <x:c r="S17" s="338" t="str">
        <x:v>1칸 비움</x:v>
      </x:c>
      <x:c r="T17" s="42" t="str">
        <x:v>복구 안 됨</x:v>
      </x:c>
      <x:c r="U17" s="42" t="str">
        <x:v>안전</x:v>
      </x:c>
      <x:c r="V17" s="42" t="str">
        <x:v>판매-재소환 반복은 계속 골드 손실</x:v>
      </x:c>
    </x:row>
    <x:row r="18">
      <x:c r="A18" s="42" t="str">
        <x:v>궁수</x:v>
      </x:c>
      <x:c r="B18" s="42" t="str">
        <x:v>견습 궁수</x:v>
      </x:c>
      <x:c r="C18" s="338" t="n">
        <x:v>35</x:v>
      </x:c>
      <x:c r="D18" s="338" t="n">
        <x:v>10</x:v>
      </x:c>
      <x:c r="E18" s="338" t="n">
        <x:v>20</x:v>
      </x:c>
      <x:c r="F18" s="338" t="n">
        <x:v>25</x:v>
      </x:c>
      <x:c r="G18" s="338" t="n">
        <x:v>40</x:v>
      </x:c>
      <x:c r="H18" s="338" t="n">
        <x:v>60</x:v>
      </x:c>
      <x:c r="I18" s="338" t="n">
        <x:v>175</x:v>
      </x:c>
      <x:c r="J18" s="246" t="n">
        <x:v>0.34285714285714286</x:v>
      </x:c>
      <x:c r="K18" s="42" t="str">
        <x:v>가능</x:v>
      </x:c>
      <x:c r="L18" s="42" t="str">
        <x:v>전문화/성급 재료는 복구되지 않음</x:v>
      </x:c>
      <x:c r="N18" s="42" t="str">
        <x:v>일반 최종형 ★1 판매</x:v>
      </x:c>
      <x:c r="O18" s="42" t="str">
        <x:v>기사단장</x:v>
      </x:c>
      <x:c r="P18" s="338" t="n">
        <x:v>365</x:v>
      </x:c>
      <x:c r="Q18" s="338" t="n">
        <x:v>145</x:v>
      </x:c>
      <x:c r="R18" s="338" t="n">
        <x:v>220</x:v>
      </x:c>
      <x:c r="S18" s="338" t="str">
        <x:v>타일 비움</x:v>
      </x:c>
      <x:c r="T18" s="42" t="str">
        <x:v>전문화 복구 안 됨</x:v>
      </x:c>
      <x:c r="U18" s="42" t="str">
        <x:v>안전</x:v>
      </x:c>
      <x:c r="V18" s="42" t="str">
        <x:v>재료 복구 없음</x:v>
      </x:c>
    </x:row>
    <x:row r="19">
      <x:c r="A19" s="42" t="str">
        <x:v>궁수</x:v>
      </x:c>
      <x:c r="B19" s="42" t="str">
        <x:v>저격수</x:v>
      </x:c>
      <x:c r="C19" s="338" t="n">
        <x:v>100</x:v>
      </x:c>
      <x:c r="D19" s="338" t="n">
        <x:v>30</x:v>
      </x:c>
      <x:c r="E19" s="338" t="n">
        <x:v>40</x:v>
      </x:c>
      <x:c r="F19" s="338" t="n">
        <x:v>55</x:v>
      </x:c>
      <x:c r="G19" s="338" t="n">
        <x:v>75</x:v>
      </x:c>
      <x:c r="H19" s="338" t="n">
        <x:v>105</x:v>
      </x:c>
      <x:c r="I19" s="338" t="n">
        <x:v>315</x:v>
      </x:c>
      <x:c r="J19" s="246" t="n">
        <x:v>0.3333333333333333</x:v>
      </x:c>
      <x:c r="K19" s="42" t="str">
        <x:v>가능</x:v>
      </x:c>
      <x:c r="L19" s="42" t="str">
        <x:v>전문화/성급 재료는 복구되지 않음</x:v>
      </x:c>
      <x:c r="N19" s="42" t="str">
        <x:v>신화 판매 시도</x:v>
      </x:c>
      <x:c r="O19" s="42" t="str">
        <x:v>이브</x:v>
      </x:c>
      <x:c r="P19" s="42" t="str">
        <x:v>-</x:v>
      </x:c>
      <x:c r="Q19" s="42" t="str">
        <x:v>0</x:v>
      </x:c>
      <x:c r="R19" s="42" t="str">
        <x:v>-</x:v>
      </x:c>
      <x:c r="S19" s="42" t="str">
        <x:v>유지</x:v>
      </x:c>
      <x:c r="T19" s="42" t="str">
        <x:v>-</x:v>
      </x:c>
      <x:c r="U19" s="42" t="str">
        <x:v>차단</x:v>
      </x:c>
      <x:c r="V19" s="42" t="str">
        <x:v>최종 파티 스왑 방지</x:v>
      </x:c>
    </x:row>
    <x:row r="20">
      <x:c r="A20" s="42" t="str">
        <x:v>궁수</x:v>
      </x:c>
      <x:c r="B20" s="42" t="str">
        <x:v>석궁수</x:v>
      </x:c>
      <x:c r="C20" s="338" t="n">
        <x:v>365</x:v>
      </x:c>
      <x:c r="D20" s="338" t="n">
        <x:v>100</x:v>
      </x:c>
      <x:c r="E20" s="338" t="n">
        <x:v>115</x:v>
      </x:c>
      <x:c r="F20" s="338" t="n">
        <x:v>135</x:v>
      </x:c>
      <x:c r="G20" s="338" t="n">
        <x:v>170</x:v>
      </x:c>
      <x:c r="H20" s="338" t="n">
        <x:v>215</x:v>
      </x:c>
      <x:c r="I20" s="338" t="n">
        <x:v>685</x:v>
      </x:c>
      <x:c r="J20" s="246" t="n">
        <x:v>0.31386861313868614</x:v>
      </x:c>
      <x:c r="K20" s="42" t="str">
        <x:v>가능</x:v>
      </x:c>
      <x:c r="L20" s="42" t="str">
        <x:v>전문화/성급 재료는 복구되지 않음</x:v>
      </x:c>
      <x:c r="N20" s="42" t="str">
        <x:v>W10 보스 시작 후 판매</x:v>
      </x:c>
      <x:c r="O20" s="42" t="str">
        <x:v>전설</x:v>
      </x:c>
      <x:c r="P20" s="42" t="str">
        <x:v>-</x:v>
      </x:c>
      <x:c r="Q20" s="42" t="str">
        <x:v>-</x:v>
      </x:c>
      <x:c r="R20" s="42" t="str">
        <x:v>-</x:v>
      </x:c>
      <x:c r="S20" s="42" t="str">
        <x:v>잠금</x:v>
      </x:c>
      <x:c r="T20" s="42" t="str">
        <x:v>-</x:v>
      </x:c>
      <x:c r="U20" s="42" t="str">
        <x:v>차단</x:v>
      </x:c>
      <x:c r="V20" s="42" t="str">
        <x:v>RPG 직전 파티 스왑 금지</x:v>
      </x:c>
    </x:row>
    <x:row r="21">
      <x:c r="A21" s="42" t="str">
        <x:v>궁수</x:v>
      </x:c>
      <x:c r="B21" s="42" t="str">
        <x:v>연사 궁병</x:v>
      </x:c>
      <x:c r="C21" s="338" t="n">
        <x:v>365</x:v>
      </x:c>
      <x:c r="D21" s="338" t="n">
        <x:v>100</x:v>
      </x:c>
      <x:c r="E21" s="338" t="n">
        <x:v>115</x:v>
      </x:c>
      <x:c r="F21" s="338" t="n">
        <x:v>135</x:v>
      </x:c>
      <x:c r="G21" s="338" t="n">
        <x:v>170</x:v>
      </x:c>
      <x:c r="H21" s="338" t="n">
        <x:v>215</x:v>
      </x:c>
      <x:c r="I21" s="338" t="n">
        <x:v>685</x:v>
      </x:c>
      <x:c r="J21" s="246" t="n">
        <x:v>0.31386861313868614</x:v>
      </x:c>
      <x:c r="K21" s="42" t="str">
        <x:v>가능</x:v>
      </x:c>
      <x:c r="L21" s="42" t="str">
        <x:v>전문화/성급 재료는 복구되지 않음</x:v>
      </x:c>
      <x:c r="N21" s="42" t="str">
        <x:v>구조물 판매 검수</x:v>
      </x:c>
      <x:c r="O21" s="42" t="str">
        <x:v>예시</x:v>
      </x:c>
      <x:c r="P21" s="42" t="str">
        <x:v>투입</x:v>
      </x:c>
      <x:c r="Q21" s="42" t="str">
        <x:v>회수</x:v>
      </x:c>
      <x:c r="R21" s="42" t="str">
        <x:v>손실</x:v>
      </x:c>
      <x:c r="S21" s="42" t="str">
        <x:v>타일</x:v>
      </x:c>
      <x:c r="T21" s="42" t="str">
        <x:v>재료</x:v>
      </x:c>
      <x:c r="U21" s="42" t="str">
        <x:v>판정</x:v>
      </x:c>
      <x:c r="V21" s="42" t="str">
        <x:v>이유</x:v>
      </x:c>
    </x:row>
    <x:row r="22">
      <x:c r="A22" s="42" t="str">
        <x:v>랜서</x:v>
      </x:c>
      <x:c r="B22" s="42" t="str">
        <x:v>투창병</x:v>
      </x:c>
      <x:c r="C22" s="338" t="n">
        <x:v>40</x:v>
      </x:c>
      <x:c r="D22" s="338" t="n">
        <x:v>10</x:v>
      </x:c>
      <x:c r="E22" s="338" t="n">
        <x:v>20</x:v>
      </x:c>
      <x:c r="F22" s="338" t="n">
        <x:v>30</x:v>
      </x:c>
      <x:c r="G22" s="338" t="n">
        <x:v>40</x:v>
      </x:c>
      <x:c r="H22" s="338" t="n">
        <x:v>65</x:v>
      </x:c>
      <x:c r="I22" s="338" t="n">
        <x:v>198</x:v>
      </x:c>
      <x:c r="J22" s="246" t="n">
        <x:v>0.3282828282828283</x:v>
      </x:c>
      <x:c r="K22" s="42" t="str">
        <x:v>가능</x:v>
      </x:c>
      <x:c r="L22" s="42" t="str">
        <x:v>전문화/성급 재료는 복구되지 않음</x:v>
      </x:c>
      <x:c r="N22" s="42" t="str">
        <x:v>최종 구조물 ★1</x:v>
      </x:c>
      <x:c r="O22" s="42" t="str">
        <x:v>드래곤 킬러</x:v>
      </x:c>
      <x:c r="P22" s="338" t="n">
        <x:v>560</x:v>
      </x:c>
      <x:c r="Q22" s="338" t="n">
        <x:v>225</x:v>
      </x:c>
      <x:c r="R22" s="338" t="n">
        <x:v>335</x:v>
      </x:c>
      <x:c r="S22" s="338" t="str">
        <x:v>비움</x:v>
      </x:c>
      <x:c r="T22" s="42" t="str">
        <x:v>복구 안 됨</x:v>
      </x:c>
      <x:c r="U22" s="42" t="str">
        <x:v>안전</x:v>
      </x:c>
      <x:c r="V22" s="42" t="str">
        <x:v>고급 구조물 교체에도 큰 손실</x:v>
      </x:c>
    </x:row>
    <x:row r="23">
      <x:c r="A23" s="42" t="str">
        <x:v>랜서</x:v>
      </x:c>
      <x:c r="B23" s="42" t="str">
        <x:v>프리 랜서</x:v>
      </x:c>
      <x:c r="C23" s="338" t="n">
        <x:v>118</x:v>
      </x:c>
      <x:c r="D23" s="338" t="n">
        <x:v>30</x:v>
      </x:c>
      <x:c r="E23" s="338" t="n">
        <x:v>40</x:v>
      </x:c>
      <x:c r="F23" s="338" t="n">
        <x:v>55</x:v>
      </x:c>
      <x:c r="G23" s="338" t="n">
        <x:v>80</x:v>
      </x:c>
      <x:c r="H23" s="338" t="n">
        <x:v>110</x:v>
      </x:c>
      <x:c r="I23" s="338" t="n">
        <x:v>351</x:v>
      </x:c>
      <x:c r="J23" s="246" t="n">
        <x:v>0.31339031339031337</x:v>
      </x:c>
      <x:c r="K23" s="42" t="str">
        <x:v>가능</x:v>
      </x:c>
      <x:c r="L23" s="42" t="str">
        <x:v>전문화/성급 재료는 복구되지 않음</x:v>
      </x:c>
      <x:c r="N23" s="42" t="str">
        <x:v>최종 구조물 ★5</x:v>
      </x:c>
      <x:c r="O23" s="42" t="str">
        <x:v>1급 번개 수정</x:v>
      </x:c>
      <x:c r="P23" s="338" t="n">
        <x:v>1565</x:v>
      </x:c>
      <x:c r="Q23" s="338" t="n">
        <x:v>695</x:v>
      </x:c>
      <x:c r="R23" s="338" t="n">
        <x:v>870</x:v>
      </x:c>
      <x:c r="S23" s="338" t="str">
        <x:v>비움</x:v>
      </x:c>
      <x:c r="T23" s="42" t="str">
        <x:v>복구 안 됨</x:v>
      </x:c>
      <x:c r="U23" s="42" t="str">
        <x:v>안전</x:v>
      </x:c>
      <x:c r="V23" s="42" t="str">
        <x:v>강화 투자 절반만 환급</x:v>
      </x:c>
    </x:row>
    <x:row r="24">
      <x:c r="A24" s="42" t="str">
        <x:v>랜서</x:v>
      </x:c>
      <x:c r="B24" s="42" t="str">
        <x:v>엘리트 랜서</x:v>
      </x:c>
      <x:c r="C24" s="338" t="n">
        <x:v>406</x:v>
      </x:c>
      <x:c r="D24" s="338" t="n">
        <x:v>110</x:v>
      </x:c>
      <x:c r="E24" s="338" t="n">
        <x:v>125</x:v>
      </x:c>
      <x:c r="F24" s="338" t="n">
        <x:v>150</x:v>
      </x:c>
      <x:c r="G24" s="338" t="n">
        <x:v>180</x:v>
      </x:c>
      <x:c r="H24" s="338" t="n">
        <x:v>230</x:v>
      </x:c>
      <x:c r="I24" s="338" t="n">
        <x:v>748</x:v>
      </x:c>
      <x:c r="J24" s="246" t="n">
        <x:v>0.3074866310160428</x:v>
      </x:c>
      <x:c r="K24" s="42" t="str">
        <x:v>가능</x:v>
      </x:c>
      <x:c r="L24" s="42" t="str">
        <x:v>전문화/성급 재료는 복구되지 않음</x:v>
      </x:c>
      <x:c r="O24" t="str">
        <x:v>영웅</x:v>
      </x:c>
      <x:c r="P24" t="str">
        <x:v>★1</x:v>
      </x:c>
      <x:c r="Q24" t="str">
        <x:v>★2</x:v>
      </x:c>
      <x:c r="R24" t="str">
        <x:v>★3</x:v>
      </x:c>
      <x:c r="S24" t="str">
        <x:v>★4</x:v>
      </x:c>
      <x:c r="T24" t="str">
        <x:v>★5</x:v>
      </x:c>
    </x:row>
    <x:row r="25">
      <x:c r="A25" s="42" t="str">
        <x:v>랜서</x:v>
      </x:c>
      <x:c r="B25" s="42" t="str">
        <x:v>마창병</x:v>
      </x:c>
      <x:c r="C25" s="338" t="n">
        <x:v>406</x:v>
      </x:c>
      <x:c r="D25" s="338" t="n">
        <x:v>110</x:v>
      </x:c>
      <x:c r="E25" s="338" t="n">
        <x:v>125</x:v>
      </x:c>
      <x:c r="F25" s="338" t="n">
        <x:v>150</x:v>
      </x:c>
      <x:c r="G25" s="338" t="n">
        <x:v>180</x:v>
      </x:c>
      <x:c r="H25" s="338" t="n">
        <x:v>230</x:v>
      </x:c>
      <x:c r="I25" s="338" t="n">
        <x:v>748</x:v>
      </x:c>
      <x:c r="J25" s="246" t="n">
        <x:v>0.3074866310160428</x:v>
      </x:c>
      <x:c r="K25" s="42" t="str">
        <x:v>가능</x:v>
      </x:c>
      <x:c r="L25" s="42" t="str">
        <x:v>전문화/성급 재료는 복구되지 않음</x:v>
      </x:c>
      <x:c r="O25" t="str">
        <x:v>아리아</x:v>
      </x:c>
      <x:c r="P25" t="n">
        <x:v>255</x:v>
      </x:c>
      <x:c r="Q25" t="n">
        <x:v>290</x:v>
      </x:c>
      <x:c r="R25" t="n">
        <x:v>345</x:v>
      </x:c>
      <x:c r="S25" t="n">
        <x:v>425</x:v>
      </x:c>
      <x:c r="T25" t="n">
        <x:v>540</x:v>
      </x:c>
    </x:row>
    <x:row r="26">
      <x:c r="A26" s="42" t="str">
        <x:v>지원</x:v>
      </x:c>
      <x:c r="B26" s="42" t="str">
        <x:v>무희</x:v>
      </x:c>
      <x:c r="C26" s="338" t="n">
        <x:v>45</x:v>
      </x:c>
      <x:c r="D26" s="338" t="n">
        <x:v>15</x:v>
      </x:c>
      <x:c r="E26" s="338" t="n">
        <x:v>20</x:v>
      </x:c>
      <x:c r="F26" s="338" t="n">
        <x:v>30</x:v>
      </x:c>
      <x:c r="G26" s="338" t="n">
        <x:v>50</x:v>
      </x:c>
      <x:c r="H26" s="338" t="n">
        <x:v>75</x:v>
      </x:c>
      <x:c r="I26" s="338" t="n">
        <x:v>215</x:v>
      </x:c>
      <x:c r="J26" s="246" t="n">
        <x:v>0.3488372093023256</x:v>
      </x:c>
      <x:c r="K26" s="42" t="str">
        <x:v>가능</x:v>
      </x:c>
      <x:c r="L26" s="42" t="str">
        <x:v>전문화/성급 재료는 복구되지 않음</x:v>
      </x:c>
      <x:c r="O26" t="str">
        <x:v>유나</x:v>
      </x:c>
      <x:c r="P26" t="n">
        <x:v>330</x:v>
      </x:c>
      <x:c r="Q26" t="n">
        <x:v>365</x:v>
      </x:c>
      <x:c r="R26" t="n">
        <x:v>420</x:v>
      </x:c>
      <x:c r="S26" t="n">
        <x:v>500</x:v>
      </x:c>
      <x:c r="T26" t="n">
        <x:v>615</x:v>
      </x:c>
    </x:row>
    <x:row r="27">
      <x:c r="A27" s="42" t="str">
        <x:v>지원</x:v>
      </x:c>
      <x:c r="B27" s="42" t="str">
        <x:v>무희 단장</x:v>
      </x:c>
      <x:c r="C27" s="338" t="n">
        <x:v>127</x:v>
      </x:c>
      <x:c r="D27" s="338" t="n">
        <x:v>35</x:v>
      </x:c>
      <x:c r="E27" s="338" t="n">
        <x:v>45</x:v>
      </x:c>
      <x:c r="F27" s="338" t="n">
        <x:v>65</x:v>
      </x:c>
      <x:c r="G27" s="338" t="n">
        <x:v>90</x:v>
      </x:c>
      <x:c r="H27" s="338" t="n">
        <x:v>130</x:v>
      </x:c>
      <x:c r="I27" s="338" t="n">
        <x:v>394</x:v>
      </x:c>
      <x:c r="J27" s="246" t="n">
        <x:v>0.3299492385786802</x:v>
      </x:c>
      <x:c r="K27" s="42" t="str">
        <x:v>가능</x:v>
      </x:c>
      <x:c r="L27" s="42" t="str">
        <x:v>전문화/성급 재료는 복구되지 않음</x:v>
      </x:c>
      <x:c r="O27" t="str">
        <x:v>리엘</x:v>
      </x:c>
      <x:c r="P27" t="n">
        <x:v>475</x:v>
      </x:c>
      <x:c r="Q27" t="n">
        <x:v>510</x:v>
      </x:c>
      <x:c r="R27" t="n">
        <x:v>565</x:v>
      </x:c>
      <x:c r="S27" t="n">
        <x:v>645</x:v>
      </x:c>
      <x:c r="T27" t="n">
        <x:v>760</x:v>
      </x:c>
    </x:row>
    <x:row r="28">
      <x:c r="A28" s="42" t="str">
        <x:v>지원</x:v>
      </x:c>
      <x:c r="B28" s="42" t="str">
        <x:v>주술사</x:v>
      </x:c>
      <x:c r="C28" s="338" t="n">
        <x:v>454</x:v>
      </x:c>
      <x:c r="D28" s="338" t="n">
        <x:v>125</x:v>
      </x:c>
      <x:c r="E28" s="338" t="n">
        <x:v>145</x:v>
      </x:c>
      <x:c r="F28" s="338" t="n">
        <x:v>170</x:v>
      </x:c>
      <x:c r="G28" s="338" t="n">
        <x:v>205</x:v>
      </x:c>
      <x:c r="H28" s="338" t="n">
        <x:v>265</x:v>
      </x:c>
      <x:c r="I28" s="338" t="n">
        <x:v>847</x:v>
      </x:c>
      <x:c r="J28" s="246" t="n">
        <x:v>0.31286894923258557</x:v>
      </x:c>
      <x:c r="K28" s="42" t="str">
        <x:v>가능</x:v>
      </x:c>
      <x:c r="L28" s="42" t="str">
        <x:v>전문화/성급 재료는 복구되지 않음</x:v>
      </x:c>
      <x:c r="O28" t="str">
        <x:v>루비</x:v>
      </x:c>
      <x:c r="P28" t="n">
        <x:v>240</x:v>
      </x:c>
      <x:c r="Q28" t="n">
        <x:v>275</x:v>
      </x:c>
      <x:c r="R28" t="n">
        <x:v>330</x:v>
      </x:c>
      <x:c r="S28" t="n">
        <x:v>410</x:v>
      </x:c>
      <x:c r="T28" t="n">
        <x:v>525</x:v>
      </x:c>
    </x:row>
    <x:row r="29">
      <x:c r="A29" s="42" t="str">
        <x:v>지원</x:v>
      </x:c>
      <x:c r="B29" s="42" t="str">
        <x:v>아이돌</x:v>
      </x:c>
      <x:c r="C29" s="338" t="n">
        <x:v>454</x:v>
      </x:c>
      <x:c r="D29" s="338" t="n">
        <x:v>125</x:v>
      </x:c>
      <x:c r="E29" s="338" t="n">
        <x:v>145</x:v>
      </x:c>
      <x:c r="F29" s="338" t="n">
        <x:v>170</x:v>
      </x:c>
      <x:c r="G29" s="338" t="n">
        <x:v>205</x:v>
      </x:c>
      <x:c r="H29" s="338" t="n">
        <x:v>265</x:v>
      </x:c>
      <x:c r="I29" s="338" t="n">
        <x:v>847</x:v>
      </x:c>
      <x:c r="J29" s="246" t="n">
        <x:v>0.31286894923258557</x:v>
      </x:c>
      <x:c r="K29" s="42" t="str">
        <x:v>가능</x:v>
      </x:c>
      <x:c r="L29" s="42" t="str">
        <x:v>전문화/성급 재료는 복구되지 않음</x:v>
      </x:c>
      <x:c r="O29" t="str">
        <x:v>에리카</x:v>
      </x:c>
      <x:c r="P29" t="n">
        <x:v>270</x:v>
      </x:c>
      <x:c r="Q29" t="n">
        <x:v>305</x:v>
      </x:c>
      <x:c r="R29" t="n">
        <x:v>360</x:v>
      </x:c>
      <x:c r="S29" t="n">
        <x:v>440</x:v>
      </x:c>
      <x:c r="T29" t="n">
        <x:v>555</x:v>
      </x:c>
    </x:row>
    <x:row r="30">
      <x:c r="A30" s="42" t="str">
        <x:v>마법</x:v>
      </x:c>
      <x:c r="B30" s="42" t="str">
        <x:v>마탑 수습생</x:v>
      </x:c>
      <x:c r="C30" s="338" t="n">
        <x:v>45</x:v>
      </x:c>
      <x:c r="D30" s="338" t="n">
        <x:v>15</x:v>
      </x:c>
      <x:c r="E30" s="338" t="n">
        <x:v>20</x:v>
      </x:c>
      <x:c r="F30" s="338" t="n">
        <x:v>30</x:v>
      </x:c>
      <x:c r="G30" s="338" t="n">
        <x:v>50</x:v>
      </x:c>
      <x:c r="H30" s="338" t="n">
        <x:v>75</x:v>
      </x:c>
      <x:c r="I30" s="338" t="n">
        <x:v>215</x:v>
      </x:c>
      <x:c r="J30" s="246" t="n">
        <x:v>0.3488372093023256</x:v>
      </x:c>
      <x:c r="K30" s="42" t="str">
        <x:v>가능</x:v>
      </x:c>
      <x:c r="L30" s="42" t="str">
        <x:v>전문화/성급 재료는 복구되지 않음</x:v>
      </x:c>
      <x:c r="O30" t="str">
        <x:v>세라</x:v>
      </x:c>
      <x:c r="P30" t="n">
        <x:v>320</x:v>
      </x:c>
      <x:c r="Q30" t="n">
        <x:v>355</x:v>
      </x:c>
      <x:c r="R30" t="n">
        <x:v>410</x:v>
      </x:c>
      <x:c r="S30" t="n">
        <x:v>490</x:v>
      </x:c>
      <x:c r="T30" t="n">
        <x:v>605</x:v>
      </x:c>
    </x:row>
    <x:row r="31">
      <x:c r="A31" s="42" t="str">
        <x:v>마법</x:v>
      </x:c>
      <x:c r="B31" s="42" t="str">
        <x:v>대마법사</x:v>
      </x:c>
      <x:c r="C31" s="338" t="n">
        <x:v>132</x:v>
      </x:c>
      <x:c r="D31" s="338" t="n">
        <x:v>40</x:v>
      </x:c>
      <x:c r="E31" s="338" t="n">
        <x:v>55</x:v>
      </x:c>
      <x:c r="F31" s="338" t="n">
        <x:v>70</x:v>
      </x:c>
      <x:c r="G31" s="338" t="n">
        <x:v>100</x:v>
      </x:c>
      <x:c r="H31" s="338" t="n">
        <x:v>140</x:v>
      </x:c>
      <x:c r="I31" s="338" t="n">
        <x:v>422</x:v>
      </x:c>
      <x:c r="J31" s="246" t="n">
        <x:v>0.33175355450236965</x:v>
      </x:c>
      <x:c r="K31" s="42" t="str">
        <x:v>가능</x:v>
      </x:c>
      <x:c r="L31" s="42" t="str">
        <x:v>전문화/성급 재료는 복구되지 않음</x:v>
      </x:c>
      <x:c r="O31" t="str">
        <x:v>레이나</x:v>
      </x:c>
      <x:c r="P31" t="n">
        <x:v>475</x:v>
      </x:c>
      <x:c r="Q31" t="n">
        <x:v>510</x:v>
      </x:c>
      <x:c r="R31" t="n">
        <x:v>565</x:v>
      </x:c>
      <x:c r="S31" t="n">
        <x:v>645</x:v>
      </x:c>
      <x:c r="T31" t="n">
        <x:v>760</x:v>
      </x:c>
    </x:row>
    <x:row r="32">
      <x:c r="A32" s="42" t="str">
        <x:v>마법</x:v>
      </x:c>
      <x:c r="B32" s="42" t="str">
        <x:v>대 현자</x:v>
      </x:c>
      <x:c r="C32" s="338" t="n">
        <x:v>492</x:v>
      </x:c>
      <x:c r="D32" s="338" t="n">
        <x:v>135</x:v>
      </x:c>
      <x:c r="E32" s="338" t="n">
        <x:v>155</x:v>
      </x:c>
      <x:c r="F32" s="338" t="n">
        <x:v>180</x:v>
      </x:c>
      <x:c r="G32" s="338" t="n">
        <x:v>225</x:v>
      </x:c>
      <x:c r="H32" s="338" t="n">
        <x:v>285</x:v>
      </x:c>
      <x:c r="I32" s="338" t="n">
        <x:v>919</x:v>
      </x:c>
      <x:c r="J32" s="246" t="n">
        <x:v>0.3101196953210011</x:v>
      </x:c>
      <x:c r="K32" s="42" t="str">
        <x:v>가능</x:v>
      </x:c>
      <x:c r="L32" s="42" t="str">
        <x:v>전문화/성급 재료는 복구되지 않음</x:v>
      </x:c>
      <x:c r="O32" t="str">
        <x:v>카린</x:v>
      </x:c>
      <x:c r="P32" t="n">
        <x:v>255</x:v>
      </x:c>
      <x:c r="Q32" t="n">
        <x:v>290</x:v>
      </x:c>
      <x:c r="R32" t="n">
        <x:v>345</x:v>
      </x:c>
      <x:c r="S32" t="n">
        <x:v>425</x:v>
      </x:c>
      <x:c r="T32" t="n">
        <x:v>540</x:v>
      </x:c>
    </x:row>
    <x:row r="33">
      <x:c r="A33" s="42" t="str">
        <x:v>마법</x:v>
      </x:c>
      <x:c r="B33" s="42" t="str">
        <x:v>용언사</x:v>
      </x:c>
      <x:c r="C33" s="338" t="n">
        <x:v>492</x:v>
      </x:c>
      <x:c r="D33" s="338" t="n">
        <x:v>135</x:v>
      </x:c>
      <x:c r="E33" s="338" t="n">
        <x:v>160</x:v>
      </x:c>
      <x:c r="F33" s="338" t="n">
        <x:v>185</x:v>
      </x:c>
      <x:c r="G33" s="338" t="n">
        <x:v>230</x:v>
      </x:c>
      <x:c r="H33" s="338" t="n">
        <x:v>295</x:v>
      </x:c>
      <x:c r="I33" s="338" t="n">
        <x:v>942</x:v>
      </x:c>
      <x:c r="J33" s="246" t="n">
        <x:v>0.31316348195329086</x:v>
      </x:c>
      <x:c r="K33" s="42" t="str">
        <x:v>가능</x:v>
      </x:c>
      <x:c r="L33" s="42" t="str">
        <x:v>전문화/성급 재료는 복구되지 않음</x:v>
      </x:c>
    </x:row>
    <x:row r="34">
      <x:c r="A34" s="42" t="str">
        <x:v>마법</x:v>
      </x:c>
      <x:c r="B34" s="42" t="str">
        <x:v>흑마법사</x:v>
      </x:c>
      <x:c r="C34" s="338" t="n">
        <x:v>492</x:v>
      </x:c>
      <x:c r="D34" s="338" t="n">
        <x:v>135</x:v>
      </x:c>
      <x:c r="E34" s="338" t="n">
        <x:v>155</x:v>
      </x:c>
      <x:c r="F34" s="338" t="n">
        <x:v>180</x:v>
      </x:c>
      <x:c r="G34" s="338" t="n">
        <x:v>225</x:v>
      </x:c>
      <x:c r="H34" s="338" t="n">
        <x:v>285</x:v>
      </x:c>
      <x:c r="I34" s="338" t="n">
        <x:v>919</x:v>
      </x:c>
      <x:c r="J34" s="246" t="n">
        <x:v>0.3101196953210011</x:v>
      </x:c>
      <x:c r="K34" s="42" t="str">
        <x:v>가능</x:v>
      </x:c>
      <x:c r="L34" s="42" t="str">
        <x:v>전문화/성급 재료는 복구되지 않음</x:v>
      </x:c>
    </x:row>
    <x:row r="35">
      <x:c r="A35" s="42" t="str">
        <x:v>마녀</x:v>
      </x:c>
      <x:c r="B35" s="42" t="str">
        <x:v>마녀</x:v>
      </x:c>
      <x:c r="C35" s="338" t="n">
        <x:v>50</x:v>
      </x:c>
      <x:c r="D35" s="338" t="n">
        <x:v>15</x:v>
      </x:c>
      <x:c r="E35" s="338" t="n">
        <x:v>20</x:v>
      </x:c>
      <x:c r="F35" s="338" t="n">
        <x:v>35</x:v>
      </x:c>
      <x:c r="G35" s="338" t="n">
        <x:v>55</x:v>
      </x:c>
      <x:c r="H35" s="338" t="n">
        <x:v>80</x:v>
      </x:c>
      <x:c r="I35" s="338" t="n">
        <x:v>237</x:v>
      </x:c>
      <x:c r="J35" s="246" t="n">
        <x:v>0.33755274261603374</x:v>
      </x:c>
      <x:c r="K35" s="42" t="str">
        <x:v>가능</x:v>
      </x:c>
      <x:c r="L35" s="42" t="str">
        <x:v>전문화/성급 재료는 복구되지 않음</x:v>
      </x:c>
    </x:row>
    <x:row r="36">
      <x:c r="A36" s="42" t="str">
        <x:v>마녀</x:v>
      </x:c>
      <x:c r="B36" s="42" t="str">
        <x:v>마녀 대모</x:v>
      </x:c>
      <x:c r="C36" s="338" t="n">
        <x:v>142</x:v>
      </x:c>
      <x:c r="D36" s="338" t="n">
        <x:v>40</x:v>
      </x:c>
      <x:c r="E36" s="338" t="n">
        <x:v>55</x:v>
      </x:c>
      <x:c r="F36" s="338" t="n">
        <x:v>75</x:v>
      </x:c>
      <x:c r="G36" s="338" t="n">
        <x:v>100</x:v>
      </x:c>
      <x:c r="H36" s="338" t="n">
        <x:v>145</x:v>
      </x:c>
      <x:c r="I36" s="338" t="n">
        <x:v>448</x:v>
      </x:c>
      <x:c r="J36" s="246" t="n">
        <x:v>0.3236607142857143</x:v>
      </x:c>
      <x:c r="K36" s="42" t="str">
        <x:v>가능</x:v>
      </x:c>
      <x:c r="L36" s="42" t="str">
        <x:v>전문화/성급 재료는 복구되지 않음</x:v>
      </x:c>
    </x:row>
    <x:row r="37">
      <x:c r="A37" s="42" t="str">
        <x:v>마녀</x:v>
      </x:c>
      <x:c r="B37" s="42" t="str">
        <x:v>죽음의 화신</x:v>
      </x:c>
      <x:c r="C37" s="338" t="n">
        <x:v>518</x:v>
      </x:c>
      <x:c r="D37" s="338" t="n">
        <x:v>145</x:v>
      </x:c>
      <x:c r="E37" s="338" t="n">
        <x:v>165</x:v>
      </x:c>
      <x:c r="F37" s="338" t="n">
        <x:v>195</x:v>
      </x:c>
      <x:c r="G37" s="338" t="n">
        <x:v>240</x:v>
      </x:c>
      <x:c r="H37" s="338" t="n">
        <x:v>310</x:v>
      </x:c>
      <x:c r="I37" s="338" t="n">
        <x:v>984</x:v>
      </x:c>
      <x:c r="J37" s="246" t="n">
        <x:v>0.3150406504065041</x:v>
      </x:c>
      <x:c r="K37" s="42" t="str">
        <x:v>가능</x:v>
      </x:c>
      <x:c r="L37" s="42" t="str">
        <x:v>전문화/성급 재료는 복구되지 않음</x:v>
      </x:c>
    </x:row>
    <x:row r="38">
      <x:c r="A38" s="42" t="str">
        <x:v>마녀</x:v>
      </x:c>
      <x:c r="B38" s="42" t="str">
        <x:v>분노의 화신</x:v>
      </x:c>
      <x:c r="C38" s="338" t="n">
        <x:v>518</x:v>
      </x:c>
      <x:c r="D38" s="338" t="n">
        <x:v>145</x:v>
      </x:c>
      <x:c r="E38" s="338" t="n">
        <x:v>165</x:v>
      </x:c>
      <x:c r="F38" s="338" t="n">
        <x:v>195</x:v>
      </x:c>
      <x:c r="G38" s="338" t="n">
        <x:v>240</x:v>
      </x:c>
      <x:c r="H38" s="338" t="n">
        <x:v>300</x:v>
      </x:c>
      <x:c r="I38" s="338" t="n">
        <x:v>968</x:v>
      </x:c>
      <x:c r="J38" s="246" t="n">
        <x:v>0.30991735537190085</x:v>
      </x:c>
      <x:c r="K38" s="42" t="str">
        <x:v>가능</x:v>
      </x:c>
      <x:c r="L38" s="42" t="str">
        <x:v>전문화/성급 재료는 복구되지 않음</x:v>
      </x:c>
    </x:row>
    <x:row r="39">
      <x:c r="A39" s="42" t="str">
        <x:v>마녀</x:v>
      </x:c>
      <x:c r="B39" s="42" t="str">
        <x:v>침묵의 화신</x:v>
      </x:c>
      <x:c r="C39" s="338" t="n">
        <x:v>518</x:v>
      </x:c>
      <x:c r="D39" s="338" t="n">
        <x:v>145</x:v>
      </x:c>
      <x:c r="E39" s="338" t="n">
        <x:v>165</x:v>
      </x:c>
      <x:c r="F39" s="338" t="n">
        <x:v>195</x:v>
      </x:c>
      <x:c r="G39" s="338" t="n">
        <x:v>240</x:v>
      </x:c>
      <x:c r="H39" s="338" t="n">
        <x:v>300</x:v>
      </x:c>
      <x:c r="I39" s="338" t="n">
        <x:v>968</x:v>
      </x:c>
      <x:c r="J39" s="246" t="n">
        <x:v>0.30991735537190085</x:v>
      </x:c>
      <x:c r="K39" s="42" t="str">
        <x:v>가능</x:v>
      </x:c>
      <x:c r="L39" s="42" t="str">
        <x:v>전문화/성급 재료는 복구되지 않음</x:v>
      </x:c>
    </x:row>
    <x:row r="42">
      <x:c r="A42" s="734" t="str">
        <x:v>전설 영웅 판매가격 — 실제 조합원가 35% + 전설 성급 투자 50%</x:v>
      </x:c>
      <x:c r="B42" s="734"/>
      <x:c r="C42" s="734"/>
      <x:c r="D42" s="734"/>
      <x:c r="E42" s="734"/>
      <x:c r="F42" s="734"/>
      <x:c r="G42" s="734"/>
      <x:c r="H42" s="734"/>
      <x:c r="I42" s="734"/>
      <x:c r="J42" s="734"/>
      <x:c r="K42" s="734"/>
      <x:c r="L42" s="734"/>
      <x:c r="M42" s="734"/>
      <x:c r="N42" s="734"/>
      <x:c r="O42" s="734"/>
      <x:c r="P42" s="734"/>
      <x:c r="Q42" s="734"/>
      <x:c r="R42" s="734"/>
      <x:c r="S42" s="734"/>
      <x:c r="T42" s="734"/>
      <x:c r="U42" s="734"/>
      <x:c r="V42" s="734"/>
    </x:row>
    <x:row r="44">
      <x:c r="A44" s="737" t="str">
        <x:v>등급</x:v>
      </x:c>
      <x:c r="B44" s="737" t="str">
        <x:v>영웅</x:v>
      </x:c>
      <x:c r="C44" s="737" t="str">
        <x:v>실제 조합원가</x:v>
      </x:c>
      <x:c r="D44" s="737" t="str">
        <x:v>★1 판매</x:v>
      </x:c>
      <x:c r="E44" s="737" t="str">
        <x:v>★2 판매</x:v>
      </x:c>
      <x:c r="F44" s="737" t="str">
        <x:v>★3 판매</x:v>
      </x:c>
      <x:c r="G44" s="737" t="str">
        <x:v>★4 판매</x:v>
      </x:c>
      <x:c r="H44" s="737" t="str">
        <x:v>★5 판매</x:v>
      </x:c>
      <x:c r="I44" s="737" t="str">
        <x:v>★5 총투자</x:v>
      </x:c>
      <x:c r="J44" s="737" t="str">
        <x:v>★5 회수율</x:v>
      </x:c>
      <x:c r="K44" s="737" t="str">
        <x:v>판매 후 슬롯</x:v>
      </x:c>
      <x:c r="L44" s="737" t="str">
        <x:v>재료 반환</x:v>
      </x:c>
      <x:c r="M44" s="737" t="str">
        <x:v>설계 메모</x:v>
      </x:c>
      <x:c r="O44" s="740" t="str">
        <x:v>신화</x:v>
      </x:c>
      <x:c r="P44" s="740" t="str">
        <x:v>판매</x:v>
      </x:c>
      <x:c r="Q44" s="740" t="str">
        <x:v>골드</x:v>
      </x:c>
      <x:c r="R44" s="740" t="str">
        <x:v>슬롯</x:v>
      </x:c>
      <x:c r="S44" s="740" t="str">
        <x:v>되돌리기</x:v>
      </x:c>
      <x:c r="T44" s="740" t="str">
        <x:v>예외</x:v>
      </x:c>
      <x:c r="U44" s="740" t="str">
        <x:v>UI</x:v>
      </x:c>
      <x:c r="V44" s="740" t="str">
        <x:v>결론</x:v>
      </x:c>
    </x:row>
    <x:row r="45">
      <x:c r="A45" s="42" t="str">
        <x:v>전설</x:v>
      </x:c>
      <x:c r="B45" s="42" t="str">
        <x:v>아리아</x:v>
      </x:c>
      <x:c r="C45" s="338" t="n">
        <x:v>730</x:v>
      </x:c>
      <x:c r="D45" s="338" t="n">
        <x:v>180</x:v>
      </x:c>
      <x:c r="E45" s="338" t="n">
        <x:v>205</x:v>
      </x:c>
      <x:c r="F45" s="338" t="n">
        <x:v>240</x:v>
      </x:c>
      <x:c r="G45" s="338" t="n">
        <x:v>300</x:v>
      </x:c>
      <x:c r="H45" s="338" t="n">
        <x:v>380</x:v>
      </x:c>
      <x:c r="I45" s="338" t="n">
        <x:v>1300</x:v>
      </x:c>
      <x:c r="J45" s="246" t="n">
        <x:v>0.2923076923076923</x:v>
      </x:c>
      <x:c r="K45" s="42" t="str">
        <x:v>1칸 비움</x:v>
      </x:c>
      <x:c r="L45" s="42" t="str">
        <x:v>없음</x:v>
      </x:c>
      <x:c r="M45" s="42" t="str">
        <x:v>판매 후 새 전설/신화 빌드로 수정 가능. 손실은 유지.</x:v>
      </x:c>
      <x:c r="O45" s="42" t="str">
        <x:v>신화 전 영웅</x:v>
      </x:c>
      <x:c r="P45" s="42" t="str">
        <x:v>불가</x:v>
      </x:c>
      <x:c r="Q45" s="42" t="str">
        <x:v>0G</x:v>
      </x:c>
      <x:c r="R45" s="42" t="str">
        <x:v>유지</x:v>
      </x:c>
      <x:c r="S45" s="42" t="str">
        <x:v>불가</x:v>
      </x:c>
      <x:c r="T45" s="42" t="str">
        <x:v>없음</x:v>
      </x:c>
      <x:c r="U45" s="42" t="str">
        <x:v>판매 버튼 숨김</x:v>
      </x:c>
      <x:c r="V45" s="42" t="str">
        <x:v>확정</x:v>
      </x:c>
    </x:row>
    <x:row r="46">
      <x:c r="A46" s="42" t="str">
        <x:v>전설</x:v>
      </x:c>
      <x:c r="B46" s="42" t="str">
        <x:v>유나</x:v>
      </x:c>
      <x:c r="C46" s="338" t="n">
        <x:v>946</x:v>
      </x:c>
      <x:c r="D46" s="338" t="n">
        <x:v>230</x:v>
      </x:c>
      <x:c r="E46" s="338" t="n">
        <x:v>255</x:v>
      </x:c>
      <x:c r="F46" s="338" t="n">
        <x:v>295</x:v>
      </x:c>
      <x:c r="G46" s="338" t="n">
        <x:v>350</x:v>
      </x:c>
      <x:c r="H46" s="338" t="n">
        <x:v>430</x:v>
      </x:c>
      <x:c r="I46" s="338" t="n">
        <x:v>1516</x:v>
      </x:c>
      <x:c r="J46" s="246" t="n">
        <x:v>0.2836411609498681</x:v>
      </x:c>
      <x:c r="K46" s="42" t="str">
        <x:v>1칸 비움</x:v>
      </x:c>
      <x:c r="L46" s="42" t="str">
        <x:v>없음</x:v>
      </x:c>
      <x:c r="M46" s="42" t="str">
        <x:v>판매 후 새 전설/신화 빌드로 수정 가능. 손실은 유지.</x:v>
      </x:c>
      <x:c r="O46" s="42" t="str">
        <x:v>신화 조합 직후</x:v>
      </x:c>
      <x:c r="P46" s="42" t="str">
        <x:v>불가</x:v>
      </x:c>
      <x:c r="Q46" s="42" t="str">
        <x:v>0G</x:v>
      </x:c>
      <x:c r="R46" s="42" t="str">
        <x:v>유지</x:v>
      </x:c>
      <x:c r="S46" s="42" t="str">
        <x:v>불가</x:v>
      </x:c>
      <x:c r="T46" s="42" t="str">
        <x:v>없음</x:v>
      </x:c>
      <x:c r="U46" s="42" t="str">
        <x:v>확인창 1회</x:v>
      </x:c>
      <x:c r="V46" s="42" t="str">
        <x:v>최종 선택</x:v>
      </x:c>
    </x:row>
    <x:row r="47">
      <x:c r="A47" s="42" t="str">
        <x:v>전설</x:v>
      </x:c>
      <x:c r="B47" s="42" t="str">
        <x:v>리엘</x:v>
      </x:c>
      <x:c r="C47" s="338" t="n">
        <x:v>1357</x:v>
      </x:c>
      <x:c r="D47" s="338" t="n">
        <x:v>335</x:v>
      </x:c>
      <x:c r="E47" s="338" t="n">
        <x:v>355</x:v>
      </x:c>
      <x:c r="F47" s="338" t="n">
        <x:v>395</x:v>
      </x:c>
      <x:c r="G47" s="338" t="n">
        <x:v>450</x:v>
      </x:c>
      <x:c r="H47" s="338" t="n">
        <x:v>530</x:v>
      </x:c>
      <x:c r="I47" s="338" t="n">
        <x:v>1927</x:v>
      </x:c>
      <x:c r="J47" s="246" t="n">
        <x:v>0.275038920601972</x:v>
      </x:c>
      <x:c r="K47" s="42" t="str">
        <x:v>1칸 비움</x:v>
      </x:c>
      <x:c r="L47" s="42" t="str">
        <x:v>없음</x:v>
      </x:c>
      <x:c r="M47" s="42" t="str">
        <x:v>판매 후 새 전설/신화 빌드로 수정 가능. 손실은 유지.</x:v>
      </x:c>
      <x:c r="O47" s="42" t="str">
        <x:v>5/5 신화파티</x:v>
      </x:c>
      <x:c r="P47" s="42" t="str">
        <x:v>불가</x:v>
      </x:c>
      <x:c r="Q47" s="42" t="str">
        <x:v>0G</x:v>
      </x:c>
      <x:c r="R47" s="42" t="str">
        <x:v>유지</x:v>
      </x:c>
      <x:c r="S47" s="42" t="str">
        <x:v>불가</x:v>
      </x:c>
      <x:c r="T47" s="42" t="str">
        <x:v>없음</x:v>
      </x:c>
      <x:c r="U47" s="42" t="str">
        <x:v>판매 메뉴 없음</x:v>
      </x:c>
      <x:c r="V47" s="42" t="str">
        <x:v>RPG 파티 고정</x:v>
      </x:c>
    </x:row>
    <x:row r="48">
      <x:c r="A48" s="42" t="str">
        <x:v>전설</x:v>
      </x:c>
      <x:c r="B48" s="42" t="str">
        <x:v>루비</x:v>
      </x:c>
      <x:c r="C48" s="338" t="n">
        <x:v>685</x:v>
      </x:c>
      <x:c r="D48" s="338" t="n">
        <x:v>170</x:v>
      </x:c>
      <x:c r="E48" s="338" t="n">
        <x:v>195</x:v>
      </x:c>
      <x:c r="F48" s="338" t="n">
        <x:v>230</x:v>
      </x:c>
      <x:c r="G48" s="338" t="n">
        <x:v>285</x:v>
      </x:c>
      <x:c r="H48" s="338" t="n">
        <x:v>370</x:v>
      </x:c>
      <x:c r="I48" s="338" t="n">
        <x:v>1255</x:v>
      </x:c>
      <x:c r="J48" s="246" t="n">
        <x:v>0.2948207171314741</x:v>
      </x:c>
      <x:c r="K48" s="42" t="str">
        <x:v>1칸 비움</x:v>
      </x:c>
      <x:c r="L48" s="42" t="str">
        <x:v>없음</x:v>
      </x:c>
      <x:c r="M48" s="42" t="str">
        <x:v>판매 후 새 전설/신화 빌드로 수정 가능. 손실은 유지.</x:v>
      </x:c>
      <x:c r="O48" s="42" t="str">
        <x:v>실수 전환</x:v>
      </x:c>
      <x:c r="P48" s="42" t="str">
        <x:v>불가</x:v>
      </x:c>
      <x:c r="Q48" s="42" t="str">
        <x:v>0G</x:v>
      </x:c>
      <x:c r="R48" s="42" t="str">
        <x:v>유지</x:v>
      </x:c>
      <x:c r="S48" s="42" t="str">
        <x:v>불가</x:v>
      </x:c>
      <x:c r="T48" s="42" t="str">
        <x:v>없음</x:v>
      </x:c>
      <x:c r="U48" s="42" t="str">
        <x:v>조합 전 경고로 예방</x:v>
      </x:c>
      <x:c r="V48" s="42" t="str">
        <x:v>런 전략 책임</x:v>
      </x:c>
    </x:row>
    <x:row r="49">
      <x:c r="A49" s="42" t="str">
        <x:v>전설</x:v>
      </x:c>
      <x:c r="B49" s="42" t="str">
        <x:v>에리카</x:v>
      </x:c>
      <x:c r="C49" s="338" t="n">
        <x:v>771</x:v>
      </x:c>
      <x:c r="D49" s="338" t="n">
        <x:v>190</x:v>
      </x:c>
      <x:c r="E49" s="338" t="n">
        <x:v>215</x:v>
      </x:c>
      <x:c r="F49" s="338" t="n">
        <x:v>250</x:v>
      </x:c>
      <x:c r="G49" s="338" t="n">
        <x:v>310</x:v>
      </x:c>
      <x:c r="H49" s="338" t="n">
        <x:v>390</x:v>
      </x:c>
      <x:c r="I49" s="338" t="n">
        <x:v>1341</x:v>
      </x:c>
      <x:c r="J49" s="246" t="n">
        <x:v>0.29082774049217003</x:v>
      </x:c>
      <x:c r="K49" s="42" t="str">
        <x:v>1칸 비움</x:v>
      </x:c>
      <x:c r="L49" s="42" t="str">
        <x:v>없음</x:v>
      </x:c>
      <x:c r="M49" s="42" t="str">
        <x:v>판매 후 새 전설/신화 빌드로 수정 가능. 손실은 유지.</x:v>
      </x:c>
    </x:row>
    <x:row r="50">
      <x:c r="A50" s="42" t="str">
        <x:v>전설</x:v>
      </x:c>
      <x:c r="B50" s="42" t="str">
        <x:v>세라</x:v>
      </x:c>
      <x:c r="C50" s="338" t="n">
        <x:v>908</x:v>
      </x:c>
      <x:c r="D50" s="338" t="n">
        <x:v>225</x:v>
      </x:c>
      <x:c r="E50" s="338" t="n">
        <x:v>250</x:v>
      </x:c>
      <x:c r="F50" s="338" t="n">
        <x:v>285</x:v>
      </x:c>
      <x:c r="G50" s="338" t="n">
        <x:v>345</x:v>
      </x:c>
      <x:c r="H50" s="338" t="n">
        <x:v>425</x:v>
      </x:c>
      <x:c r="I50" s="338" t="n">
        <x:v>1478</x:v>
      </x:c>
      <x:c r="J50" s="246" t="n">
        <x:v>0.28755074424898514</x:v>
      </x:c>
      <x:c r="K50" s="42" t="str">
        <x:v>1칸 비움</x:v>
      </x:c>
      <x:c r="L50" s="42" t="str">
        <x:v>없음</x:v>
      </x:c>
      <x:c r="M50" s="42" t="str">
        <x:v>판매 후 새 전설/신화 빌드로 수정 가능. 손실은 유지.</x:v>
      </x:c>
    </x:row>
    <x:row r="51">
      <x:c r="A51" s="42" t="str">
        <x:v>전설</x:v>
      </x:c>
      <x:c r="B51" s="42" t="str">
        <x:v>레이나</x:v>
      </x:c>
      <x:c r="C51" s="338" t="n">
        <x:v>1357</x:v>
      </x:c>
      <x:c r="D51" s="338" t="n">
        <x:v>335</x:v>
      </x:c>
      <x:c r="E51" s="338" t="n">
        <x:v>355</x:v>
      </x:c>
      <x:c r="F51" s="338" t="n">
        <x:v>395</x:v>
      </x:c>
      <x:c r="G51" s="338" t="n">
        <x:v>450</x:v>
      </x:c>
      <x:c r="H51" s="338" t="n">
        <x:v>530</x:v>
      </x:c>
      <x:c r="I51" s="338" t="n">
        <x:v>1927</x:v>
      </x:c>
      <x:c r="J51" s="246" t="n">
        <x:v>0.275038920601972</x:v>
      </x:c>
      <x:c r="K51" s="42" t="str">
        <x:v>1칸 비움</x:v>
      </x:c>
      <x:c r="L51" s="42" t="str">
        <x:v>없음</x:v>
      </x:c>
      <x:c r="M51" s="42" t="str">
        <x:v>판매 후 새 전설/신화 빌드로 수정 가능. 손실은 유지.</x:v>
      </x:c>
    </x:row>
    <x:row r="52">
      <x:c r="A52" s="42" t="str">
        <x:v>전설</x:v>
      </x:c>
      <x:c r="B52" s="42" t="str">
        <x:v>카린</x:v>
      </x:c>
      <x:c r="C52" s="338" t="n">
        <x:v>730</x:v>
      </x:c>
      <x:c r="D52" s="338" t="n">
        <x:v>180</x:v>
      </x:c>
      <x:c r="E52" s="338" t="n">
        <x:v>205</x:v>
      </x:c>
      <x:c r="F52" s="338" t="n">
        <x:v>240</x:v>
      </x:c>
      <x:c r="G52" s="338" t="n">
        <x:v>300</x:v>
      </x:c>
      <x:c r="H52" s="338" t="n">
        <x:v>380</x:v>
      </x:c>
      <x:c r="I52" s="338" t="n">
        <x:v>1300</x:v>
      </x:c>
      <x:c r="J52" s="246" t="n">
        <x:v>0.2923076923076923</x:v>
      </x:c>
      <x:c r="K52" s="42" t="str">
        <x:v>1칸 비움</x:v>
      </x:c>
      <x:c r="L52" s="42" t="str">
        <x:v>없음</x:v>
      </x:c>
      <x:c r="M52" s="42" t="str">
        <x:v>판매 후 새 전설/신화 빌드로 수정 가능. 손실은 유지.</x:v>
      </x:c>
    </x:row>
    <x:row r="55">
      <x:c r="A55" s="747" t="str">
        <x:v>구조물 판매가격 — 일반 캐릭터와 동일: 누적 제작비 40% + 현재 형태 성급 투자 50%</x:v>
      </x:c>
      <x:c r="B55" s="747"/>
      <x:c r="C55" s="747"/>
      <x:c r="D55" s="747"/>
      <x:c r="E55" s="747"/>
      <x:c r="F55" s="747"/>
      <x:c r="G55" s="747"/>
      <x:c r="H55" s="747"/>
      <x:c r="I55" s="747"/>
      <x:c r="J55" s="747"/>
      <x:c r="K55" s="747"/>
      <x:c r="L55" s="747"/>
      <x:c r="M55" s="747"/>
      <x:c r="N55" s="747"/>
      <x:c r="O55" s="747"/>
      <x:c r="P55" s="747"/>
      <x:c r="Q55" s="747"/>
      <x:c r="R55" s="747"/>
      <x:c r="S55" s="747"/>
      <x:c r="T55" s="747"/>
      <x:c r="U55" s="747"/>
      <x:c r="V55" s="747"/>
    </x:row>
    <x:row r="57">
      <x:c r="A57" s="750" t="str">
        <x:v>계열</x:v>
      </x:c>
      <x:c r="B57" s="750" t="str">
        <x:v>구조물</x:v>
      </x:c>
      <x:c r="C57" s="750" t="str">
        <x:v>누적 제작원가</x:v>
      </x:c>
      <x:c r="D57" s="750" t="str">
        <x:v>★1 판매</x:v>
      </x:c>
      <x:c r="E57" s="750" t="str">
        <x:v>★2 판매</x:v>
      </x:c>
      <x:c r="F57" s="750" t="str">
        <x:v>★3 판매</x:v>
      </x:c>
      <x:c r="G57" s="750" t="str">
        <x:v>★4 판매</x:v>
      </x:c>
      <x:c r="H57" s="750" t="str">
        <x:v>★5 판매</x:v>
      </x:c>
      <x:c r="I57" s="750" t="str">
        <x:v>★5 총투자</x:v>
      </x:c>
      <x:c r="J57" s="750" t="str">
        <x:v>★5 회수율</x:v>
      </x:c>
      <x:c r="K57" s="750" t="str">
        <x:v>판매 가능</x:v>
      </x:c>
      <x:c r="L57" s="750" t="str">
        <x:v>메모</x:v>
      </x:c>
    </x:row>
    <x:row r="58">
      <x:c r="A58" s="42" t="str">
        <x:v>방어벽</x:v>
      </x:c>
      <x:c r="B58" s="42" t="str">
        <x:v>방어벽</x:v>
      </x:c>
      <x:c r="C58" s="338" t="n">
        <x:v>35</x:v>
      </x:c>
      <x:c r="D58" s="338" t="n">
        <x:v>10</x:v>
      </x:c>
      <x:c r="E58" s="338" t="n">
        <x:v>20</x:v>
      </x:c>
      <x:c r="F58" s="338" t="n">
        <x:v>25</x:v>
      </x:c>
      <x:c r="G58" s="338" t="n">
        <x:v>40</x:v>
      </x:c>
      <x:c r="H58" s="338" t="n">
        <x:v>60</x:v>
      </x:c>
      <x:c r="I58" s="338" t="n">
        <x:v>175</x:v>
      </x:c>
      <x:c r="J58" s="246" t="n">
        <x:v>0.34285714285714286</x:v>
      </x:c>
      <x:c r="K58" s="42" t="str">
        <x:v>가능</x:v>
      </x:c>
      <x:c r="L58" s="42" t="str">
        <x:v>W1~W9 판매 / 전문화 재료 복구 없음</x:v>
      </x:c>
    </x:row>
    <x:row r="59">
      <x:c r="A59" s="42" t="str">
        <x:v>방어벽</x:v>
      </x:c>
      <x:c r="B59" s="42" t="str">
        <x:v>강철 방어벽</x:v>
      </x:c>
      <x:c r="C59" s="338" t="n">
        <x:v>155</x:v>
      </x:c>
      <x:c r="D59" s="338" t="n">
        <x:v>40</x:v>
      </x:c>
      <x:c r="E59" s="338" t="n">
        <x:v>55</x:v>
      </x:c>
      <x:c r="F59" s="338" t="n">
        <x:v>65</x:v>
      </x:c>
      <x:c r="G59" s="338" t="n">
        <x:v>90</x:v>
      </x:c>
      <x:c r="H59" s="338" t="n">
        <x:v>120</x:v>
      </x:c>
      <x:c r="I59" s="338" t="n">
        <x:v>370</x:v>
      </x:c>
      <x:c r="J59" s="246" t="n">
        <x:v>0.32432432432432434</x:v>
      </x:c>
      <x:c r="K59" s="42" t="str">
        <x:v>가능</x:v>
      </x:c>
      <x:c r="L59" s="42" t="str">
        <x:v>W1~W9 판매 / 전문화 재료 복구 없음</x:v>
      </x:c>
    </x:row>
    <x:row r="60">
      <x:c r="A60" s="42" t="str">
        <x:v>방어벽</x:v>
      </x:c>
      <x:c r="B60" s="42" t="str">
        <x:v>미스릴 방어벽</x:v>
      </x:c>
      <x:c r="C60" s="338" t="n">
        <x:v>370</x:v>
      </x:c>
      <x:c r="D60" s="338" t="n">
        <x:v>105</x:v>
      </x:c>
      <x:c r="E60" s="338" t="n">
        <x:v>120</x:v>
      </x:c>
      <x:c r="F60" s="338" t="n">
        <x:v>145</x:v>
      </x:c>
      <x:c r="G60" s="338" t="n">
        <x:v>175</x:v>
      </x:c>
      <x:c r="H60" s="338" t="n">
        <x:v>225</x:v>
      </x:c>
      <x:c r="I60" s="338" t="n">
        <x:v>710</x:v>
      </x:c>
      <x:c r="J60" s="246" t="n">
        <x:v>0.31690140845070425</x:v>
      </x:c>
      <x:c r="K60" s="42" t="str">
        <x:v>가능</x:v>
      </x:c>
      <x:c r="L60" s="42" t="str">
        <x:v>W1~W9 판매 / 전문화 재료 복구 없음</x:v>
      </x:c>
    </x:row>
    <x:row r="61">
      <x:c r="A61" s="42" t="str">
        <x:v>방어벽</x:v>
      </x:c>
      <x:c r="B61" s="42" t="str">
        <x:v>가시 방어벽</x:v>
      </x:c>
      <x:c r="C61" s="338" t="n">
        <x:v>370</x:v>
      </x:c>
      <x:c r="D61" s="338" t="n">
        <x:v>105</x:v>
      </x:c>
      <x:c r="E61" s="338" t="n">
        <x:v>120</x:v>
      </x:c>
      <x:c r="F61" s="338" t="n">
        <x:v>140</x:v>
      </x:c>
      <x:c r="G61" s="338" t="n">
        <x:v>170</x:v>
      </x:c>
      <x:c r="H61" s="338" t="n">
        <x:v>215</x:v>
      </x:c>
      <x:c r="I61" s="338" t="n">
        <x:v>690</x:v>
      </x:c>
      <x:c r="J61" s="246" t="n">
        <x:v>0.3115942028985507</x:v>
      </x:c>
      <x:c r="K61" s="42" t="str">
        <x:v>가능</x:v>
      </x:c>
      <x:c r="L61" s="42" t="str">
        <x:v>W1~W9 판매 / 전문화 재료 복구 없음</x:v>
      </x:c>
    </x:row>
    <x:row r="62">
      <x:c r="A62" s="42" t="str">
        <x:v>감시탑</x:v>
      </x:c>
      <x:c r="B62" s="42" t="str">
        <x:v>감시탑</x:v>
      </x:c>
      <x:c r="C62" s="338" t="n">
        <x:v>40</x:v>
      </x:c>
      <x:c r="D62" s="338" t="n">
        <x:v>10</x:v>
      </x:c>
      <x:c r="E62" s="338" t="n">
        <x:v>20</x:v>
      </x:c>
      <x:c r="F62" s="338" t="n">
        <x:v>30</x:v>
      </x:c>
      <x:c r="G62" s="338" t="n">
        <x:v>50</x:v>
      </x:c>
      <x:c r="H62" s="338" t="n">
        <x:v>75</x:v>
      </x:c>
      <x:c r="I62" s="338" t="n">
        <x:v>220</x:v>
      </x:c>
      <x:c r="J62" s="246" t="n">
        <x:v>0.3409090909090909</x:v>
      </x:c>
      <x:c r="K62" s="42" t="str">
        <x:v>가능</x:v>
      </x:c>
      <x:c r="L62" s="42" t="str">
        <x:v>W1~W9 판매 / 전문화 재료 복구 없음</x:v>
      </x:c>
    </x:row>
    <x:row r="63">
      <x:c r="A63" s="42" t="str">
        <x:v>감시탑</x:v>
      </x:c>
      <x:c r="B63" s="42" t="str">
        <x:v>강화 감시탑</x:v>
      </x:c>
      <x:c r="C63" s="338" t="n">
        <x:v>145</x:v>
      </x:c>
      <x:c r="D63" s="338" t="n">
        <x:v>40</x:v>
      </x:c>
      <x:c r="E63" s="338" t="n">
        <x:v>55</x:v>
      </x:c>
      <x:c r="F63" s="338" t="n">
        <x:v>70</x:v>
      </x:c>
      <x:c r="G63" s="338" t="n">
        <x:v>95</x:v>
      </x:c>
      <x:c r="H63" s="338" t="n">
        <x:v>130</x:v>
      </x:c>
      <x:c r="I63" s="338" t="n">
        <x:v>390</x:v>
      </x:c>
      <x:c r="J63" s="246" t="n">
        <x:v>0.3333333333333333</x:v>
      </x:c>
      <x:c r="K63" s="42" t="str">
        <x:v>가능</x:v>
      </x:c>
      <x:c r="L63" s="42" t="str">
        <x:v>W1~W9 판매 / 전문화 재료 복구 없음</x:v>
      </x:c>
    </x:row>
    <x:row r="64">
      <x:c r="A64" s="42" t="str">
        <x:v>감시탑</x:v>
      </x:c>
      <x:c r="B64" s="42" t="str">
        <x:v>저격 감시탑</x:v>
      </x:c>
      <x:c r="C64" s="338" t="n">
        <x:v>320</x:v>
      </x:c>
      <x:c r="D64" s="338" t="n">
        <x:v>90</x:v>
      </x:c>
      <x:c r="E64" s="338" t="n">
        <x:v>110</x:v>
      </x:c>
      <x:c r="F64" s="338" t="n">
        <x:v>135</x:v>
      </x:c>
      <x:c r="G64" s="338" t="n">
        <x:v>170</x:v>
      </x:c>
      <x:c r="H64" s="338" t="n">
        <x:v>220</x:v>
      </x:c>
      <x:c r="I64" s="338" t="n">
        <x:v>690</x:v>
      </x:c>
      <x:c r="J64" s="246" t="n">
        <x:v>0.3188405797101449</x:v>
      </x:c>
      <x:c r="K64" s="42" t="str">
        <x:v>가능</x:v>
      </x:c>
      <x:c r="L64" s="42" t="str">
        <x:v>W1~W9 판매 / 전문화 재료 복구 없음</x:v>
      </x:c>
    </x:row>
    <x:row r="65">
      <x:c r="A65" s="42" t="str">
        <x:v>감시탑</x:v>
      </x:c>
      <x:c r="B65" s="42" t="str">
        <x:v>연사 감시탑</x:v>
      </x:c>
      <x:c r="C65" s="338" t="n">
        <x:v>320</x:v>
      </x:c>
      <x:c r="D65" s="338" t="n">
        <x:v>90</x:v>
      </x:c>
      <x:c r="E65" s="338" t="n">
        <x:v>110</x:v>
      </x:c>
      <x:c r="F65" s="338" t="n">
        <x:v>135</x:v>
      </x:c>
      <x:c r="G65" s="338" t="n">
        <x:v>170</x:v>
      </x:c>
      <x:c r="H65" s="338" t="n">
        <x:v>220</x:v>
      </x:c>
      <x:c r="I65" s="338" t="n">
        <x:v>690</x:v>
      </x:c>
      <x:c r="J65" s="246" t="n">
        <x:v>0.3188405797101449</x:v>
      </x:c>
      <x:c r="K65" s="42" t="str">
        <x:v>가능</x:v>
      </x:c>
      <x:c r="L65" s="42" t="str">
        <x:v>W1~W9 판매 / 전문화 재료 복구 없음</x:v>
      </x:c>
    </x:row>
    <x:row r="66">
      <x:c r="A66" s="42" t="str">
        <x:v>감시탑</x:v>
      </x:c>
      <x:c r="B66" s="42" t="str">
        <x:v>관통 감시탑</x:v>
      </x:c>
      <x:c r="C66" s="338" t="n">
        <x:v>320</x:v>
      </x:c>
      <x:c r="D66" s="338" t="n">
        <x:v>90</x:v>
      </x:c>
      <x:c r="E66" s="338" t="n">
        <x:v>110</x:v>
      </x:c>
      <x:c r="F66" s="338" t="n">
        <x:v>135</x:v>
      </x:c>
      <x:c r="G66" s="338" t="n">
        <x:v>170</x:v>
      </x:c>
      <x:c r="H66" s="338" t="n">
        <x:v>220</x:v>
      </x:c>
      <x:c r="I66" s="338" t="n">
        <x:v>690</x:v>
      </x:c>
      <x:c r="J66" s="246" t="n">
        <x:v>0.3188405797101449</x:v>
      </x:c>
      <x:c r="K66" s="42" t="str">
        <x:v>가능</x:v>
      </x:c>
      <x:c r="L66" s="42" t="str">
        <x:v>W1~W9 판매 / 전문화 재료 복구 없음</x:v>
      </x:c>
    </x:row>
    <x:row r="67">
      <x:c r="A67" s="42" t="str">
        <x:v>발리스타</x:v>
      </x:c>
      <x:c r="B67" s="42" t="str">
        <x:v>발리스타</x:v>
      </x:c>
      <x:c r="C67" s="338" t="n">
        <x:v>60</x:v>
      </x:c>
      <x:c r="D67" s="338" t="n">
        <x:v>20</x:v>
      </x:c>
      <x:c r="E67" s="338" t="n">
        <x:v>30</x:v>
      </x:c>
      <x:c r="F67" s="338" t="n">
        <x:v>45</x:v>
      </x:c>
      <x:c r="G67" s="338" t="n">
        <x:v>75</x:v>
      </x:c>
      <x:c r="H67" s="338" t="n">
        <x:v>110</x:v>
      </x:c>
      <x:c r="I67" s="338" t="n">
        <x:v>325</x:v>
      </x:c>
      <x:c r="J67" s="246" t="n">
        <x:v>0.3384615384615385</x:v>
      </x:c>
      <x:c r="K67" s="42" t="str">
        <x:v>가능</x:v>
      </x:c>
      <x:c r="L67" s="42" t="str">
        <x:v>W1~W9 판매 / 전문화 재료 복구 없음</x:v>
      </x:c>
    </x:row>
    <x:row r="68">
      <x:c r="A68" s="42" t="str">
        <x:v>발리스타</x:v>
      </x:c>
      <x:c r="B68" s="42" t="str">
        <x:v>대형 발리스타</x:v>
      </x:c>
      <x:c r="C68" s="338" t="n">
        <x:v>240</x:v>
      </x:c>
      <x:c r="D68" s="338" t="n">
        <x:v>65</x:v>
      </x:c>
      <x:c r="E68" s="338" t="n">
        <x:v>85</x:v>
      </x:c>
      <x:c r="F68" s="338" t="n">
        <x:v>110</x:v>
      </x:c>
      <x:c r="G68" s="338" t="n">
        <x:v>145</x:v>
      </x:c>
      <x:c r="H68" s="338" t="n">
        <x:v>205</x:v>
      </x:c>
      <x:c r="I68" s="338" t="n">
        <x:v>630</x:v>
      </x:c>
      <x:c r="J68" s="246" t="n">
        <x:v>0.3253968253968254</x:v>
      </x:c>
      <x:c r="K68" s="42" t="str">
        <x:v>가능</x:v>
      </x:c>
      <x:c r="L68" s="42" t="str">
        <x:v>W1~W9 판매 / 전문화 재료 복구 없음</x:v>
      </x:c>
    </x:row>
    <x:row r="69">
      <x:c r="A69" s="42" t="str">
        <x:v>발리스타</x:v>
      </x:c>
      <x:c r="B69" s="42" t="str">
        <x:v>드래곤 킬러</x:v>
      </x:c>
      <x:c r="C69" s="338" t="n">
        <x:v>560</x:v>
      </x:c>
      <x:c r="D69" s="338" t="n">
        <x:v>160</x:v>
      </x:c>
      <x:c r="E69" s="338" t="n">
        <x:v>180</x:v>
      </x:c>
      <x:c r="F69" s="338" t="n">
        <x:v>215</x:v>
      </x:c>
      <x:c r="G69" s="338" t="n">
        <x:v>265</x:v>
      </x:c>
      <x:c r="H69" s="338" t="n">
        <x:v>340</x:v>
      </x:c>
      <x:c r="I69" s="338" t="n">
        <x:v>1080</x:v>
      </x:c>
      <x:c r="J69" s="246" t="n">
        <x:v>0.3148148148148148</x:v>
      </x:c>
      <x:c r="K69" s="42" t="str">
        <x:v>가능</x:v>
      </x:c>
      <x:c r="L69" s="42" t="str">
        <x:v>W1~W9 판매 / 전문화 재료 복구 없음</x:v>
      </x:c>
    </x:row>
    <x:row r="70">
      <x:c r="A70" s="42" t="str">
        <x:v>발리스타</x:v>
      </x:c>
      <x:c r="B70" s="42" t="str">
        <x:v>플레임 발리스타</x:v>
      </x:c>
      <x:c r="C70" s="338" t="n">
        <x:v>560</x:v>
      </x:c>
      <x:c r="D70" s="338" t="n">
        <x:v>160</x:v>
      </x:c>
      <x:c r="E70" s="338" t="n">
        <x:v>180</x:v>
      </x:c>
      <x:c r="F70" s="338" t="n">
        <x:v>215</x:v>
      </x:c>
      <x:c r="G70" s="338" t="n">
        <x:v>265</x:v>
      </x:c>
      <x:c r="H70" s="338" t="n">
        <x:v>340</x:v>
      </x:c>
      <x:c r="I70" s="338" t="n">
        <x:v>1080</x:v>
      </x:c>
      <x:c r="J70" s="246" t="n">
        <x:v>0.3148148148148148</x:v>
      </x:c>
      <x:c r="K70" s="42" t="str">
        <x:v>가능</x:v>
      </x:c>
      <x:c r="L70" s="42" t="str">
        <x:v>W1~W9 판매 / 전문화 재료 복구 없음</x:v>
      </x:c>
    </x:row>
    <x:row r="71">
      <x:c r="A71" s="42" t="str">
        <x:v>캐논</x:v>
      </x:c>
      <x:c r="B71" s="42" t="str">
        <x:v>투석기</x:v>
      </x:c>
      <x:c r="C71" s="338" t="n">
        <x:v>75</x:v>
      </x:c>
      <x:c r="D71" s="338" t="n">
        <x:v>20</x:v>
      </x:c>
      <x:c r="E71" s="338" t="n">
        <x:v>35</x:v>
      </x:c>
      <x:c r="F71" s="338" t="n">
        <x:v>55</x:v>
      </x:c>
      <x:c r="G71" s="338" t="n">
        <x:v>90</x:v>
      </x:c>
      <x:c r="H71" s="338" t="n">
        <x:v>135</x:v>
      </x:c>
      <x:c r="I71" s="338" t="n">
        <x:v>390</x:v>
      </x:c>
      <x:c r="J71" s="246" t="n">
        <x:v>0.34615384615384615</x:v>
      </x:c>
      <x:c r="K71" s="42" t="str">
        <x:v>가능</x:v>
      </x:c>
      <x:c r="L71" s="42" t="str">
        <x:v>W1~W9 판매 / 전문화 재료 복구 없음</x:v>
      </x:c>
    </x:row>
    <x:row r="72">
      <x:c r="A72" s="42" t="str">
        <x:v>캐논</x:v>
      </x:c>
      <x:c r="B72" s="42" t="str">
        <x:v>캐논 타워</x:v>
      </x:c>
      <x:c r="C72" s="338" t="n">
        <x:v>230</x:v>
      </x:c>
      <x:c r="D72" s="338" t="n">
        <x:v>65</x:v>
      </x:c>
      <x:c r="E72" s="338" t="n">
        <x:v>85</x:v>
      </x:c>
      <x:c r="F72" s="338" t="n">
        <x:v>110</x:v>
      </x:c>
      <x:c r="G72" s="338" t="n">
        <x:v>160</x:v>
      </x:c>
      <x:c r="H72" s="338" t="n">
        <x:v>220</x:v>
      </x:c>
      <x:c r="I72" s="338" t="n">
        <x:v>675</x:v>
      </x:c>
      <x:c r="J72" s="246" t="n">
        <x:v>0.32592592592592595</x:v>
      </x:c>
      <x:c r="K72" s="42" t="str">
        <x:v>가능</x:v>
      </x:c>
      <x:c r="L72" s="42" t="str">
        <x:v>W1~W9 판매 / 전문화 재료 복구 없음</x:v>
      </x:c>
    </x:row>
    <x:row r="73">
      <x:c r="A73" s="42" t="str">
        <x:v>캐논</x:v>
      </x:c>
      <x:c r="B73" s="42" t="str">
        <x:v>봄버 캐논타워</x:v>
      </x:c>
      <x:c r="C73" s="338" t="n">
        <x:v>775</x:v>
      </x:c>
      <x:c r="D73" s="338" t="n">
        <x:v>215</x:v>
      </x:c>
      <x:c r="E73" s="338" t="n">
        <x:v>245</x:v>
      </x:c>
      <x:c r="F73" s="338" t="n">
        <x:v>285</x:v>
      </x:c>
      <x:c r="G73" s="338" t="n">
        <x:v>350</x:v>
      </x:c>
      <x:c r="H73" s="338" t="n">
        <x:v>440</x:v>
      </x:c>
      <x:c r="I73" s="338" t="n">
        <x:v>1400</x:v>
      </x:c>
      <x:c r="J73" s="246" t="n">
        <x:v>0.3142857142857143</x:v>
      </x:c>
      <x:c r="K73" s="42" t="str">
        <x:v>가능</x:v>
      </x:c>
      <x:c r="L73" s="42" t="str">
        <x:v>W1~W9 판매 / 전문화 재료 복구 없음</x:v>
      </x:c>
    </x:row>
    <x:row r="74">
      <x:c r="A74" s="42" t="str">
        <x:v>캐논</x:v>
      </x:c>
      <x:c r="B74" s="42" t="str">
        <x:v>마력 캐논타워</x:v>
      </x:c>
      <x:c r="C74" s="338" t="n">
        <x:v>775</x:v>
      </x:c>
      <x:c r="D74" s="338" t="n">
        <x:v>215</x:v>
      </x:c>
      <x:c r="E74" s="338" t="n">
        <x:v>245</x:v>
      </x:c>
      <x:c r="F74" s="338" t="n">
        <x:v>285</x:v>
      </x:c>
      <x:c r="G74" s="338" t="n">
        <x:v>350</x:v>
      </x:c>
      <x:c r="H74" s="338" t="n">
        <x:v>440</x:v>
      </x:c>
      <x:c r="I74" s="338" t="n">
        <x:v>1400</x:v>
      </x:c>
      <x:c r="J74" s="246" t="n">
        <x:v>0.3142857142857143</x:v>
      </x:c>
      <x:c r="K74" s="42" t="str">
        <x:v>가능</x:v>
      </x:c>
      <x:c r="L74" s="42" t="str">
        <x:v>W1~W9 판매 / 전문화 재료 복구 없음</x:v>
      </x:c>
    </x:row>
    <x:row r="75">
      <x:c r="A75" s="42" t="str">
        <x:v>마력수정</x:v>
      </x:c>
      <x:c r="B75" s="42" t="str">
        <x:v>마력 수정</x:v>
      </x:c>
      <x:c r="C75" s="338" t="n">
        <x:v>90</x:v>
      </x:c>
      <x:c r="D75" s="338" t="n">
        <x:v>25</x:v>
      </x:c>
      <x:c r="E75" s="338" t="n">
        <x:v>40</x:v>
      </x:c>
      <x:c r="F75" s="338" t="n">
        <x:v>65</x:v>
      </x:c>
      <x:c r="G75" s="338" t="n">
        <x:v>100</x:v>
      </x:c>
      <x:c r="H75" s="338" t="n">
        <x:v>145</x:v>
      </x:c>
      <x:c r="I75" s="338" t="n">
        <x:v>440</x:v>
      </x:c>
      <x:c r="J75" s="246" t="n">
        <x:v>0.32954545454545453</x:v>
      </x:c>
      <x:c r="K75" s="42" t="str">
        <x:v>가능</x:v>
      </x:c>
      <x:c r="L75" s="42" t="str">
        <x:v>W1~W9 판매 / 전문화 재료 복구 없음</x:v>
      </x:c>
    </x:row>
    <x:row r="76">
      <x:c r="A76" s="42" t="str">
        <x:v>마력수정</x:v>
      </x:c>
      <x:c r="B76" s="42" t="str">
        <x:v>충만한 마력 수정</x:v>
      </x:c>
      <x:c r="C76" s="338" t="n">
        <x:v>255</x:v>
      </x:c>
      <x:c r="D76" s="338" t="n">
        <x:v>70</x:v>
      </x:c>
      <x:c r="E76" s="338" t="n">
        <x:v>90</x:v>
      </x:c>
      <x:c r="F76" s="338" t="n">
        <x:v>125</x:v>
      </x:c>
      <x:c r="G76" s="338" t="n">
        <x:v>175</x:v>
      </x:c>
      <x:c r="H76" s="338" t="n">
        <x:v>245</x:v>
      </x:c>
      <x:c r="I76" s="338" t="n">
        <x:v>755</x:v>
      </x:c>
      <x:c r="J76" s="246" t="n">
        <x:v>0.32450331125827814</x:v>
      </x:c>
      <x:c r="K76" s="42" t="str">
        <x:v>가능</x:v>
      </x:c>
      <x:c r="L76" s="42" t="str">
        <x:v>W1~W9 판매 / 전문화 재료 복구 없음</x:v>
      </x:c>
    </x:row>
    <x:row r="77">
      <x:c r="A77" s="42" t="str">
        <x:v>마력수정</x:v>
      </x:c>
      <x:c r="B77" s="42" t="str">
        <x:v>1급 용암 수정</x:v>
      </x:c>
      <x:c r="C77" s="338" t="n">
        <x:v>865</x:v>
      </x:c>
      <x:c r="D77" s="338" t="n">
        <x:v>240</x:v>
      </x:c>
      <x:c r="E77" s="338" t="n">
        <x:v>275</x:v>
      </x:c>
      <x:c r="F77" s="338" t="n">
        <x:v>320</x:v>
      </x:c>
      <x:c r="G77" s="338" t="n">
        <x:v>390</x:v>
      </x:c>
      <x:c r="H77" s="338" t="n">
        <x:v>485</x:v>
      </x:c>
      <x:c r="I77" s="338" t="n">
        <x:v>1565</x:v>
      </x:c>
      <x:c r="J77" s="246" t="n">
        <x:v>0.30990415335463256</x:v>
      </x:c>
      <x:c r="K77" s="42" t="str">
        <x:v>가능</x:v>
      </x:c>
      <x:c r="L77" s="42" t="str">
        <x:v>W1~W9 판매 / 전문화 재료 복구 없음</x:v>
      </x:c>
    </x:row>
    <x:row r="78">
      <x:c r="A78" s="42" t="str">
        <x:v>마력수정</x:v>
      </x:c>
      <x:c r="B78" s="42" t="str">
        <x:v>1급 번개 수정</x:v>
      </x:c>
      <x:c r="C78" s="338" t="n">
        <x:v>865</x:v>
      </x:c>
      <x:c r="D78" s="338" t="n">
        <x:v>240</x:v>
      </x:c>
      <x:c r="E78" s="338" t="n">
        <x:v>275</x:v>
      </x:c>
      <x:c r="F78" s="338" t="n">
        <x:v>320</x:v>
      </x:c>
      <x:c r="G78" s="338" t="n">
        <x:v>390</x:v>
      </x:c>
      <x:c r="H78" s="338" t="n">
        <x:v>485</x:v>
      </x:c>
      <x:c r="I78" s="338" t="n">
        <x:v>1565</x:v>
      </x:c>
      <x:c r="J78" s="246" t="n">
        <x:v>0.30990415335463256</x:v>
      </x:c>
      <x:c r="K78" s="42" t="str">
        <x:v>가능</x:v>
      </x:c>
      <x:c r="L78" s="42" t="str">
        <x:v>W1~W9 판매 / 전문화 재료 복구 없음</x:v>
      </x:c>
    </x:row>
    <x:row r="79">
      <x:c r="A79" s="42" t="str">
        <x:v>마력수정</x:v>
      </x:c>
      <x:c r="B79" s="42" t="str">
        <x:v>1급 얼음 수정</x:v>
      </x:c>
      <x:c r="C79" s="338" t="n">
        <x:v>865</x:v>
      </x:c>
      <x:c r="D79" s="338" t="n">
        <x:v>240</x:v>
      </x:c>
      <x:c r="E79" s="338" t="n">
        <x:v>275</x:v>
      </x:c>
      <x:c r="F79" s="338" t="n">
        <x:v>320</x:v>
      </x:c>
      <x:c r="G79" s="338" t="n">
        <x:v>390</x:v>
      </x:c>
      <x:c r="H79" s="338" t="n">
        <x:v>485</x:v>
      </x:c>
      <x:c r="I79" s="338" t="n">
        <x:v>1565</x:v>
      </x:c>
      <x:c r="J79" s="246" t="n">
        <x:v>0.30990415335463256</x:v>
      </x:c>
      <x:c r="K79" s="42" t="str">
        <x:v>가능</x:v>
      </x:c>
      <x:c r="L79" s="42" t="str">
        <x:v>W1~W9 판매 / 전문화 재료 복구 없음</x:v>
      </x:c>
    </x:row>
    <x:row r="82">
      <x:c r="A82" s="758" t="str">
        <x:v>V4.0 환급률 해석</x:v>
      </x:c>
      <x:c r="B82" s="758" t="str">
        <x:v>내용</x:v>
      </x:c>
      <x:c r="C82" s="758"/>
      <x:c r="D82" s="758"/>
      <x:c r="E82" s="758"/>
      <x:c r="F82" s="758"/>
      <x:c r="G82" s="758"/>
      <x:c r="H82" s="758"/>
    </x:row>
    <x:row r="83">
      <x:c r="A83" s="42" t="str">
        <x:v>요청 반영</x:v>
      </x:c>
      <x:c r="B83" s="42" t="str">
        <x:v>'하향조정 70%'를 기존 V3.9 판매가격의 70% 수준으로 해석</x:v>
      </x:c>
      <x:c r="C83" s="42"/>
      <x:c r="D83" s="42"/>
      <x:c r="E83" s="42"/>
      <x:c r="F83" s="42"/>
      <x:c r="G83" s="42"/>
      <x:c r="H83" s="42"/>
    </x:row>
    <x:row r="84">
      <x:c r="A84" s="42" t="str">
        <x:v>효과</x:v>
      </x:c>
      <x:c r="B84" s="42" t="str">
        <x:v>모든 판매가격 약 30% 감소. 신화 판매불가 유지.</x:v>
      </x:c>
      <x:c r="C84" s="42"/>
      <x:c r="D84" s="42"/>
      <x:c r="E84" s="42"/>
      <x:c r="F84" s="42"/>
      <x:c r="G84" s="42"/>
      <x:c r="H84" s="42"/>
    </x:row>
    <x:row r="85">
      <x:c r="A85" s="42" t="str">
        <x:v>주의</x:v>
      </x:c>
      <x:c r="B85" s="42" t="str">
        <x:v>만약 '투입비의 70% 환급' 의미였다면 이는 기존보다 상향이므로 별도 재조정 필요</x:v>
      </x:c>
      <x:c r="C85" s="42"/>
      <x:c r="D85" s="42"/>
      <x:c r="E85" s="42"/>
      <x:c r="F85" s="42"/>
      <x:c r="G85" s="42"/>
      <x:c r="H85" s="42"/>
    </x:row>
  </x:sheetData>
  <x:mergeCells>
    <x:mergeCell ref="A1:V1"/>
    <x:mergeCell ref="A11:V11"/>
    <x:mergeCell ref="A42:V42"/>
    <x:mergeCell ref="N13:V13"/>
    <x:mergeCell ref="A55:V55"/>
  </x:mergeCells>
  <x:conditionalFormatting sqref="J14:J3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{4E787732-66A3-2977-24F4-4904ABC28C7A}</x14:id>
        </x:ext>
      </x:extLst>
    </x:cfRule>
  </x:conditionalFormatting>
  <x:conditionalFormatting sqref="J45:J5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{750A3223-A092-4679-4D6E-CCD0CED83932}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dd1ee934fb7443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787732-66A3-2977-24F4-4904ABC28C7A}">
            <x14:dataBar gradient="1">
              <x14:cfvo type="min"/>
              <x14:cfvo type="max"/>
              <x14:fillColor rgb="FFA02B93"/>
            </x14:dataBar>
          </x14:cfRule>
          <xm:sqref>J14:J39</xm:sqref>
        </x14:conditionalFormatting>
        <x14:conditionalFormatting>
          <x14:cfRule type="dataBar" priority="2" id="{750A3223-A092-4679-4D6E-CCD0CED83932}">
            <x14:dataBar gradient="1">
              <x14:cfvo type="min"/>
              <x14:cfvo type="max"/>
              <x14:fillColor rgb="FFA02B93"/>
            </x14:dataBar>
          </x14:cfRule>
          <xm:sqref>J45:J52</xm:sqref>
        </x14:conditionalFormatting>
      </x14:conditionalFormattings>
    </x:ext>
  </x:extLst>
</x:worksheet>
</file>

<file path=xl/worksheets/sheet4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2" hidden="0" customWidth="1"/>
    <x:col min="5" max="5" width="34" hidden="0" customWidth="1"/>
    <x:col min="6" max="6" width="30" hidden="0" customWidth="1"/>
    <x:col min="7" max="7" width="26" hidden="0" customWidth="1"/>
    <x:col min="8" max="8" width="54" hidden="0" customWidth="1"/>
    <x:col min="9" max="9" width="34" hidden="0" customWidth="1"/>
    <x:col min="10" max="10" width="28" hidden="0" customWidth="1"/>
  </x:cols>
  <x:sheetData>
    <x:row r="1">
      <x:c r="A1" s="753" t="str">
        <x:v>Lucky Girls — 적/아군 캐릭터·구조물 도트 디자인 프롬프트용 외형 묘사 V1</x:v>
      </x:c>
      <x:c r="B1" s="753"/>
      <x:c r="C1" s="753"/>
      <x:c r="D1" s="753"/>
      <x:c r="E1" s="753"/>
      <x:c r="F1" s="753"/>
      <x:c r="G1" s="753"/>
      <x:c r="H1" s="753"/>
      <x:c r="I1" s="753"/>
      <x:c r="J1" s="753"/>
    </x:row>
    <x:row r="3">
      <x:c r="A3" s="756" t="str">
        <x:v>구분</x:v>
      </x:c>
      <x:c r="B3" s="756" t="str">
        <x:v>지역/계열</x:v>
      </x:c>
      <x:c r="C3" s="756" t="str">
        <x:v>유형</x:v>
      </x:c>
      <x:c r="D3" s="756" t="str">
        <x:v>현재 이름</x:v>
      </x:c>
      <x:c r="E3" s="756" t="str">
        <x:v>외형 콘셉트</x:v>
      </x:c>
      <x:c r="F3" s="756" t="str">
        <x:v>실루엣 포인트</x:v>
      </x:c>
      <x:c r="G3" s="756" t="str">
        <x:v>색상</x:v>
      </x:c>
      <x:c r="H3" s="756" t="str">
        <x:v>도트 프롬프트</x:v>
      </x:c>
      <x:c r="I3" s="756" t="str">
        <x:v>피해야 할 것</x:v>
      </x:c>
      <x:c r="J3" s="756" t="str">
        <x:v>비고</x:v>
      </x:c>
    </x:row>
    <x:row r="4">
      <x:c r="A4" s="42" t="str">
        <x:v>적군</x:v>
      </x:c>
      <x:c r="B4" s="42" t="str">
        <x:v>서부 왕국</x:v>
      </x:c>
      <x:c r="C4" s="42" t="str">
        <x:v>인간형</x:v>
      </x:c>
      <x:c r="D4" s="42" t="str">
        <x:v>산악 약탈자</x:v>
      </x:c>
      <x:c r="E4" s="42" t="str">
        <x:v>산길을 점거한 무장 산적</x:v>
      </x:c>
      <x:c r="F4" s="42" t="str">
        <x:v>무기/장비 중심의 직관적 실루엣</x:v>
      </x:c>
      <x:c r="G4" s="42" t="str">
        <x:v>철회색, 갈색 가죽, 산악 녹색, 붉은 포인트</x:v>
      </x:c>
      <x:c r="H4" s="42" t="str">
        <x:v>산악 약탈자: 산길을 점거한 무장 산적. 기본 보병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x:v>
      </x:c>
      <x:c r="I4" s="42" t="str">
        <x:v>복잡한 미세장식, 지나친 사실비율, 배경 포함</x:v>
      </x:c>
      <x:c r="J4" s="42" t="str">
        <x:v>Hard 변형은 검은 침식결정/붉은 균열광 추가</x:v>
      </x:c>
    </x:row>
    <x:row r="5">
      <x:c r="A5" s="42" t="str">
        <x:v>적군</x:v>
      </x:c>
      <x:c r="B5" s="42" t="str">
        <x:v>서부 왕국</x:v>
      </x:c>
      <x:c r="C5" s="42" t="str">
        <x:v>인간형</x:v>
      </x:c>
      <x:c r="D5" s="42" t="str">
        <x:v>협곡 강도</x:v>
      </x:c>
      <x:c r="E5" s="42" t="str">
        <x:v>좁은 길에서 습격하는 도적</x:v>
      </x:c>
      <x:c r="F5" s="42" t="str">
        <x:v>무기/장비 중심의 직관적 실루엣</x:v>
      </x:c>
      <x:c r="G5" s="42" t="str">
        <x:v>철회색, 갈색 가죽, 산악 녹색, 붉은 포인트</x:v>
      </x:c>
      <x:c r="H5" s="42" t="str">
        <x:v>협곡 강도: 좁은 길에서 습격하는 도적. 고속 근접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x:v>
      </x:c>
      <x:c r="I5" s="42" t="str">
        <x:v>복잡한 미세장식, 지나친 사실비율, 배경 포함</x:v>
      </x:c>
      <x:c r="J5" s="42" t="str">
        <x:v>Hard 변형은 검은 침식결정/붉은 균열광 추가</x:v>
      </x:c>
    </x:row>
    <x:row r="6">
      <x:c r="A6" s="42" t="str">
        <x:v>적군</x:v>
      </x:c>
      <x:c r="B6" s="42" t="str">
        <x:v>서부 왕국</x:v>
      </x:c>
      <x:c r="C6" s="42" t="str">
        <x:v>인간형</x:v>
      </x:c>
      <x:c r="D6" s="42" t="str">
        <x:v>탈영 철갑병</x:v>
      </x:c>
      <x:c r="E6" s="42" t="str">
        <x:v>군을 이탈한 중갑 용병</x:v>
      </x:c>
      <x:c r="F6" s="42" t="str">
        <x:v>무기/장비 중심의 직관적 실루엣</x:v>
      </x:c>
      <x:c r="G6" s="42" t="str">
        <x:v>철회색, 갈색 가죽, 산악 녹색, 붉은 포인트</x:v>
      </x:c>
      <x:c r="H6" s="42" t="str">
        <x:v>탈영 철갑병: 군을 이탈한 중갑 용병. 고방어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x:v>
      </x:c>
      <x:c r="I6" s="42" t="str">
        <x:v>복잡한 미세장식, 지나친 사실비율, 배경 포함</x:v>
      </x:c>
      <x:c r="J6" s="42" t="str">
        <x:v>Hard 변형은 검은 침식결정/붉은 균열광 추가</x:v>
      </x:c>
    </x:row>
    <x:row r="7">
      <x:c r="A7" s="42" t="str">
        <x:v>적군</x:v>
      </x:c>
      <x:c r="B7" s="42" t="str">
        <x:v>서부 왕국</x:v>
      </x:c>
      <x:c r="C7" s="42" t="str">
        <x:v>인간형</x:v>
      </x:c>
      <x:c r="D7" s="42" t="str">
        <x:v>화약 밀수꾼</x:v>
      </x:c>
      <x:c r="E7" s="42" t="str">
        <x:v>광산 폭약을 훔쳐 쓰는 범죄자</x:v>
      </x:c>
      <x:c r="F7" s="42" t="str">
        <x:v>무기/장비 중심의 직관적 실루엣</x:v>
      </x:c>
      <x:c r="G7" s="42" t="str">
        <x:v>철회색, 갈색 가죽, 산악 녹색, 붉은 포인트</x:v>
      </x:c>
      <x:c r="H7" s="42" t="str">
        <x:v>화약 밀수꾼: 광산 폭약을 훔쳐 쓰는 범죄자. 사망 시 폭발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x:v>
      </x:c>
      <x:c r="I7" s="42" t="str">
        <x:v>복잡한 미세장식, 지나친 사실비율, 배경 포함</x:v>
      </x:c>
      <x:c r="J7" s="42" t="str">
        <x:v>Hard 변형은 검은 침식결정/붉은 균열광 추가</x:v>
      </x:c>
    </x:row>
    <x:row r="8">
      <x:c r="A8" s="42" t="str">
        <x:v>적군</x:v>
      </x:c>
      <x:c r="B8" s="42" t="str">
        <x:v>서부 왕국</x:v>
      </x:c>
      <x:c r="C8" s="42" t="str">
        <x:v>인간형</x:v>
      </x:c>
      <x:c r="D8" s="42" t="str">
        <x:v>광산 파괴자</x:v>
      </x:c>
      <x:c r="E8" s="42" t="str">
        <x:v>곡괭이·망치로 방벽을 부수는 범죄집단</x:v>
      </x:c>
      <x:c r="F8" s="42" t="str">
        <x:v>무기/장비 중심의 직관적 실루엣</x:v>
      </x:c>
      <x:c r="G8" s="42" t="str">
        <x:v>철회색, 갈색 가죽, 산악 녹색, 붉은 포인트</x:v>
      </x:c>
      <x:c r="H8" s="42" t="str">
        <x:v>광산 파괴자: 곡괭이·망치로 방벽을 부수는 범죄집단. 방어벽 특화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x:v>
      </x:c>
      <x:c r="I8" s="42" t="str">
        <x:v>복잡한 미세장식, 지나친 사실비율, 배경 포함</x:v>
      </x:c>
      <x:c r="J8" s="42" t="str">
        <x:v>Hard 변형은 검은 침식결정/붉은 균열광 추가</x:v>
      </x:c>
    </x:row>
    <x:row r="9">
      <x:c r="A9" s="42" t="str">
        <x:v>적군</x:v>
      </x:c>
      <x:c r="B9" s="42" t="str">
        <x:v>서부 왕국</x:v>
      </x:c>
      <x:c r="C9" s="42" t="str">
        <x:v>비인간형</x:v>
      </x:c>
      <x:c r="D9" s="42" t="str">
        <x:v>협곡 늑대</x:v>
      </x:c>
      <x:c r="E9" s="42" t="str">
        <x:v>산악 무리사냥 야수</x:v>
      </x:c>
      <x:c r="F9" s="42" t="str">
        <x:v>머리·몸통·꼬리/날개 중 1~2개 과장</x:v>
      </x:c>
      <x:c r="G9" s="42" t="str">
        <x:v>철회색, 갈색 가죽, 산악 녹색, 붉은 포인트</x:v>
      </x:c>
      <x:c r="H9" s="42" t="str">
        <x:v>협곡 늑대: 산악 무리사냥 야수. 고속 물량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9" s="42" t="str">
        <x:v>복잡한 미세장식, 지나친 사실비율, 배경 포함</x:v>
      </x:c>
      <x:c r="J9" s="42" t="str">
        <x:v>Hard 변형은 검은 침식결정/붉은 균열광 추가</x:v>
      </x:c>
    </x:row>
    <x:row r="10">
      <x:c r="A10" s="42" t="str">
        <x:v>적군</x:v>
      </x:c>
      <x:c r="B10" s="42" t="str">
        <x:v>서부 왕국</x:v>
      </x:c>
      <x:c r="C10" s="42" t="str">
        <x:v>비인간형</x:v>
      </x:c>
      <x:c r="D10" s="42" t="str">
        <x:v>뿔멧돼지</x:v>
      </x:c>
      <x:c r="E10" s="42" t="str">
        <x:v>거대한 돌진형 야수</x:v>
      </x:c>
      <x:c r="F10" s="42" t="str">
        <x:v>머리·몸통·꼬리/날개 중 1~2개 과장</x:v>
      </x:c>
      <x:c r="G10" s="42" t="str">
        <x:v>철회색, 갈색 가죽, 산악 녹색, 붉은 포인트</x:v>
      </x:c>
      <x:c r="H10" s="42" t="str">
        <x:v>뿔멧돼지: 거대한 돌진형 야수. 돌진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10" s="42" t="str">
        <x:v>복잡한 미세장식, 지나친 사실비율, 배경 포함</x:v>
      </x:c>
      <x:c r="J10" s="42" t="str">
        <x:v>Hard 변형은 검은 침식결정/붉은 균열광 추가</x:v>
      </x:c>
    </x:row>
    <x:row r="11">
      <x:c r="A11" s="42" t="str">
        <x:v>적군</x:v>
      </x:c>
      <x:c r="B11" s="42" t="str">
        <x:v>서부 왕국</x:v>
      </x:c>
      <x:c r="C11" s="42" t="str">
        <x:v>비인간형</x:v>
      </x:c>
      <x:c r="D11" s="42" t="str">
        <x:v>바위등 도마뱀</x:v>
      </x:c>
      <x:c r="E11" s="42" t="str">
        <x:v>암석 갑피를 지닌 파충류</x:v>
      </x:c>
      <x:c r="F11" s="42" t="str">
        <x:v>머리·몸통·꼬리/날개 중 1~2개 과장</x:v>
      </x:c>
      <x:c r="G11" s="42" t="str">
        <x:v>철회색, 갈색 가죽, 산악 녹색, 붉은 포인트</x:v>
      </x:c>
      <x:c r="H11" s="42" t="str">
        <x:v>바위등 도마뱀: 암석 갑피를 지닌 파충류. 고방어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11" s="42" t="str">
        <x:v>복잡한 미세장식, 지나친 사실비율, 배경 포함</x:v>
      </x:c>
      <x:c r="J11" s="42" t="str">
        <x:v>Hard 변형은 검은 침식결정/붉은 균열광 추가</x:v>
      </x:c>
    </x:row>
    <x:row r="12">
      <x:c r="A12" s="42" t="str">
        <x:v>적군</x:v>
      </x:c>
      <x:c r="B12" s="42" t="str">
        <x:v>서부 왕국</x:v>
      </x:c>
      <x:c r="C12" s="42" t="str">
        <x:v>비인간형</x:v>
      </x:c>
      <x:c r="D12" s="42" t="str">
        <x:v>절벽 매</x:v>
      </x:c>
      <x:c r="E12" s="42" t="str">
        <x:v>절벽 지대를 나는 대형 맹금</x:v>
      </x:c>
      <x:c r="F12" s="42" t="str">
        <x:v>머리·몸통·꼬리/날개 중 1~2개 과장</x:v>
      </x:c>
      <x:c r="G12" s="42" t="str">
        <x:v>철회색, 갈색 가죽, 산악 녹색, 붉은 포인트</x:v>
      </x:c>
      <x:c r="H12" s="42" t="str">
        <x:v>절벽 매: 절벽 지대를 나는 대형 맹금. 공중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12" s="42" t="str">
        <x:v>복잡한 미세장식, 지나친 사실비율, 배경 포함</x:v>
      </x:c>
      <x:c r="J12" s="42" t="str">
        <x:v>Hard 변형은 검은 침식결정/붉은 균열광 추가</x:v>
      </x:c>
    </x:row>
    <x:row r="13">
      <x:c r="A13" s="42" t="str">
        <x:v>적군</x:v>
      </x:c>
      <x:c r="B13" s="42" t="str">
        <x:v>서부 왕국</x:v>
      </x:c>
      <x:c r="C13" s="42" t="str">
        <x:v>비인간형</x:v>
      </x:c>
      <x:c r="D13" s="42" t="str">
        <x:v>암석 골렘</x:v>
      </x:c>
      <x:c r="E13" s="42" t="str">
        <x:v>폐광에서 깨어난 마력 생물</x:v>
      </x:c>
      <x:c r="F13" s="42" t="str">
        <x:v>머리·몸통·꼬리/날개 중 1~2개 과장</x:v>
      </x:c>
      <x:c r="G13" s="42" t="str">
        <x:v>철회색, 갈색 가죽, 산악 녹색, 붉은 포인트</x:v>
      </x:c>
      <x:c r="H13" s="42" t="str">
        <x:v>암석 골렘: 폐광에서 깨어난 마력 생물. 고HP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13" s="42" t="str">
        <x:v>복잡한 미세장식, 지나친 사실비율, 배경 포함</x:v>
      </x:c>
      <x:c r="J13" s="42" t="str">
        <x:v>Hard 변형은 검은 침식결정/붉은 균열광 추가</x:v>
      </x:c>
    </x:row>
    <x:row r="14">
      <x:c r="A14" s="42" t="str">
        <x:v>적군</x:v>
      </x:c>
      <x:c r="B14" s="42" t="str">
        <x:v>서부 왕국</x:v>
      </x:c>
      <x:c r="C14" s="42" t="str">
        <x:v>비인간형</x:v>
      </x:c>
      <x:c r="D14" s="42" t="str">
        <x:v>최초의 골렘 아즈로</x:v>
      </x:c>
      <x:c r="E14" s="42" t="str">
        <x:v>거대한 암석 골렘, 검은색</x:v>
      </x:c>
      <x:c r="F14" s="42" t="str">
        <x:v>머리·몸통·꼬리/날개 중 1~2개 과장</x:v>
      </x:c>
      <x:c r="G14" s="42" t="str">
        <x:v>철회색, 갈색 가죽, 산악 녹색, 붉은 포인트</x:v>
      </x:c>
      <x:c r="H14" s="42" t="str">
        <x:v>최초의 골렘 아즈로: 거대한 암석 골렘, 검은색. 고HP/고방어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x:v>
      </x:c>
      <x:c r="I14" s="42" t="str">
        <x:v>복잡한 미세장식, 지나친 사실비율, 배경 포함</x:v>
      </x:c>
      <x:c r="J14" s="42" t="str">
        <x:v>Hard 변형은 검은 침식결정/붉은 균열광 추가</x:v>
      </x:c>
    </x:row>
    <x:row r="15">
      <x:c r="A15" s="42" t="str">
        <x:v>적군</x:v>
      </x:c>
      <x:c r="B15" s="42" t="str">
        <x:v>아자르 삼국연합</x:v>
      </x:c>
      <x:c r="C15" s="42" t="str">
        <x:v>인간형</x:v>
      </x:c>
      <x:c r="D15" s="42" t="str">
        <x:v>사막 약탈자</x:v>
      </x:c>
      <x:c r="E15" s="42" t="str">
        <x:v>대상단을 습격하는 도적</x:v>
      </x:c>
      <x:c r="F15" s="42" t="str">
        <x:v>무기/장비 중심의 직관적 실루엣</x:v>
      </x:c>
      <x:c r="G15" s="42" t="str">
        <x:v>사막 황금색, 청록, 진홍, 검은 천</x:v>
      </x:c>
      <x:c r="H15" s="42" t="str">
        <x:v>사막 약탈자: 대상단을 습격하는 도적. 기본 보병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x:v>
      </x:c>
      <x:c r="I15" s="42" t="str">
        <x:v>복잡한 미세장식, 지나친 사실비율, 배경 포함</x:v>
      </x:c>
      <x:c r="J15" s="42" t="str">
        <x:v>Hard 변형은 검은 침식결정/붉은 균열광 추가</x:v>
      </x:c>
    </x:row>
    <x:row r="16">
      <x:c r="A16" s="42" t="str">
        <x:v>적군</x:v>
      </x:c>
      <x:c r="B16" s="42" t="str">
        <x:v>아자르 삼국연합</x:v>
      </x:c>
      <x:c r="C16" s="42" t="str">
        <x:v>인간형</x:v>
      </x:c>
      <x:c r="D16" s="42" t="str">
        <x:v>독침 암살자</x:v>
      </x:c>
      <x:c r="E16" s="42" t="str">
        <x:v>독침·단검을 사용하는 암살자</x:v>
      </x:c>
      <x:c r="F16" s="42" t="str">
        <x:v>무기/장비 중심의 직관적 실루엣</x:v>
      </x:c>
      <x:c r="G16" s="42" t="str">
        <x:v>사막 황금색, 청록, 진홍, 검은 천</x:v>
      </x:c>
      <x:c r="H16" s="42" t="str">
        <x:v>독침 암살자: 독침·단검을 사용하는 암살자. 독 지속피해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x:v>
      </x:c>
      <x:c r="I16" s="42" t="str">
        <x:v>복잡한 미세장식, 지나친 사실비율, 배경 포함</x:v>
      </x:c>
      <x:c r="J16" s="42" t="str">
        <x:v>Hard 변형은 검은 침식결정/붉은 균열광 추가</x:v>
      </x:c>
    </x:row>
    <x:row r="17">
      <x:c r="A17" s="42" t="str">
        <x:v>적군</x:v>
      </x:c>
      <x:c r="B17" s="42" t="str">
        <x:v>아자르 삼국연합</x:v>
      </x:c>
      <x:c r="C17" s="42" t="str">
        <x:v>인간형</x:v>
      </x:c>
      <x:c r="D17" s="42" t="str">
        <x:v>오아시스 밀수꾼</x:v>
      </x:c>
      <x:c r="E17" s="42" t="str">
        <x:v>불법 약품과 폭약을 쓰는 밀수조직</x:v>
      </x:c>
      <x:c r="F17" s="42" t="str">
        <x:v>무기/장비 중심의 직관적 실루엣</x:v>
      </x:c>
      <x:c r="G17" s="42" t="str">
        <x:v>사막 황금색, 청록, 진홍, 검은 천</x:v>
      </x:c>
      <x:c r="H17" s="42" t="str">
        <x:v>오아시스 밀수꾼: 불법 약품과 폭약을 쓰는 밀수조직. 특수 공격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x:v>
      </x:c>
      <x:c r="I17" s="42" t="str">
        <x:v>복잡한 미세장식, 지나친 사실비율, 배경 포함</x:v>
      </x:c>
      <x:c r="J17" s="42" t="str">
        <x:v>Hard 변형은 검은 침식결정/붉은 균열광 추가</x:v>
      </x:c>
    </x:row>
    <x:row r="18">
      <x:c r="A18" s="42" t="str">
        <x:v>적군</x:v>
      </x:c>
      <x:c r="B18" s="42" t="str">
        <x:v>아자르 삼국연합</x:v>
      </x:c>
      <x:c r="C18" s="42" t="str">
        <x:v>인간형</x:v>
      </x:c>
      <x:c r="D18" s="42" t="str">
        <x:v>사막 주술사</x:v>
      </x:c>
      <x:c r="E18" s="42" t="str">
        <x:v>고대 신을 숭배하는 이단자</x:v>
      </x:c>
      <x:c r="F18" s="42" t="str">
        <x:v>무기/장비 중심의 직관적 실루엣</x:v>
      </x:c>
      <x:c r="G18" s="42" t="str">
        <x:v>사막 황금색, 청록, 진홍, 검은 천</x:v>
      </x:c>
      <x:c r="H18" s="42" t="str">
        <x:v>사막 주술사: 고대 신을 숭배하는 이단자. 주변 적 버프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x:v>
      </x:c>
      <x:c r="I18" s="42" t="str">
        <x:v>복잡한 미세장식, 지나친 사실비율, 배경 포함</x:v>
      </x:c>
      <x:c r="J18" s="42" t="str">
        <x:v>Hard 변형은 검은 침식결정/붉은 균열광 추가</x:v>
      </x:c>
    </x:row>
    <x:row r="19">
      <x:c r="A19" s="42" t="str">
        <x:v>적군</x:v>
      </x:c>
      <x:c r="B19" s="42" t="str">
        <x:v>아자르 삼국연합</x:v>
      </x:c>
      <x:c r="C19" s="42" t="str">
        <x:v>비인간형</x:v>
      </x:c>
      <x:c r="D19" s="42" t="str">
        <x:v>모래 전갈</x:v>
      </x:c>
      <x:c r="E19" s="42" t="str">
        <x:v>거대한 독전갈</x:v>
      </x:c>
      <x:c r="F19" s="42" t="str">
        <x:v>머리·몸통·꼬리/날개 중 1~2개 과장</x:v>
      </x:c>
      <x:c r="G19" s="42" t="str">
        <x:v>사막 황금색, 청록, 진홍, 검은 천</x:v>
      </x:c>
      <x:c r="H19" s="42" t="str">
        <x:v>모래 전갈: 거대한 독전갈. 독 지속피해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19" s="42" t="str">
        <x:v>복잡한 미세장식, 지나친 사실비율, 배경 포함</x:v>
      </x:c>
      <x:c r="J19" s="42" t="str">
        <x:v>Hard 변형은 검은 침식결정/붉은 균열광 추가</x:v>
      </x:c>
    </x:row>
    <x:row r="20">
      <x:c r="A20" s="42" t="str">
        <x:v>적군</x:v>
      </x:c>
      <x:c r="B20" s="42" t="str">
        <x:v>아자르 삼국연합</x:v>
      </x:c>
      <x:c r="C20" s="42" t="str">
        <x:v>비인간형</x:v>
      </x:c>
      <x:c r="D20" s="42" t="str">
        <x:v>사막 늑대</x:v>
      </x:c>
      <x:c r="E20" s="42" t="str">
        <x:v>황갈색 군집형 야수</x:v>
      </x:c>
      <x:c r="F20" s="42" t="str">
        <x:v>머리·몸통·꼬리/날개 중 1~2개 과장</x:v>
      </x:c>
      <x:c r="G20" s="42" t="str">
        <x:v>사막 황금색, 청록, 진홍, 검은 천</x:v>
      </x:c>
      <x:c r="H20" s="42" t="str">
        <x:v>사막 늑대: 황갈색 군집형 야수. 고속 물량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20" s="42" t="str">
        <x:v>복잡한 미세장식, 지나친 사실비율, 배경 포함</x:v>
      </x:c>
      <x:c r="J20" s="42" t="str">
        <x:v>Hard 변형은 검은 침식결정/붉은 균열광 추가</x:v>
      </x:c>
    </x:row>
    <x:row r="21">
      <x:c r="A21" s="42" t="str">
        <x:v>적군</x:v>
      </x:c>
      <x:c r="B21" s="42" t="str">
        <x:v>아자르 삼국연합</x:v>
      </x:c>
      <x:c r="C21" s="42" t="str">
        <x:v>비인간형</x:v>
      </x:c>
      <x:c r="D21" s="42" t="str">
        <x:v>갑각 풍뎅이</x:v>
      </x:c>
      <x:c r="E21" s="42" t="str">
        <x:v>단단한 갑각을 지닌 거대 풍뎅이</x:v>
      </x:c>
      <x:c r="F21" s="42" t="str">
        <x:v>머리·몸통·꼬리/날개 중 1~2개 과장</x:v>
      </x:c>
      <x:c r="G21" s="42" t="str">
        <x:v>사막 황금색, 청록, 진홍, 검은 천</x:v>
      </x:c>
      <x:c r="H21" s="42" t="str">
        <x:v>갑각 풍뎅이: 단단한 갑각을 지닌 거대 풍뎅이. 고방어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21" s="42" t="str">
        <x:v>복잡한 미세장식, 지나친 사실비율, 배경 포함</x:v>
      </x:c>
      <x:c r="J21" s="42" t="str">
        <x:v>Hard 변형은 검은 침식결정/붉은 균열광 추가</x:v>
      </x:c>
    </x:row>
    <x:row r="22">
      <x:c r="A22" s="42" t="str">
        <x:v>적군</x:v>
      </x:c>
      <x:c r="B22" s="42" t="str">
        <x:v>아자르 삼국연합</x:v>
      </x:c>
      <x:c r="C22" s="42" t="str">
        <x:v>비인간형</x:v>
      </x:c>
      <x:c r="D22" s="42" t="str">
        <x:v>모래망령</x:v>
      </x:c>
      <x:c r="E22" s="42" t="str">
        <x:v>사막에서 생긴 반투명 영체</x:v>
      </x:c>
      <x:c r="F22" s="42" t="str">
        <x:v>머리·몸통·꼬리/날개 중 1~2개 과장</x:v>
      </x:c>
      <x:c r="G22" s="42" t="str">
        <x:v>사막 황금색, 청록, 진홍, 검은 천</x:v>
      </x:c>
      <x:c r="H22" s="42" t="str">
        <x:v>모래망령: 사막에서 생긴 반투명 영체. 회피/물리저항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22" s="42" t="str">
        <x:v>복잡한 미세장식, 지나친 사실비율, 배경 포함</x:v>
      </x:c>
      <x:c r="J22" s="42" t="str">
        <x:v>Hard 변형은 검은 침식결정/붉은 균열광 추가</x:v>
      </x:c>
    </x:row>
    <x:row r="23">
      <x:c r="A23" s="42" t="str">
        <x:v>적군</x:v>
      </x:c>
      <x:c r="B23" s="42" t="str">
        <x:v>아자르 삼국연합</x:v>
      </x:c>
      <x:c r="C23" s="42" t="str">
        <x:v>비인간형</x:v>
      </x:c>
      <x:c r="D23" s="42" t="str">
        <x:v>화염 정령</x:v>
      </x:c>
      <x:c r="E23" s="42" t="str">
        <x:v>고열 마력으로 태어난 생명체</x:v>
      </x:c>
      <x:c r="F23" s="42" t="str">
        <x:v>머리·몸통·꼬리/날개 중 1~2개 과장</x:v>
      </x:c>
      <x:c r="G23" s="42" t="str">
        <x:v>사막 황금색, 청록, 진홍, 검은 천</x:v>
      </x:c>
      <x:c r="H23" s="42" t="str">
        <x:v>화염 정령: 고열 마력으로 태어난 생명체. 화염 저항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23" s="42" t="str">
        <x:v>복잡한 미세장식, 지나친 사실비율, 배경 포함</x:v>
      </x:c>
      <x:c r="J23" s="42" t="str">
        <x:v>Hard 변형은 검은 침식결정/붉은 균열광 추가</x:v>
      </x:c>
    </x:row>
    <x:row r="24">
      <x:c r="A24" s="42" t="str">
        <x:v>적군</x:v>
      </x:c>
      <x:c r="B24" s="42" t="str">
        <x:v>아자르 삼국연합</x:v>
      </x:c>
      <x:c r="C24" s="42" t="str">
        <x:v>비인간형</x:v>
      </x:c>
      <x:c r="D24" s="42" t="str">
        <x:v>고위 정령 이프리트</x:v>
      </x:c>
      <x:c r="E24" s="42" t="str">
        <x:v>푸르게 빛나는 화염정령의 수장</x:v>
      </x:c>
      <x:c r="F24" s="42" t="str">
        <x:v>머리·몸통·꼬리/날개 중 1~2개 과장</x:v>
      </x:c>
      <x:c r="G24" s="42" t="str">
        <x:v>사막 황금색, 청록, 진홍, 검은 천</x:v>
      </x:c>
      <x:c r="H24" s="42" t="str">
        <x:v>고위 정령 이프리트: 푸르게 빛나는 화염정령의 수장. 화염 저항 / 고방어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x:v>
      </x:c>
      <x:c r="I24" s="42" t="str">
        <x:v>복잡한 미세장식, 지나친 사실비율, 배경 포함</x:v>
      </x:c>
      <x:c r="J24" s="42" t="str">
        <x:v>Hard 변형은 검은 침식결정/붉은 균열광 추가</x:v>
      </x:c>
    </x:row>
    <x:row r="25">
      <x:c r="A25" s="42" t="str">
        <x:v>적군</x:v>
      </x:c>
      <x:c r="B25" s="42" t="str">
        <x:v>해륜왕국</x:v>
      </x:c>
      <x:c r="C25" s="42" t="str">
        <x:v>인간형</x:v>
      </x:c>
      <x:c r="D25" s="42" t="str">
        <x:v>해적 검객</x:v>
      </x:c>
      <x:c r="E25" s="42" t="str">
        <x:v>약탈선 출신의 근접 전투원</x:v>
      </x:c>
      <x:c r="F25" s="42" t="str">
        <x:v>무기/장비 중심의 직관적 실루엣</x:v>
      </x:c>
      <x:c r="G25" s="42" t="str">
        <x:v>남색, 청록, 백색, 붉은 끈 장식</x:v>
      </x:c>
      <x:c r="H25" s="42" t="str">
        <x:v>해적 검객: 약탈선 출신의 근접 전투원. 기본 보병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x:v>
      </x:c>
      <x:c r="I25" s="42" t="str">
        <x:v>복잡한 미세장식, 지나친 사실비율, 배경 포함</x:v>
      </x:c>
      <x:c r="J25" s="42" t="str">
        <x:v>Hard 변형은 검은 침식결정/붉은 균열광 추가</x:v>
      </x:c>
    </x:row>
    <x:row r="26">
      <x:c r="A26" s="42" t="str">
        <x:v>적군</x:v>
      </x:c>
      <x:c r="B26" s="42" t="str">
        <x:v>해륜왕국</x:v>
      </x:c>
      <x:c r="C26" s="42" t="str">
        <x:v>인간형</x:v>
      </x:c>
      <x:c r="D26" s="42" t="str">
        <x:v>파도 도적</x:v>
      </x:c>
      <x:c r="E26" s="42" t="str">
        <x:v>해안 침투와 기습에 특화된 도적</x:v>
      </x:c>
      <x:c r="F26" s="42" t="str">
        <x:v>무기/장비 중심의 직관적 실루엣</x:v>
      </x:c>
      <x:c r="G26" s="42" t="str">
        <x:v>남색, 청록, 백색, 붉은 끈 장식</x:v>
      </x:c>
      <x:c r="H26" s="42" t="str">
        <x:v>파도 도적: 해안 침투와 기습에 특화된 도적. 고속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x:v>
      </x:c>
      <x:c r="I26" s="42" t="str">
        <x:v>복잡한 미세장식, 지나친 사실비율, 배경 포함</x:v>
      </x:c>
      <x:c r="J26" s="42" t="str">
        <x:v>Hard 변형은 검은 침식결정/붉은 균열광 추가</x:v>
      </x:c>
    </x:row>
    <x:row r="27">
      <x:c r="A27" s="42" t="str">
        <x:v>적군</x:v>
      </x:c>
      <x:c r="B27" s="42" t="str">
        <x:v>해륜왕국</x:v>
      </x:c>
      <x:c r="C27" s="42" t="str">
        <x:v>인간형</x:v>
      </x:c>
      <x:c r="D27" s="42" t="str">
        <x:v>밀수 궁수</x:v>
      </x:c>
      <x:c r="E27" s="42" t="str">
        <x:v>항구 범죄조직의 원거리 전투원</x:v>
      </x:c>
      <x:c r="F27" s="42" t="str">
        <x:v>무기/장비 중심의 직관적 실루엣</x:v>
      </x:c>
      <x:c r="G27" s="42" t="str">
        <x:v>남색, 청록, 백색, 붉은 끈 장식</x:v>
      </x:c>
      <x:c r="H27" s="42" t="str">
        <x:v>밀수 궁수: 항구 범죄조직의 원거리 전투원. 원거리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x:v>
      </x:c>
      <x:c r="I27" s="42" t="str">
        <x:v>복잡한 미세장식, 지나친 사실비율, 배경 포함</x:v>
      </x:c>
      <x:c r="J27" s="42" t="str">
        <x:v>Hard 변형은 검은 침식결정/붉은 균열광 추가</x:v>
      </x:c>
    </x:row>
    <x:row r="28">
      <x:c r="A28" s="42" t="str">
        <x:v>적군</x:v>
      </x:c>
      <x:c r="B28" s="42" t="str">
        <x:v>해륜왕국</x:v>
      </x:c>
      <x:c r="C28" s="42" t="str">
        <x:v>인간형</x:v>
      </x:c>
      <x:c r="D28" s="42" t="str">
        <x:v>폭약 해적</x:v>
      </x:c>
      <x:c r="E28" s="42" t="str">
        <x:v>화약통과 폭탄을 사용하는 해적</x:v>
      </x:c>
      <x:c r="F28" s="42" t="str">
        <x:v>무기/장비 중심의 직관적 실루엣</x:v>
      </x:c>
      <x:c r="G28" s="42" t="str">
        <x:v>남색, 청록, 백색, 붉은 끈 장식</x:v>
      </x:c>
      <x:c r="H28" s="42" t="str">
        <x:v>폭약 해적: 화약통과 폭탄을 사용하는 해적. 광역 폭발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x:v>
      </x:c>
      <x:c r="I28" s="42" t="str">
        <x:v>복잡한 미세장식, 지나친 사실비율, 배경 포함</x:v>
      </x:c>
      <x:c r="J28" s="42" t="str">
        <x:v>Hard 변형은 검은 침식결정/붉은 균열광 추가</x:v>
      </x:c>
    </x:row>
    <x:row r="29">
      <x:c r="A29" s="42" t="str">
        <x:v>적군</x:v>
      </x:c>
      <x:c r="B29" s="42" t="str">
        <x:v>해륜왕국</x:v>
      </x:c>
      <x:c r="C29" s="42" t="str">
        <x:v>인간형</x:v>
      </x:c>
      <x:c r="D29" s="42" t="str">
        <x:v>그림자 닌자</x:v>
      </x:c>
      <x:c r="E29" s="42" t="str">
        <x:v>해안에 잠입하는 암살자</x:v>
      </x:c>
      <x:c r="F29" s="42" t="str">
        <x:v>무기/장비 중심의 직관적 실루엣</x:v>
      </x:c>
      <x:c r="G29" s="42" t="str">
        <x:v>남색, 청록, 백색, 붉은 끈 장식</x:v>
      </x:c>
      <x:c r="H29" s="42" t="str">
        <x:v>그림자 닌자: 해안에 잠입하는 암살자. 일시 은신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x:v>
      </x:c>
      <x:c r="I29" s="42" t="str">
        <x:v>복잡한 미세장식, 지나친 사실비율, 배경 포함</x:v>
      </x:c>
      <x:c r="J29" s="42" t="str">
        <x:v>Hard 변형은 검은 침식결정/붉은 균열광 추가</x:v>
      </x:c>
    </x:row>
    <x:row r="30">
      <x:c r="A30" s="42" t="str">
        <x:v>적군</x:v>
      </x:c>
      <x:c r="B30" s="42" t="str">
        <x:v>해륜왕국</x:v>
      </x:c>
      <x:c r="C30" s="42" t="str">
        <x:v>비인간형</x:v>
      </x:c>
      <x:c r="D30" s="42" t="str">
        <x:v>철갑 바다게</x:v>
      </x:c>
      <x:c r="E30" s="42" t="str">
        <x:v>단단한 갑각을 가진 거대 해양 생물</x:v>
      </x:c>
      <x:c r="F30" s="42" t="str">
        <x:v>머리·몸통·꼬리/날개 중 1~2개 과장</x:v>
      </x:c>
      <x:c r="G30" s="42" t="str">
        <x:v>남색, 청록, 백색, 붉은 끈 장식</x:v>
      </x:c>
      <x:c r="H30" s="42" t="str">
        <x:v>철갑 바다게: 단단한 갑각을 가진 거대 해양 생물. 고방어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0" s="42" t="str">
        <x:v>복잡한 미세장식, 지나친 사실비율, 배경 포함</x:v>
      </x:c>
      <x:c r="J30" s="42" t="str">
        <x:v>Hard 변형은 검은 침식결정/붉은 균열광 추가</x:v>
      </x:c>
    </x:row>
    <x:row r="31">
      <x:c r="A31" s="42" t="str">
        <x:v>적군</x:v>
      </x:c>
      <x:c r="B31" s="42" t="str">
        <x:v>해륜왕국</x:v>
      </x:c>
      <x:c r="C31" s="42" t="str">
        <x:v>비인간형</x:v>
      </x:c>
      <x:c r="D31" s="42" t="str">
        <x:v>해룡 치어</x:v>
      </x:c>
      <x:c r="E31" s="42" t="str">
        <x:v>작은 동양 용 형태의 해양 생물</x:v>
      </x:c>
      <x:c r="F31" s="42" t="str">
        <x:v>머리·몸통·꼬리/날개 중 1~2개 과장</x:v>
      </x:c>
      <x:c r="G31" s="42" t="str">
        <x:v>남색, 청록, 백색, 붉은 끈 장식</x:v>
      </x:c>
      <x:c r="H31" s="42" t="str">
        <x:v>해룡 치어: 작은 동양 용 형태의 해양 생물. 공중/고속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1" s="42" t="str">
        <x:v>복잡한 미세장식, 지나친 사실비율, 배경 포함</x:v>
      </x:c>
      <x:c r="J31" s="42" t="str">
        <x:v>Hard 변형은 검은 침식결정/붉은 균열광 추가</x:v>
      </x:c>
    </x:row>
    <x:row r="32">
      <x:c r="A32" s="42" t="str">
        <x:v>적군</x:v>
      </x:c>
      <x:c r="B32" s="42" t="str">
        <x:v>해륜왕국</x:v>
      </x:c>
      <x:c r="C32" s="42" t="str">
        <x:v>비인간형</x:v>
      </x:c>
      <x:c r="D32" s="42" t="str">
        <x:v>물귀신</x:v>
      </x:c>
      <x:c r="E32" s="42" t="str">
        <x:v>익사자의 영혼이 변한 수중 망령</x:v>
      </x:c>
      <x:c r="F32" s="42" t="str">
        <x:v>머리·몸통·꼬리/날개 중 1~2개 과장</x:v>
      </x:c>
      <x:c r="G32" s="42" t="str">
        <x:v>남색, 청록, 백색, 붉은 끈 장식</x:v>
      </x:c>
      <x:c r="H32" s="42" t="str">
        <x:v>물귀신: 익사자의 영혼이 변한 수중 망령. 특수 이동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2" s="42" t="str">
        <x:v>복잡한 미세장식, 지나친 사실비율, 배경 포함</x:v>
      </x:c>
      <x:c r="J32" s="42" t="str">
        <x:v>Hard 변형은 검은 침식결정/붉은 균열광 추가</x:v>
      </x:c>
    </x:row>
    <x:row r="33">
      <x:c r="A33" s="42" t="str">
        <x:v>적군</x:v>
      </x:c>
      <x:c r="B33" s="42" t="str">
        <x:v>해륜왕국</x:v>
      </x:c>
      <x:c r="C33" s="42" t="str">
        <x:v>비인간형</x:v>
      </x:c>
      <x:c r="D33" s="42" t="str">
        <x:v>해파리 정령</x:v>
      </x:c>
      <x:c r="E33" s="42" t="str">
        <x:v>마력성 해파리형 생물</x:v>
      </x:c>
      <x:c r="F33" s="42" t="str">
        <x:v>머리·몸통·꼬리/날개 중 1~2개 과장</x:v>
      </x:c>
      <x:c r="G33" s="42" t="str">
        <x:v>남색, 청록, 백색, 붉은 끈 장식</x:v>
      </x:c>
      <x:c r="H33" s="42" t="str">
        <x:v>해파리 정령: 마력성 해파리형 생물. 감속/마비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3" s="42" t="str">
        <x:v>복잡한 미세장식, 지나친 사실비율, 배경 포함</x:v>
      </x:c>
      <x:c r="J33" s="42" t="str">
        <x:v>Hard 변형은 검은 침식결정/붉은 균열광 추가</x:v>
      </x:c>
    </x:row>
    <x:row r="34">
      <x:c r="A34" s="42" t="str">
        <x:v>적군</x:v>
      </x:c>
      <x:c r="B34" s="42" t="str">
        <x:v>해륜왕국</x:v>
      </x:c>
      <x:c r="C34" s="42" t="str">
        <x:v>비인간형</x:v>
      </x:c>
      <x:c r="D34" s="42" t="str">
        <x:v>심해 촉수수</x:v>
      </x:c>
      <x:c r="E34" s="42" t="str">
        <x:v>육지까지 기어오는 해양 괴물</x:v>
      </x:c>
      <x:c r="F34" s="42" t="str">
        <x:v>머리·몸통·꼬리/날개 중 1~2개 과장</x:v>
      </x:c>
      <x:c r="G34" s="42" t="str">
        <x:v>남색, 청록, 백색, 붉은 끈 장식</x:v>
      </x:c>
      <x:c r="H34" s="42" t="str">
        <x:v>심해 촉수수: 육지까지 기어오는 해양 괴물. 방어벽 압박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4" s="42" t="str">
        <x:v>복잡한 미세장식, 지나친 사실비율, 배경 포함</x:v>
      </x:c>
      <x:c r="J34" s="42" t="str">
        <x:v>Hard 변형은 검은 침식결정/붉은 균열광 추가</x:v>
      </x:c>
    </x:row>
    <x:row r="35">
      <x:c r="A35" s="42" t="str">
        <x:v>적군</x:v>
      </x:c>
      <x:c r="B35" s="42" t="str">
        <x:v>해륜왕국</x:v>
      </x:c>
      <x:c r="C35" s="42" t="str">
        <x:v>비인간형</x:v>
      </x:c>
      <x:c r="D35" s="42" t="str">
        <x:v>심연의 고르라켄</x:v>
      </x:c>
      <x:c r="E35" s="42" t="str">
        <x:v>해양 괴물들의 왕</x:v>
      </x:c>
      <x:c r="F35" s="42" t="str">
        <x:v>머리·몸통·꼬리/날개 중 1~2개 과장</x:v>
      </x:c>
      <x:c r="G35" s="42" t="str">
        <x:v>남색, 청록, 백색, 붉은 끈 장식</x:v>
      </x:c>
      <x:c r="H35" s="42" t="str">
        <x:v>심연의 고르라켄: 해양 괴물들의 왕. 방어벽 무효 / 고HP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x:v>
      </x:c>
      <x:c r="I35" s="42" t="str">
        <x:v>복잡한 미세장식, 지나친 사실비율, 배경 포함</x:v>
      </x:c>
      <x:c r="J35" s="42" t="str">
        <x:v>Hard 변형은 검은 침식결정/붉은 균열광 추가</x:v>
      </x:c>
    </x:row>
    <x:row r="36">
      <x:c r="A36" s="42" t="str">
        <x:v>적군</x:v>
      </x:c>
      <x:c r="B36" s="42" t="str">
        <x:v>벨로자르 제국</x:v>
      </x:c>
      <x:c r="C36" s="42" t="str">
        <x:v>인간형</x:v>
      </x:c>
      <x:c r="D36" s="42" t="str">
        <x:v>설원 약탈자</x:v>
      </x:c>
      <x:c r="E36" s="42" t="str">
        <x:v>혹한 지역의 무장 도적</x:v>
      </x:c>
      <x:c r="F36" s="42" t="str">
        <x:v>무기/장비 중심의 직관적 실루엣</x:v>
      </x:c>
      <x:c r="G36" s="42" t="str">
        <x:v>빙청색, 은색, 짙은 남색, 자주색</x:v>
      </x:c>
      <x:c r="H36" s="42" t="str">
        <x:v>설원 약탈자: 혹한 지역의 무장 도적. 기본 보병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x:v>
      </x:c>
      <x:c r="I36" s="42" t="str">
        <x:v>복잡한 미세장식, 지나친 사실비율, 배경 포함</x:v>
      </x:c>
      <x:c r="J36" s="42" t="str">
        <x:v>Hard 변형은 검은 침식결정/붉은 균열광 추가</x:v>
      </x:c>
    </x:row>
    <x:row r="37">
      <x:c r="A37" s="42" t="str">
        <x:v>적군</x:v>
      </x:c>
      <x:c r="B37" s="42" t="str">
        <x:v>벨로자르 제국</x:v>
      </x:c>
      <x:c r="C37" s="42" t="str">
        <x:v>인간형</x:v>
      </x:c>
      <x:c r="D37" s="42" t="str">
        <x:v>탈영 중갑병</x:v>
      </x:c>
      <x:c r="E37" s="42" t="str">
        <x:v>제국군을 이탈한 중갑 용병</x:v>
      </x:c>
      <x:c r="F37" s="42" t="str">
        <x:v>무기/장비 중심의 직관적 실루엣</x:v>
      </x:c>
      <x:c r="G37" s="42" t="str">
        <x:v>빙청색, 은색, 짙은 남색, 자주색</x:v>
      </x:c>
      <x:c r="H37" s="42" t="str">
        <x:v>탈영 중갑병: 제국군을 이탈한 중갑 용병. 중갑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x:v>
      </x:c>
      <x:c r="I37" s="42" t="str">
        <x:v>복잡한 미세장식, 지나친 사실비율, 배경 포함</x:v>
      </x:c>
      <x:c r="J37" s="42" t="str">
        <x:v>Hard 변형은 검은 침식결정/붉은 균열광 추가</x:v>
      </x:c>
    </x:row>
    <x:row r="38">
      <x:c r="A38" s="42" t="str">
        <x:v>적군</x:v>
      </x:c>
      <x:c r="B38" s="42" t="str">
        <x:v>벨로자르 제국</x:v>
      </x:c>
      <x:c r="C38" s="42" t="str">
        <x:v>인간형</x:v>
      </x:c>
      <x:c r="D38" s="42" t="str">
        <x:v>빙원 사냥꾼</x:v>
      </x:c>
      <x:c r="E38" s="42" t="str">
        <x:v>활·석궁을 쓰는 불법 밀렵꾼</x:v>
      </x:c>
      <x:c r="F38" s="42" t="str">
        <x:v>무기/장비 중심의 직관적 실루엣</x:v>
      </x:c>
      <x:c r="G38" s="42" t="str">
        <x:v>빙청색, 은색, 짙은 남색, 자주색</x:v>
      </x:c>
      <x:c r="H38" s="42" t="str">
        <x:v>빙원 사냥꾼: 활·석궁을 쓰는 불법 밀렵꾼. 원거리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x:v>
      </x:c>
      <x:c r="I38" s="42" t="str">
        <x:v>복잡한 미세장식, 지나친 사실비율, 배경 포함</x:v>
      </x:c>
      <x:c r="J38" s="42" t="str">
        <x:v>Hard 변형은 검은 침식결정/붉은 균열광 추가</x:v>
      </x:c>
    </x:row>
    <x:row r="39">
      <x:c r="A39" s="42" t="str">
        <x:v>적군</x:v>
      </x:c>
      <x:c r="B39" s="42" t="str">
        <x:v>벨로자르 제국</x:v>
      </x:c>
      <x:c r="C39" s="42" t="str">
        <x:v>인간형</x:v>
      </x:c>
      <x:c r="D39" s="42" t="str">
        <x:v>동토 광전사</x:v>
      </x:c>
      <x:c r="E39" s="42" t="str">
        <x:v>버려진 전사 집단</x:v>
      </x:c>
      <x:c r="F39" s="42" t="str">
        <x:v>무기/장비 중심의 직관적 실루엣</x:v>
      </x:c>
      <x:c r="G39" s="42" t="str">
        <x:v>빙청색, 은색, 짙은 남색, 자주색</x:v>
      </x:c>
      <x:c r="H39" s="42" t="str">
        <x:v>동토 광전사: 버려진 전사 집단. 저HP 광폭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x:v>
      </x:c>
      <x:c r="I39" s="42" t="str">
        <x:v>복잡한 미세장식, 지나친 사실비율, 배경 포함</x:v>
      </x:c>
      <x:c r="J39" s="42" t="str">
        <x:v>Hard 변형은 검은 침식결정/붉은 균열광 추가</x:v>
      </x:c>
    </x:row>
    <x:row r="40">
      <x:c r="A40" s="42" t="str">
        <x:v>적군</x:v>
      </x:c>
      <x:c r="B40" s="42" t="str">
        <x:v>벨로자르 제국</x:v>
      </x:c>
      <x:c r="C40" s="42" t="str">
        <x:v>인간형</x:v>
      </x:c>
      <x:c r="D40" s="42" t="str">
        <x:v>금단 주술사</x:v>
      </x:c>
      <x:c r="E40" s="42" t="str">
        <x:v>설원 금단술을 사용하는 이단 주술사</x:v>
      </x:c>
      <x:c r="F40" s="42" t="str">
        <x:v>무기/장비 중심의 직관적 실루엣</x:v>
      </x:c>
      <x:c r="G40" s="42" t="str">
        <x:v>빙청색, 은색, 짙은 남색, 자주색</x:v>
      </x:c>
      <x:c r="H40" s="42" t="str">
        <x:v>금단 주술사: 설원 금단술을 사용하는 이단 주술사. 적 버프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x:v>
      </x:c>
      <x:c r="I40" s="42" t="str">
        <x:v>복잡한 미세장식, 지나친 사실비율, 배경 포함</x:v>
      </x:c>
      <x:c r="J40" s="42" t="str">
        <x:v>Hard 변형은 검은 침식결정/붉은 균열광 추가</x:v>
      </x:c>
    </x:row>
    <x:row r="41">
      <x:c r="A41" s="42" t="str">
        <x:v>적군</x:v>
      </x:c>
      <x:c r="B41" s="42" t="str">
        <x:v>벨로자르 제국</x:v>
      </x:c>
      <x:c r="C41" s="42" t="str">
        <x:v>비인간형</x:v>
      </x:c>
      <x:c r="D41" s="42" t="str">
        <x:v>설원 늑대</x:v>
      </x:c>
      <x:c r="E41" s="42" t="str">
        <x:v>백색 군집형 야수</x:v>
      </x:c>
      <x:c r="F41" s="42" t="str">
        <x:v>머리·몸통·꼬리/날개 중 1~2개 과장</x:v>
      </x:c>
      <x:c r="G41" s="42" t="str">
        <x:v>빙청색, 은색, 짙은 남색, 자주색</x:v>
      </x:c>
      <x:c r="H41" s="42" t="str">
        <x:v>설원 늑대: 백색 군집형 야수. 고속 물량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1" s="42" t="str">
        <x:v>복잡한 미세장식, 지나친 사실비율, 배경 포함</x:v>
      </x:c>
      <x:c r="J41" s="42" t="str">
        <x:v>Hard 변형은 검은 침식결정/붉은 균열광 추가</x:v>
      </x:c>
    </x:row>
    <x:row r="42">
      <x:c r="A42" s="42" t="str">
        <x:v>적군</x:v>
      </x:c>
      <x:c r="B42" s="42" t="str">
        <x:v>벨로자르 제국</x:v>
      </x:c>
      <x:c r="C42" s="42" t="str">
        <x:v>비인간형</x:v>
      </x:c>
      <x:c r="D42" s="42" t="str">
        <x:v>동토 곰</x:v>
      </x:c>
      <x:c r="E42" s="42" t="str">
        <x:v>거대한 설원 곰</x:v>
      </x:c>
      <x:c r="F42" s="42" t="str">
        <x:v>머리·몸통·꼬리/날개 중 1~2개 과장</x:v>
      </x:c>
      <x:c r="G42" s="42" t="str">
        <x:v>빙청색, 은색, 짙은 남색, 자주색</x:v>
      </x:c>
      <x:c r="H42" s="42" t="str">
        <x:v>동토 곰: 거대한 설원 곰. 고HP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2" s="42" t="str">
        <x:v>복잡한 미세장식, 지나친 사실비율, 배경 포함</x:v>
      </x:c>
      <x:c r="J42" s="42" t="str">
        <x:v>Hard 변형은 검은 침식결정/붉은 균열광 추가</x:v>
      </x:c>
    </x:row>
    <x:row r="43">
      <x:c r="A43" s="42" t="str">
        <x:v>적군</x:v>
      </x:c>
      <x:c r="B43" s="42" t="str">
        <x:v>벨로자르 제국</x:v>
      </x:c>
      <x:c r="C43" s="42" t="str">
        <x:v>비인간형</x:v>
      </x:c>
      <x:c r="D43" s="42" t="str">
        <x:v>빙갑 정령</x:v>
      </x:c>
      <x:c r="E43" s="42" t="str">
        <x:v>얼음 갑피를 두른 정령</x:v>
      </x:c>
      <x:c r="F43" s="42" t="str">
        <x:v>머리·몸통·꼬리/날개 중 1~2개 과장</x:v>
      </x:c>
      <x:c r="G43" s="42" t="str">
        <x:v>빙청색, 은색, 짙은 남색, 자주색</x:v>
      </x:c>
      <x:c r="H43" s="42" t="str">
        <x:v>빙갑 정령: 얼음 갑피를 두른 정령. 고방어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3" s="42" t="str">
        <x:v>복잡한 미세장식, 지나친 사실비율, 배경 포함</x:v>
      </x:c>
      <x:c r="J43" s="42" t="str">
        <x:v>Hard 변형은 검은 침식결정/붉은 균열광 추가</x:v>
      </x:c>
    </x:row>
    <x:row r="44">
      <x:c r="A44" s="42" t="str">
        <x:v>적군</x:v>
      </x:c>
      <x:c r="B44" s="42" t="str">
        <x:v>벨로자르 제국</x:v>
      </x:c>
      <x:c r="C44" s="42" t="str">
        <x:v>비인간형</x:v>
      </x:c>
      <x:c r="D44" s="42" t="str">
        <x:v>설산 독수리</x:v>
      </x:c>
      <x:c r="E44" s="42" t="str">
        <x:v>설산을 나는 대형 포식조</x:v>
      </x:c>
      <x:c r="F44" s="42" t="str">
        <x:v>머리·몸통·꼬리/날개 중 1~2개 과장</x:v>
      </x:c>
      <x:c r="G44" s="42" t="str">
        <x:v>빙청색, 은색, 짙은 남색, 자주색</x:v>
      </x:c>
      <x:c r="H44" s="42" t="str">
        <x:v>설산 독수리: 설산을 나는 대형 포식조. 공중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4" s="42" t="str">
        <x:v>복잡한 미세장식, 지나친 사실비율, 배경 포함</x:v>
      </x:c>
      <x:c r="J44" s="42" t="str">
        <x:v>Hard 변형은 검은 침식결정/붉은 균열광 추가</x:v>
      </x:c>
    </x:row>
    <x:row r="45">
      <x:c r="A45" s="42" t="str">
        <x:v>적군</x:v>
      </x:c>
      <x:c r="B45" s="42" t="str">
        <x:v>벨로자르 제국</x:v>
      </x:c>
      <x:c r="C45" s="42" t="str">
        <x:v>비인간형</x:v>
      </x:c>
      <x:c r="D45" s="42" t="str">
        <x:v>서리 골렘</x:v>
      </x:c>
      <x:c r="E45" s="42" t="str">
        <x:v>얼어붙은 거대 마력체</x:v>
      </x:c>
      <x:c r="F45" s="42" t="str">
        <x:v>머리·몸통·꼬리/날개 중 1~2개 과장</x:v>
      </x:c>
      <x:c r="G45" s="42" t="str">
        <x:v>빙청색, 은색, 짙은 남색, 자주색</x:v>
      </x:c>
      <x:c r="H45" s="42" t="str">
        <x:v>서리 골렘: 얼어붙은 거대 마력체. 방어벽 파괴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5" s="42" t="str">
        <x:v>복잡한 미세장식, 지나친 사실비율, 배경 포함</x:v>
      </x:c>
      <x:c r="J45" s="42" t="str">
        <x:v>Hard 변형은 검은 침식결정/붉은 균열광 추가</x:v>
      </x:c>
    </x:row>
    <x:row r="46">
      <x:c r="A46" s="42" t="str">
        <x:v>적군</x:v>
      </x:c>
      <x:c r="B46" s="42" t="str">
        <x:v>벨로자르 제국</x:v>
      </x:c>
      <x:c r="C46" s="42" t="str">
        <x:v>비인간형</x:v>
      </x:c>
      <x:c r="D46" s="42" t="str">
        <x:v>무언의 사로스</x:v>
      </x:c>
      <x:c r="E46" s="42" t="str">
        <x:v>서리 골렘 다수가 결합하여 탄생한 마력괴수</x:v>
      </x:c>
      <x:c r="F46" s="42" t="str">
        <x:v>머리·몸통·꼬리/날개 중 1~2개 과장</x:v>
      </x:c>
      <x:c r="G46" s="42" t="str">
        <x:v>빙청색, 은색, 짙은 남색, 자주색</x:v>
      </x:c>
      <x:c r="H46" s="42" t="str">
        <x:v>무언의 사로스: 서리 골렘 다수가 결합하여 탄생한 마력괴수. 방어벽 무효 / 고hp / 캐릭터 빙결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x:v>
      </x:c>
      <x:c r="I46" s="42" t="str">
        <x:v>복잡한 미세장식, 지나친 사실비율, 배경 포함</x:v>
      </x:c>
      <x:c r="J46" s="42" t="str">
        <x:v>Hard 변형은 검은 침식결정/붉은 균열광 추가</x:v>
      </x:c>
    </x:row>
    <x:row r="47">
      <x:c r="A47" s="42" t="str">
        <x:v>적군</x:v>
      </x:c>
      <x:c r="B47" s="42" t="str">
        <x:v>생트아르크 교황령</x:v>
      </x:c>
      <x:c r="C47" s="42" t="str">
        <x:v>인간형</x:v>
      </x:c>
      <x:c r="D47" s="42" t="str">
        <x:v>이단 광신도</x:v>
      </x:c>
      <x:c r="E47" s="42" t="str">
        <x:v>왜곡된 신앙을 따르는 추종자</x:v>
      </x:c>
      <x:c r="F47" s="42" t="str">
        <x:v>무기/장비 중심의 직관적 실루엣</x:v>
      </x:c>
      <x:c r="G47" s="42" t="str">
        <x:v>상아색, 금색, 검은 성직복, 자주색</x:v>
      </x:c>
      <x:c r="H47" s="42" t="str">
        <x:v>이단 광신도: 왜곡된 신앙을 따르는 추종자. 기본 물량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x:v>
      </x:c>
      <x:c r="I47" s="42" t="str">
        <x:v>복잡한 미세장식, 지나친 사실비율, 배경 포함</x:v>
      </x:c>
      <x:c r="J47" s="42" t="str">
        <x:v>Hard 변형은 검은 침식결정/붉은 균열광 추가</x:v>
      </x:c>
    </x:row>
    <x:row r="48">
      <x:c r="A48" s="42" t="str">
        <x:v>적군</x:v>
      </x:c>
      <x:c r="B48" s="42" t="str">
        <x:v>생트아르크 교황령</x:v>
      </x:c>
      <x:c r="C48" s="42" t="str">
        <x:v>인간형</x:v>
      </x:c>
      <x:c r="D48" s="42" t="str">
        <x:v>배교 기사</x:v>
      </x:c>
      <x:c r="E48" s="42" t="str">
        <x:v>교단을 등진 중갑 전투원</x:v>
      </x:c>
      <x:c r="F48" s="42" t="str">
        <x:v>무기/장비 중심의 직관적 실루엣</x:v>
      </x:c>
      <x:c r="G48" s="42" t="str">
        <x:v>상아색, 금색, 검은 성직복, 자주색</x:v>
      </x:c>
      <x:c r="H48" s="42" t="str">
        <x:v>배교 기사: 교단을 등진 중갑 전투원. 중갑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x:v>
      </x:c>
      <x:c r="I48" s="42" t="str">
        <x:v>복잡한 미세장식, 지나친 사실비율, 배경 포함</x:v>
      </x:c>
      <x:c r="J48" s="42" t="str">
        <x:v>Hard 변형은 검은 침식결정/붉은 균열광 추가</x:v>
      </x:c>
    </x:row>
    <x:row r="49">
      <x:c r="A49" s="42" t="str">
        <x:v>적군</x:v>
      </x:c>
      <x:c r="B49" s="42" t="str">
        <x:v>생트아르크 교황령</x:v>
      </x:c>
      <x:c r="C49" s="42" t="str">
        <x:v>인간형</x:v>
      </x:c>
      <x:c r="D49" s="42" t="str">
        <x:v>금단 심문관</x:v>
      </x:c>
      <x:c r="E49" s="42" t="str">
        <x:v>불법 처형과 고문을 행하는 심문관</x:v>
      </x:c>
      <x:c r="F49" s="42" t="str">
        <x:v>무기/장비 중심의 직관적 실루엣</x:v>
      </x:c>
      <x:c r="G49" s="42" t="str">
        <x:v>상아색, 금색, 검은 성직복, 자주색</x:v>
      </x:c>
      <x:c r="H49" s="42" t="str">
        <x:v>금단 심문관: 불법 처형과 고문을 행하는 심문관. 방어벽 특화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x:v>
      </x:c>
      <x:c r="I49" s="42" t="str">
        <x:v>복잡한 미세장식, 지나친 사실비율, 배경 포함</x:v>
      </x:c>
      <x:c r="J49" s="42" t="str">
        <x:v>Hard 변형은 검은 침식결정/붉은 균열광 추가</x:v>
      </x:c>
    </x:row>
    <x:row r="50">
      <x:c r="A50" s="42" t="str">
        <x:v>적군</x:v>
      </x:c>
      <x:c r="B50" s="42" t="str">
        <x:v>생트아르크 교황령</x:v>
      </x:c>
      <x:c r="C50" s="42" t="str">
        <x:v>인간형</x:v>
      </x:c>
      <x:c r="D50" s="42" t="str">
        <x:v>타락 사제</x:v>
      </x:c>
      <x:c r="E50" s="42" t="str">
        <x:v>성력을 왜곡해 사용하는 사제</x:v>
      </x:c>
      <x:c r="F50" s="42" t="str">
        <x:v>무기/장비 중심의 직관적 실루엣</x:v>
      </x:c>
      <x:c r="G50" s="42" t="str">
        <x:v>상아색, 금색, 검은 성직복, 자주색</x:v>
      </x:c>
      <x:c r="H50" s="42" t="str">
        <x:v>타락 사제: 성력을 왜곡해 사용하는 사제. 적 회복/버프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x:v>
      </x:c>
      <x:c r="I50" s="42" t="str">
        <x:v>복잡한 미세장식, 지나친 사실비율, 배경 포함</x:v>
      </x:c>
      <x:c r="J50" s="42" t="str">
        <x:v>Hard 변형은 검은 침식결정/붉은 균열광 추가</x:v>
      </x:c>
    </x:row>
    <x:row r="51">
      <x:c r="A51" s="42" t="str">
        <x:v>적군</x:v>
      </x:c>
      <x:c r="B51" s="42" t="str">
        <x:v>생트아르크 교황령</x:v>
      </x:c>
      <x:c r="C51" s="42" t="str">
        <x:v>인간형</x:v>
      </x:c>
      <x:c r="D51" s="42" t="str">
        <x:v>순교 광신자</x:v>
      </x:c>
      <x:c r="E51" s="42" t="str">
        <x:v>죽음을 두려워하지 않는 폭주형 추종자</x:v>
      </x:c>
      <x:c r="F51" s="42" t="str">
        <x:v>무기/장비 중심의 직관적 실루엣</x:v>
      </x:c>
      <x:c r="G51" s="42" t="str">
        <x:v>상아색, 금색, 검은 성직복, 자주색</x:v>
      </x:c>
      <x:c r="H51" s="42" t="str">
        <x:v>순교 광신자: 죽음을 두려워하지 않는 폭주형 추종자. 사망 시 주변 적 강화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x:v>
      </x:c>
      <x:c r="I51" s="42" t="str">
        <x:v>복잡한 미세장식, 지나친 사실비율, 배경 포함</x:v>
      </x:c>
      <x:c r="J51" s="42" t="str">
        <x:v>Hard 변형은 검은 침식결정/붉은 균열광 추가</x:v>
      </x:c>
    </x:row>
    <x:row r="52">
      <x:c r="A52" s="42" t="str">
        <x:v>적군</x:v>
      </x:c>
      <x:c r="B52" s="42" t="str">
        <x:v>생트아르크 교황령</x:v>
      </x:c>
      <x:c r="C52" s="42" t="str">
        <x:v>비인간형</x:v>
      </x:c>
      <x:c r="D52" s="42" t="str">
        <x:v>성당 가고일</x:v>
      </x:c>
      <x:c r="E52" s="42" t="str">
        <x:v>살아 움직이는 석상 괴물</x:v>
      </x:c>
      <x:c r="F52" s="42" t="str">
        <x:v>머리·몸통·꼬리/날개 중 1~2개 과장</x:v>
      </x:c>
      <x:c r="G52" s="42" t="str">
        <x:v>상아색, 금색, 검은 성직복, 자주색</x:v>
      </x:c>
      <x:c r="H52" s="42" t="str">
        <x:v>성당 가고일: 살아 움직이는 석상 괴물. 공중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2" s="42" t="str">
        <x:v>복잡한 미세장식, 지나친 사실비율, 배경 포함</x:v>
      </x:c>
      <x:c r="J52" s="42" t="str">
        <x:v>Hard 변형은 검은 침식결정/붉은 균열광 추가</x:v>
      </x:c>
    </x:row>
    <x:row r="53">
      <x:c r="A53" s="42" t="str">
        <x:v>적군</x:v>
      </x:c>
      <x:c r="B53" s="42" t="str">
        <x:v>생트아르크 교황령</x:v>
      </x:c>
      <x:c r="C53" s="42" t="str">
        <x:v>비인간형</x:v>
      </x:c>
      <x:c r="D53" s="42" t="str">
        <x:v>광휘 망령</x:v>
      </x:c>
      <x:c r="E53" s="42" t="str">
        <x:v>뒤틀린 성광 영체</x:v>
      </x:c>
      <x:c r="F53" s="42" t="str">
        <x:v>머리·몸통·꼬리/날개 중 1~2개 과장</x:v>
      </x:c>
      <x:c r="G53" s="42" t="str">
        <x:v>상아색, 금색, 검은 성직복, 자주색</x:v>
      </x:c>
      <x:c r="H53" s="42" t="str">
        <x:v>광휘 망령: 뒤틀린 성광 영체. 물리저항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3" s="42" t="str">
        <x:v>복잡한 미세장식, 지나친 사실비율, 배경 포함</x:v>
      </x:c>
      <x:c r="J53" s="42" t="str">
        <x:v>Hard 변형은 검은 침식결정/붉은 균열광 추가</x:v>
      </x:c>
    </x:row>
    <x:row r="54">
      <x:c r="A54" s="42" t="str">
        <x:v>적군</x:v>
      </x:c>
      <x:c r="B54" s="42" t="str">
        <x:v>생트아르크 교황령</x:v>
      </x:c>
      <x:c r="C54" s="42" t="str">
        <x:v>비인간형</x:v>
      </x:c>
      <x:c r="D54" s="42" t="str">
        <x:v>성유물 골렘</x:v>
      </x:c>
      <x:c r="E54" s="42" t="str">
        <x:v>폭주한 성물 수호체</x:v>
      </x:c>
      <x:c r="F54" s="42" t="str">
        <x:v>머리·몸통·꼬리/날개 중 1~2개 과장</x:v>
      </x:c>
      <x:c r="G54" s="42" t="str">
        <x:v>상아색, 금색, 검은 성직복, 자주색</x:v>
      </x:c>
      <x:c r="H54" s="42" t="str">
        <x:v>성유물 골렘: 폭주한 성물 수호체. 고방어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4" s="42" t="str">
        <x:v>복잡한 미세장식, 지나친 사실비율, 배경 포함</x:v>
      </x:c>
      <x:c r="J54" s="42" t="str">
        <x:v>Hard 변형은 검은 침식결정/붉은 균열광 추가</x:v>
      </x:c>
    </x:row>
    <x:row r="55">
      <x:c r="A55" s="42" t="str">
        <x:v>적군</x:v>
      </x:c>
      <x:c r="B55" s="42" t="str">
        <x:v>생트아르크 교황령</x:v>
      </x:c>
      <x:c r="C55" s="42" t="str">
        <x:v>비인간형</x:v>
      </x:c>
      <x:c r="D55" s="42" t="str">
        <x:v>타락 천사 파편체</x:v>
      </x:c>
      <x:c r="E55" s="42" t="str">
        <x:v>불완전하게 변질된 천상 생명체</x:v>
      </x:c>
      <x:c r="F55" s="42" t="str">
        <x:v>머리·몸통·꼬리/날개 중 1~2개 과장</x:v>
      </x:c>
      <x:c r="G55" s="42" t="str">
        <x:v>상아색, 금색, 검은 성직복, 자주색</x:v>
      </x:c>
      <x:c r="H55" s="42" t="str">
        <x:v>타락 천사 파편체: 불완전하게 변질된 천상 생명체. 고속 공중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5" s="42" t="str">
        <x:v>복잡한 미세장식, 지나친 사실비율, 배경 포함</x:v>
      </x:c>
      <x:c r="J55" s="42" t="str">
        <x:v>Hard 변형은 검은 침식결정/붉은 균열광 추가</x:v>
      </x:c>
    </x:row>
    <x:row r="56">
      <x:c r="A56" s="42" t="str">
        <x:v>적군</x:v>
      </x:c>
      <x:c r="B56" s="42" t="str">
        <x:v>생트아르크 교황령</x:v>
      </x:c>
      <x:c r="C56" s="42" t="str">
        <x:v>비인간형</x:v>
      </x:c>
      <x:c r="D56" s="42" t="str">
        <x:v>저주받은 성상</x:v>
      </x:c>
      <x:c r="E56" s="42" t="str">
        <x:v>이동하는 석조 괴물</x:v>
      </x:c>
      <x:c r="F56" s="42" t="str">
        <x:v>머리·몸통·꼬리/날개 중 1~2개 과장</x:v>
      </x:c>
      <x:c r="G56" s="42" t="str">
        <x:v>상아색, 금색, 검은 성직복, 자주색</x:v>
      </x:c>
      <x:c r="H56" s="42" t="str">
        <x:v>저주받은 성상: 이동하는 석조 괴물. 고HP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6" s="42" t="str">
        <x:v>복잡한 미세장식, 지나친 사실비율, 배경 포함</x:v>
      </x:c>
      <x:c r="J56" s="42" t="str">
        <x:v>Hard 변형은 검은 침식결정/붉은 균열광 추가</x:v>
      </x:c>
    </x:row>
    <x:row r="57">
      <x:c r="A57" s="42" t="str">
        <x:v>적군</x:v>
      </x:c>
      <x:c r="B57" s="42" t="str">
        <x:v>생트아르크 교황령</x:v>
      </x:c>
      <x:c r="C57" s="42" t="str">
        <x:v>비인간형</x:v>
      </x:c>
      <x:c r="D57" s="42" t="str">
        <x:v>기원의 대성상</x:v>
      </x:c>
      <x:c r="E57" s="42" t="str">
        <x:v>교황령 대성상이 변모한 모습</x:v>
      </x:c>
      <x:c r="F57" s="42" t="str">
        <x:v>머리·몸통·꼬리/날개 중 1~2개 과장</x:v>
      </x:c>
      <x:c r="G57" s="42" t="str">
        <x:v>상아색, 금색, 검은 성직복, 자주색</x:v>
      </x:c>
      <x:c r="H57" s="42" t="str">
        <x:v>기원의 대성상: 교황령 대성상이 변모한 모습. 침묵무효/방어벽무효/고방어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x:v>
      </x:c>
      <x:c r="I57" s="42" t="str">
        <x:v>복잡한 미세장식, 지나친 사실비율, 배경 포함</x:v>
      </x:c>
      <x:c r="J57" s="42" t="str">
        <x:v>Hard 변형은 검은 침식결정/붉은 균열광 추가</x:v>
      </x:c>
    </x:row>
    <x:row r="58">
      <x:c r="A58" s="42" t="str">
        <x:v>적군</x:v>
      </x:c>
      <x:c r="B58" s="42" t="str">
        <x:v>상드라크 제국</x:v>
      </x:c>
      <x:c r="C58" s="42" t="str">
        <x:v>인간형</x:v>
      </x:c>
      <x:c r="D58" s="42" t="str">
        <x:v>제국 변절자</x:v>
      </x:c>
      <x:c r="E58" s="42" t="str">
        <x:v>반란 세력에 가담한 전직 병사</x:v>
      </x:c>
      <x:c r="F58" s="42" t="str">
        <x:v>무기/장비 중심의 직관적 실루엣</x:v>
      </x:c>
      <x:c r="G58" s="42" t="str">
        <x:v>황금, 흑철, 진홍, 마도 청색</x:v>
      </x:c>
      <x:c r="H58" s="42" t="str">
        <x:v>제국 변절자: 반란 세력에 가담한 전직 병사. 밸런스형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x:v>
      </x:c>
      <x:c r="I58" s="42" t="str">
        <x:v>복잡한 미세장식, 지나친 사실비율, 배경 포함</x:v>
      </x:c>
      <x:c r="J58" s="42" t="str">
        <x:v>Hard 변형은 검은 침식결정/붉은 균열광 추가</x:v>
      </x:c>
    </x:row>
    <x:row r="59">
      <x:c r="A59" s="42" t="str">
        <x:v>적군</x:v>
      </x:c>
      <x:c r="B59" s="42" t="str">
        <x:v>상드라크 제국</x:v>
      </x:c>
      <x:c r="C59" s="42" t="str">
        <x:v>인간형</x:v>
      </x:c>
      <x:c r="D59" s="42" t="str">
        <x:v>탈영 석궁수</x:v>
      </x:c>
      <x:c r="E59" s="42" t="str">
        <x:v>무단 이탈한 장거리 전투원</x:v>
      </x:c>
      <x:c r="F59" s="42" t="str">
        <x:v>무기/장비 중심의 직관적 실루엣</x:v>
      </x:c>
      <x:c r="G59" s="42" t="str">
        <x:v>황금, 흑철, 진홍, 마도 청색</x:v>
      </x:c>
      <x:c r="H59" s="42" t="str">
        <x:v>탈영 석궁수: 무단 이탈한 장거리 전투원. 장거리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x:v>
      </x:c>
      <x:c r="I59" s="42" t="str">
        <x:v>복잡한 미세장식, 지나친 사실비율, 배경 포함</x:v>
      </x:c>
      <x:c r="J59" s="42" t="str">
        <x:v>Hard 변형은 검은 침식결정/붉은 균열광 추가</x:v>
      </x:c>
    </x:row>
    <x:row r="60">
      <x:c r="A60" s="42" t="str">
        <x:v>적군</x:v>
      </x:c>
      <x:c r="B60" s="42" t="str">
        <x:v>상드라크 제국</x:v>
      </x:c>
      <x:c r="C60" s="42" t="str">
        <x:v>인간형</x:v>
      </x:c>
      <x:c r="D60" s="42" t="str">
        <x:v>암시장 마도사</x:v>
      </x:c>
      <x:c r="E60" s="42" t="str">
        <x:v>불법 마법을 사용하는 범죄 마도사</x:v>
      </x:c>
      <x:c r="F60" s="42" t="str">
        <x:v>무기/장비 중심의 직관적 실루엣</x:v>
      </x:c>
      <x:c r="G60" s="42" t="str">
        <x:v>황금, 흑철, 진홍, 마도 청색</x:v>
      </x:c>
      <x:c r="H60" s="42" t="str">
        <x:v>암시장 마도사: 불법 마법을 사용하는 범죄 마도사. 마법 원거리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x:v>
      </x:c>
      <x:c r="I60" s="42" t="str">
        <x:v>복잡한 미세장식, 지나친 사실비율, 배경 포함</x:v>
      </x:c>
      <x:c r="J60" s="42" t="str">
        <x:v>Hard 변형은 검은 침식결정/붉은 균열광 추가</x:v>
      </x:c>
    </x:row>
    <x:row r="61">
      <x:c r="A61" s="42" t="str">
        <x:v>적군</x:v>
      </x:c>
      <x:c r="B61" s="42" t="str">
        <x:v>상드라크 제국</x:v>
      </x:c>
      <x:c r="C61" s="42" t="str">
        <x:v>인간형</x:v>
      </x:c>
      <x:c r="D61" s="42" t="str">
        <x:v>폭주 연금술사</x:v>
      </x:c>
      <x:c r="E61" s="42" t="str">
        <x:v>금단 약품과 폭탄을 사용하는 연금술사</x:v>
      </x:c>
      <x:c r="F61" s="42" t="str">
        <x:v>무기/장비 중심의 직관적 실루엣</x:v>
      </x:c>
      <x:c r="G61" s="42" t="str">
        <x:v>황금, 흑철, 진홍, 마도 청색</x:v>
      </x:c>
      <x:c r="H61" s="42" t="str">
        <x:v>폭주 연금술사: 금단 약품과 폭탄을 사용하는 연금술사. 광역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x:v>
      </x:c>
      <x:c r="I61" s="42" t="str">
        <x:v>복잡한 미세장식, 지나친 사실비율, 배경 포함</x:v>
      </x:c>
      <x:c r="J61" s="42" t="str">
        <x:v>Hard 변형은 검은 침식결정/붉은 균열광 추가</x:v>
      </x:c>
    </x:row>
    <x:row r="62">
      <x:c r="A62" s="42" t="str">
        <x:v>적군</x:v>
      </x:c>
      <x:c r="B62" s="42" t="str">
        <x:v>상드라크 제국</x:v>
      </x:c>
      <x:c r="C62" s="42" t="str">
        <x:v>인간형</x:v>
      </x:c>
      <x:c r="D62" s="42" t="str">
        <x:v>반역 중갑병</x:v>
      </x:c>
      <x:c r="E62" s="42" t="str">
        <x:v>쿠데타 세력의 중장갑 전투원</x:v>
      </x:c>
      <x:c r="F62" s="42" t="str">
        <x:v>무기/장비 중심의 직관적 실루엣</x:v>
      </x:c>
      <x:c r="G62" s="42" t="str">
        <x:v>황금, 흑철, 진홍, 마도 청색</x:v>
      </x:c>
      <x:c r="H62" s="42" t="str">
        <x:v>반역 중갑병: 쿠데타 세력의 중장갑 전투원. 고방어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x:v>
      </x:c>
      <x:c r="I62" s="42" t="str">
        <x:v>복잡한 미세장식, 지나친 사실비율, 배경 포함</x:v>
      </x:c>
      <x:c r="J62" s="42" t="str">
        <x:v>Hard 변형은 검은 침식결정/붉은 균열광 추가</x:v>
      </x:c>
    </x:row>
    <x:row r="63">
      <x:c r="A63" s="42" t="str">
        <x:v>적군</x:v>
      </x:c>
      <x:c r="B63" s="42" t="str">
        <x:v>상드라크 제국</x:v>
      </x:c>
      <x:c r="C63" s="42" t="str">
        <x:v>비인간형</x:v>
      </x:c>
      <x:c r="D63" s="42" t="str">
        <x:v>마도 폭주체</x:v>
      </x:c>
      <x:c r="E63" s="42" t="str">
        <x:v>마력 실험 실패로 탄생한 생명체</x:v>
      </x:c>
      <x:c r="F63" s="42" t="str">
        <x:v>머리·몸통·꼬리/날개 중 1~2개 과장</x:v>
      </x:c>
      <x:c r="G63" s="42" t="str">
        <x:v>황금, 흑철, 진홍, 마도 청색</x:v>
      </x:c>
      <x:c r="H63" s="42" t="str">
        <x:v>마도 폭주체: 마력 실험 실패로 탄생한 생명체. 고속/폭발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3" s="42" t="str">
        <x:v>복잡한 미세장식, 지나친 사실비율, 배경 포함</x:v>
      </x:c>
      <x:c r="J63" s="42" t="str">
        <x:v>Hard 변형은 검은 침식결정/붉은 균열광 추가</x:v>
      </x:c>
    </x:row>
    <x:row r="64">
      <x:c r="A64" s="42" t="str">
        <x:v>적군</x:v>
      </x:c>
      <x:c r="B64" s="42" t="str">
        <x:v>상드라크 제국</x:v>
      </x:c>
      <x:c r="C64" s="42" t="str">
        <x:v>비인간형</x:v>
      </x:c>
      <x:c r="D64" s="42" t="str">
        <x:v>마력 골렘</x:v>
      </x:c>
      <x:c r="E64" s="42" t="str">
        <x:v>통제에서 벗어난 제국 골렘</x:v>
      </x:c>
      <x:c r="F64" s="42" t="str">
        <x:v>머리·몸통·꼬리/날개 중 1~2개 과장</x:v>
      </x:c>
      <x:c r="G64" s="42" t="str">
        <x:v>황금, 흑철, 진홍, 마도 청색</x:v>
      </x:c>
      <x:c r="H64" s="42" t="str">
        <x:v>마력 골렘: 통제에서 벗어난 제국 골렘. 고HP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4" s="42" t="str">
        <x:v>복잡한 미세장식, 지나친 사실비율, 배경 포함</x:v>
      </x:c>
      <x:c r="J64" s="42" t="str">
        <x:v>Hard 변형은 검은 침식결정/붉은 균열광 추가</x:v>
      </x:c>
    </x:row>
    <x:row r="65">
      <x:c r="A65" s="42" t="str">
        <x:v>적군</x:v>
      </x:c>
      <x:c r="B65" s="42" t="str">
        <x:v>상드라크 제국</x:v>
      </x:c>
      <x:c r="C65" s="42" t="str">
        <x:v>비인간형</x:v>
      </x:c>
      <x:c r="D65" s="42" t="str">
        <x:v>변이 사냥개</x:v>
      </x:c>
      <x:c r="E65" s="42" t="str">
        <x:v>마력으로 변형된 군집 야수</x:v>
      </x:c>
      <x:c r="F65" s="42" t="str">
        <x:v>머리·몸통·꼬리/날개 중 1~2개 과장</x:v>
      </x:c>
      <x:c r="G65" s="42" t="str">
        <x:v>황금, 흑철, 진홍, 마도 청색</x:v>
      </x:c>
      <x:c r="H65" s="42" t="str">
        <x:v>변이 사냥개: 마력으로 변형된 군집 야수. 고속 물량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5" s="42" t="str">
        <x:v>복잡한 미세장식, 지나친 사실비율, 배경 포함</x:v>
      </x:c>
      <x:c r="J65" s="42" t="str">
        <x:v>Hard 변형은 검은 침식결정/붉은 균열광 추가</x:v>
      </x:c>
    </x:row>
    <x:row r="66">
      <x:c r="A66" s="42" t="str">
        <x:v>적군</x:v>
      </x:c>
      <x:c r="B66" s="42" t="str">
        <x:v>상드라크 제국</x:v>
      </x:c>
      <x:c r="C66" s="42" t="str">
        <x:v>비인간형</x:v>
      </x:c>
      <x:c r="D66" s="42" t="str">
        <x:v>마도 비행체</x:v>
      </x:c>
      <x:c r="E66" s="42" t="str">
        <x:v>통제를 잃은 무인 마력병기</x:v>
      </x:c>
      <x:c r="F66" s="42" t="str">
        <x:v>머리·몸통·꼬리/날개 중 1~2개 과장</x:v>
      </x:c>
      <x:c r="G66" s="42" t="str">
        <x:v>황금, 흑철, 진홍, 마도 청색</x:v>
      </x:c>
      <x:c r="H66" s="42" t="str">
        <x:v>마도 비행체: 통제를 잃은 무인 마력병기. 공중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6" s="42" t="str">
        <x:v>복잡한 미세장식, 지나친 사실비율, 배경 포함</x:v>
      </x:c>
      <x:c r="J66" s="42" t="str">
        <x:v>Hard 변형은 검은 침식결정/붉은 균열광 추가</x:v>
      </x:c>
    </x:row>
    <x:row r="67">
      <x:c r="A67" s="42" t="str">
        <x:v>적군</x:v>
      </x:c>
      <x:c r="B67" s="42" t="str">
        <x:v>상드라크 제국</x:v>
      </x:c>
      <x:c r="C67" s="42" t="str">
        <x:v>비인간형</x:v>
      </x:c>
      <x:c r="D67" s="42" t="str">
        <x:v>균열 괴수</x:v>
      </x:c>
      <x:c r="E67" s="42" t="str">
        <x:v>침식된 균열에서 나온 변이 생물</x:v>
      </x:c>
      <x:c r="F67" s="42" t="str">
        <x:v>머리·몸통·꼬리/날개 중 1~2개 과장</x:v>
      </x:c>
      <x:c r="G67" s="42" t="str">
        <x:v>황금, 흑철, 진홍, 마도 청색</x:v>
      </x:c>
      <x:c r="H67" s="42" t="str">
        <x:v>균열 괴수: 침식된 균열에서 나온 변이 생물. 후반 정예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7" s="42" t="str">
        <x:v>복잡한 미세장식, 지나친 사실비율, 배경 포함</x:v>
      </x:c>
      <x:c r="J67" s="42" t="str">
        <x:v>Hard 변형은 검은 침식결정/붉은 균열광 추가</x:v>
      </x:c>
    </x:row>
    <x:row r="68">
      <x:c r="A68" s="42" t="str">
        <x:v>적군</x:v>
      </x:c>
      <x:c r="B68" s="42" t="str">
        <x:v>상드라크 제국</x:v>
      </x:c>
      <x:c r="C68" s="42" t="str">
        <x:v>비인간형</x:v>
      </x:c>
      <x:c r="D68" s="42" t="str">
        <x:v>종말의 인도자</x:v>
      </x:c>
      <x:c r="E68" s="42" t="str">
        <x:v>균열의 근원, 형태를 알 수 없는 공포</x:v>
      </x:c>
      <x:c r="F68" s="42" t="str">
        <x:v>머리·몸통·꼬리/날개 중 1~2개 과장</x:v>
      </x:c>
      <x:c r="G68" s="42" t="str">
        <x:v>황금, 흑철, 진홍, 마도 청색</x:v>
      </x:c>
      <x:c r="H68" s="42" t="str">
        <x:v>종말의 인도자: 균열의 근원, 형태를 알 수 없는 공포. 후반 정예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x:v>
      </x:c>
      <x:c r="I68" s="42" t="str">
        <x:v>복잡한 미세장식, 지나친 사실비율, 배경 포함</x:v>
      </x:c>
      <x:c r="J68" s="42" t="str">
        <x:v>Hard 변형은 검은 침식결정/붉은 균열광 추가</x:v>
      </x:c>
    </x:row>
    <x:row r="69">
      <x:c r="A69" s="42" t="str">
        <x:v>구조물</x:v>
      </x:c>
      <x:c r="B69" s="42" t="str">
        <x:v>아군</x:v>
      </x:c>
      <x:c r="C69" s="42" t="str">
        <x:v>구조물</x:v>
      </x:c>
      <x:c r="D69" s="42" t="str">
        <x:v>방어벽</x:v>
      </x:c>
      <x:c r="E69" s="42" t="str">
        <x:v>단일 / 상태효과 없음</x:v>
      </x:c>
      <x:c r="F69" s="42" t="str">
        <x:v>무기/포신/결정체 등 핵심 한 요소 과장</x:v>
      </x:c>
      <x:c r="G69" s="42" t="str">
        <x:v>흑철·은색·청색 계열 + 직업별 포인트색</x:v>
      </x:c>
      <x:c r="H69" s="42" t="str">
        <x:v>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x:v>
      </x:c>
      <x:c r="I69" s="42" t="str">
        <x:v>실루엣 겹침, 지나친 장식, 작은 텍스트/문양</x:v>
      </x:c>
      <x:c r="J69" s="42" t="str">
        <x:v>인게임 도트용</x:v>
      </x:c>
    </x:row>
    <x:row r="70">
      <x:c r="A70" s="42" t="str">
        <x:v>구조물</x:v>
      </x:c>
      <x:c r="B70" s="42" t="str">
        <x:v>아군</x:v>
      </x:c>
      <x:c r="C70" s="42" t="str">
        <x:v>구조물</x:v>
      </x:c>
      <x:c r="D70" s="42" t="str">
        <x:v>강철 방어벽</x:v>
      </x:c>
      <x:c r="E70" s="42" t="str">
        <x:v>단일 / 상태효과 없음</x:v>
      </x:c>
      <x:c r="F70" s="42" t="str">
        <x:v>무기/포신/결정체 등 핵심 한 요소 과장</x:v>
      </x:c>
      <x:c r="G70" s="42" t="str">
        <x:v>흑철·은색·청색 계열 + 직업별 포인트색</x:v>
      </x:c>
      <x:c r="H70" s="42" t="str">
        <x:v>강철 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x:v>
      </x:c>
      <x:c r="I70" s="42" t="str">
        <x:v>실루엣 겹침, 지나친 장식, 작은 텍스트/문양</x:v>
      </x:c>
      <x:c r="J70" s="42" t="str">
        <x:v>인게임 도트용</x:v>
      </x:c>
    </x:row>
    <x:row r="71">
      <x:c r="A71" s="42" t="str">
        <x:v>구조물</x:v>
      </x:c>
      <x:c r="B71" s="42" t="str">
        <x:v>아군</x:v>
      </x:c>
      <x:c r="C71" s="42" t="str">
        <x:v>구조물</x:v>
      </x:c>
      <x:c r="D71" s="42" t="str">
        <x:v>미스릴 방어벽</x:v>
      </x:c>
      <x:c r="E71" s="42" t="str">
        <x:v>단일 / 상태효과 없음</x:v>
      </x:c>
      <x:c r="F71" s="42" t="str">
        <x:v>무기/포신/결정체 등 핵심 한 요소 과장</x:v>
      </x:c>
      <x:c r="G71" s="42" t="str">
        <x:v>흑철·은색·청색 계열 + 직업별 포인트색</x:v>
      </x:c>
      <x:c r="H71" s="42" t="str">
        <x:v>미스릴 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x:v>
      </x:c>
      <x:c r="I71" s="42" t="str">
        <x:v>실루엣 겹침, 지나친 장식, 작은 텍스트/문양</x:v>
      </x:c>
      <x:c r="J71" s="42" t="str">
        <x:v>인게임 도트용</x:v>
      </x:c>
    </x:row>
    <x:row r="72">
      <x:c r="A72" s="42" t="str">
        <x:v>구조물</x:v>
      </x:c>
      <x:c r="B72" s="42" t="str">
        <x:v>아군</x:v>
      </x:c>
      <x:c r="C72" s="42" t="str">
        <x:v>구조물</x:v>
      </x:c>
      <x:c r="D72" s="42" t="str">
        <x:v>가시 방어벽</x:v>
      </x:c>
      <x:c r="E72" s="42" t="str">
        <x:v>지속 / 공격자에게 데미지 부여 및
출혈 상태이상 부여</x:v>
      </x:c>
      <x:c r="F72" s="42" t="str">
        <x:v>무기/포신/결정체 등 핵심 한 요소 과장</x:v>
      </x:c>
      <x:c r="G72" s="42" t="str">
        <x:v>흑철·은색·청색 계열 + 직업별 포인트색</x:v>
      </x:c>
      <x:c r="H72" s="42" t="str">
        <x:v>가시 방어벽: 지속 공격 역할. 정면/사선 탑뷰에서 읽히는 강한 기하학 실루엣, 포신/수정/방벽 상단부를 과장. 석재·흑철·마력수정 재질을 2~3단 명암으로 단순화. 사거리 1, 타겟 1, 공중대응 불가능. 상태효과 공격자에게 데미지 부여 및
출혈 상태이상 부여. 탑뷰 3/4, 96x96, 3등신 내외, 12~16색, 선명한 외곽선, 게임플레이 가독성 우선.</x:v>
      </x:c>
      <x:c r="I72" s="42" t="str">
        <x:v>실루엣 겹침, 지나친 장식, 작은 텍스트/문양</x:v>
      </x:c>
      <x:c r="J72" s="42" t="str">
        <x:v>인게임 도트용</x:v>
      </x:c>
    </x:row>
    <x:row r="73">
      <x:c r="A73" s="42" t="str">
        <x:v>구조물</x:v>
      </x:c>
      <x:c r="B73" s="42" t="str">
        <x:v>아군</x:v>
      </x:c>
      <x:c r="C73" s="42" t="str">
        <x:v>구조물</x:v>
      </x:c>
      <x:c r="D73" s="42" t="str">
        <x:v>감시탑</x:v>
      </x:c>
      <x:c r="E73" s="42" t="str">
        <x:v>단일 / 없음</x:v>
      </x:c>
      <x:c r="F73" s="42" t="str">
        <x:v>무기/포신/결정체 등 핵심 한 요소 과장</x:v>
      </x:c>
      <x:c r="G73" s="42" t="str">
        <x:v>흑철·은색·청색 계열 + 직업별 포인트색</x:v>
      </x:c>
      <x:c r="H73" s="42" t="str">
        <x:v>감시탑: 단일 공격 역할. 정면/사선 탑뷰에서 읽히는 강한 기하학 실루엣, 포신/수정/방벽 상단부를 과장. 석재·흑철·마력수정 재질을 2~3단 명암으로 단순화. 사거리 3, 타겟 1, 공중대응 가능. 상태효과 없음. 탑뷰 3/4, 96x96, 3등신 내외, 12~16색, 선명한 외곽선, 게임플레이 가독성 우선.</x:v>
      </x:c>
      <x:c r="I73" s="42" t="str">
        <x:v>실루엣 겹침, 지나친 장식, 작은 텍스트/문양</x:v>
      </x:c>
      <x:c r="J73" s="42" t="str">
        <x:v>인게임 도트용</x:v>
      </x:c>
    </x:row>
    <x:row r="74">
      <x:c r="A74" s="42" t="str">
        <x:v>구조물</x:v>
      </x:c>
      <x:c r="B74" s="42" t="str">
        <x:v>아군</x:v>
      </x:c>
      <x:c r="C74" s="42" t="str">
        <x:v>구조물</x:v>
      </x:c>
      <x:c r="D74" s="42" t="str">
        <x:v>강화 감시탑</x:v>
      </x:c>
      <x:c r="E74" s="42" t="str">
        <x:v>단일 / 없음</x:v>
      </x:c>
      <x:c r="F74" s="42" t="str">
        <x:v>무기/포신/결정체 등 핵심 한 요소 과장</x:v>
      </x:c>
      <x:c r="G74" s="42" t="str">
        <x:v>흑철·은색·청색 계열 + 직업별 포인트색</x:v>
      </x:c>
      <x:c r="H74" s="42" t="str">
        <x:v>강화 감시탑: 단일 공격 역할. 정면/사선 탑뷰에서 읽히는 강한 기하학 실루엣, 포신/수정/방벽 상단부를 과장. 석재·흑철·마력수정 재질을 2~3단 명암으로 단순화. 사거리 4, 타겟 2, 공중대응 가능. 상태효과 없음. 탑뷰 3/4, 96x96, 3등신 내외, 12~16색, 선명한 외곽선, 게임플레이 가독성 우선.</x:v>
      </x:c>
      <x:c r="I74" s="42" t="str">
        <x:v>실루엣 겹침, 지나친 장식, 작은 텍스트/문양</x:v>
      </x:c>
      <x:c r="J74" s="42" t="str">
        <x:v>인게임 도트용</x:v>
      </x:c>
    </x:row>
    <x:row r="75">
      <x:c r="A75" s="42" t="str">
        <x:v>구조물</x:v>
      </x:c>
      <x:c r="B75" s="42" t="str">
        <x:v>아군</x:v>
      </x:c>
      <x:c r="C75" s="42" t="str">
        <x:v>구조물</x:v>
      </x:c>
      <x:c r="D75" s="42" t="str">
        <x:v>저격 감시탑</x:v>
      </x:c>
      <x:c r="E75" s="42" t="str">
        <x:v>단일 / 없음</x:v>
      </x:c>
      <x:c r="F75" s="42" t="str">
        <x:v>무기/포신/결정체 등 핵심 한 요소 과장</x:v>
      </x:c>
      <x:c r="G75" s="42" t="str">
        <x:v>흑철·은색·청색 계열 + 직업별 포인트색</x:v>
      </x:c>
      <x:c r="H75" s="42" t="str">
        <x:v>저격 감시탑: 단일 공격 역할. 정면/사선 탑뷰에서 읽히는 강한 기하학 실루엣, 포신/수정/방벽 상단부를 과장. 석재·흑철·마력수정 재질을 2~3단 명암으로 단순화. 사거리 6, 타겟 1, 공중대응 가능. 상태효과 없음. 탑뷰 3/4, 96x96, 3등신 내외, 12~16색, 선명한 외곽선, 게임플레이 가독성 우선.</x:v>
      </x:c>
      <x:c r="I75" s="42" t="str">
        <x:v>실루엣 겹침, 지나친 장식, 작은 텍스트/문양</x:v>
      </x:c>
      <x:c r="J75" s="42" t="str">
        <x:v>인게임 도트용</x:v>
      </x:c>
    </x:row>
    <x:row r="76">
      <x:c r="A76" s="42" t="str">
        <x:v>구조물</x:v>
      </x:c>
      <x:c r="B76" s="42" t="str">
        <x:v>아군</x:v>
      </x:c>
      <x:c r="C76" s="42" t="str">
        <x:v>구조물</x:v>
      </x:c>
      <x:c r="D76" s="42" t="str">
        <x:v>연사 감시탑</x:v>
      </x:c>
      <x:c r="E76" s="42" t="str">
        <x:v>단일 / 없음</x:v>
      </x:c>
      <x:c r="F76" s="42" t="str">
        <x:v>무기/포신/결정체 등 핵심 한 요소 과장</x:v>
      </x:c>
      <x:c r="G76" s="42" t="str">
        <x:v>흑철·은색·청색 계열 + 직업별 포인트색</x:v>
      </x:c>
      <x:c r="H76" s="42" t="str">
        <x:v>연사 감시탑: 단일 공격 역할. 정면/사선 탑뷰에서 읽히는 강한 기하학 실루엣, 포신/수정/방벽 상단부를 과장. 석재·흑철·마력수정 재질을 2~3단 명암으로 단순화. 사거리 4, 타겟 3, 공중대응 가능. 상태효과 없음. 탑뷰 3/4, 96x96, 3등신 내외, 12~16색, 선명한 외곽선, 게임플레이 가독성 우선.</x:v>
      </x:c>
      <x:c r="I76" s="42" t="str">
        <x:v>실루엣 겹침, 지나친 장식, 작은 텍스트/문양</x:v>
      </x:c>
      <x:c r="J76" s="42" t="str">
        <x:v>인게임 도트용</x:v>
      </x:c>
    </x:row>
    <x:row r="77">
      <x:c r="A77" s="42" t="str">
        <x:v>구조물</x:v>
      </x:c>
      <x:c r="B77" s="42" t="str">
        <x:v>아군</x:v>
      </x:c>
      <x:c r="C77" s="42" t="str">
        <x:v>구조물</x:v>
      </x:c>
      <x:c r="D77" s="42" t="str">
        <x:v>관통 감시탑</x:v>
      </x:c>
      <x:c r="E77" s="42" t="str">
        <x:v>관통 / 같은 칸에 있는 모든 캐릭터에게
데미지 부여</x:v>
      </x:c>
      <x:c r="F77" s="42" t="str">
        <x:v>무기/포신/결정체 등 핵심 한 요소 과장</x:v>
      </x:c>
      <x:c r="G77" s="42" t="str">
        <x:v>흑철·은색·청색 계열 + 직업별 포인트색</x:v>
      </x:c>
      <x:c r="H77" s="42" t="str">
        <x:v>관통 감시탑: 관통 공격 역할. 정면/사선 탑뷰에서 읽히는 강한 기하학 실루엣, 포신/수정/방벽 상단부를 과장. 석재·흑철·마력수정 재질을 2~3단 명암으로 단순화. 사거리 4, 타겟 2, 공중대응 가능. 상태효과 같은 칸에 있는 모든 캐릭터에게
데미지 부여. 탑뷰 3/4, 96x96, 3등신 내외, 12~16색, 선명한 외곽선, 게임플레이 가독성 우선.</x:v>
      </x:c>
      <x:c r="I77" s="42" t="str">
        <x:v>실루엣 겹침, 지나친 장식, 작은 텍스트/문양</x:v>
      </x:c>
      <x:c r="J77" s="42" t="str">
        <x:v>인게임 도트용</x:v>
      </x:c>
    </x:row>
    <x:row r="78">
      <x:c r="A78" s="42" t="str">
        <x:v>구조물</x:v>
      </x:c>
      <x:c r="B78" s="42" t="str">
        <x:v>아군</x:v>
      </x:c>
      <x:c r="C78" s="42" t="str">
        <x:v>구조물</x:v>
      </x:c>
      <x:c r="D78" s="42" t="str">
        <x:v>발리스타</x:v>
      </x:c>
      <x:c r="E78" s="42" t="str">
        <x:v>관통 / 같은 칸에 있는 모든 캐릭터에게
데미지 부여</x:v>
      </x:c>
      <x:c r="F78" s="42" t="str">
        <x:v>무기/포신/결정체 등 핵심 한 요소 과장</x:v>
      </x:c>
      <x:c r="G78" s="42" t="str">
        <x:v>흑철·은색·청색 계열 + 직업별 포인트색</x:v>
      </x:c>
      <x:c r="H78" s="42" t="str">
        <x:v>발리스타: 관통 공격 역할. 정면/사선 탑뷰에서 읽히는 강한 기하학 실루엣, 포신/수정/방벽 상단부를 과장. 석재·흑철·마력수정 재질을 2~3단 명암으로 단순화. 사거리 3, 타겟 1, 공중대응 가능. 상태효과 같은 칸에 있는 모든 캐릭터에게
데미지 부여. 탑뷰 3/4, 96x96, 3등신 내외, 12~16색, 선명한 외곽선, 게임플레이 가독성 우선.</x:v>
      </x:c>
      <x:c r="I78" s="42" t="str">
        <x:v>실루엣 겹침, 지나친 장식, 작은 텍스트/문양</x:v>
      </x:c>
      <x:c r="J78" s="42" t="str">
        <x:v>인게임 도트용</x:v>
      </x:c>
    </x:row>
    <x:row r="79">
      <x:c r="A79" s="42" t="str">
        <x:v>구조물</x:v>
      </x:c>
      <x:c r="B79" s="42" t="str">
        <x:v>아군</x:v>
      </x:c>
      <x:c r="C79" s="42" t="str">
        <x:v>구조물</x:v>
      </x:c>
      <x:c r="D79" s="42" t="str">
        <x:v>대형 발리스타</x:v>
      </x:c>
      <x:c r="E79" s="42" t="str">
        <x:v>단일 / 상태효과 없음</x:v>
      </x:c>
      <x:c r="F79" s="42" t="str">
        <x:v>무기/포신/결정체 등 핵심 한 요소 과장</x:v>
      </x:c>
      <x:c r="G79" s="42" t="str">
        <x:v>흑철·은색·청색 계열 + 직업별 포인트색</x:v>
      </x:c>
      <x:c r="H79" s="42" t="str">
        <x:v>대형 발리스타: 단일 공격 역할. 정면/사선 탑뷰에서 읽히는 강한 기하학 실루엣, 포신/수정/방벽 상단부를 과장. 석재·흑철·마력수정 재질을 2~3단 명암으로 단순화. 사거리 4, 타겟 1, 공중대응 가능. 상태효과 없음. 탑뷰 3/4, 96x96, 3등신 내외, 12~16색, 선명한 외곽선, 게임플레이 가독성 우선.</x:v>
      </x:c>
      <x:c r="I79" s="42" t="str">
        <x:v>실루엣 겹침, 지나친 장식, 작은 텍스트/문양</x:v>
      </x:c>
      <x:c r="J79" s="42" t="str">
        <x:v>인게임 도트용</x:v>
      </x:c>
    </x:row>
    <x:row r="80">
      <x:c r="A80" s="42" t="str">
        <x:v>구조물</x:v>
      </x:c>
      <x:c r="B80" s="42" t="str">
        <x:v>아군</x:v>
      </x:c>
      <x:c r="C80" s="42" t="str">
        <x:v>구조물</x:v>
      </x:c>
      <x:c r="D80" s="42" t="str">
        <x:v>드래곤 킬러</x:v>
      </x:c>
      <x:c r="E80" s="42" t="str">
        <x:v>기절 / 데미지를 입은 공중 유닛 3초 기절</x:v>
      </x:c>
      <x:c r="F80" s="42" t="str">
        <x:v>무기/포신/결정체 등 핵심 한 요소 과장</x:v>
      </x:c>
      <x:c r="G80" s="42" t="str">
        <x:v>흑철·은색·청색 계열 + 직업별 포인트색</x:v>
      </x:c>
      <x:c r="H80" s="42" t="str">
        <x:v>드래곤 킬러: 기절 공격 역할. 정면/사선 탑뷰에서 읽히는 강한 기하학 실루엣, 포신/수정/방벽 상단부를 과장. 석재·흑철·마력수정 재질을 2~3단 명암으로 단순화. 사거리 6, 타겟 1, 공중대응 공중만 가능. 상태효과 데미지를 입은 공중 유닛 3초 기절. 탑뷰 3/4, 96x96, 3등신 내외, 12~16색, 선명한 외곽선, 게임플레이 가독성 우선.</x:v>
      </x:c>
      <x:c r="I80" s="42" t="str">
        <x:v>실루엣 겹침, 지나친 장식, 작은 텍스트/문양</x:v>
      </x:c>
      <x:c r="J80" s="42" t="str">
        <x:v>인게임 도트용</x:v>
      </x:c>
    </x:row>
    <x:row r="81">
      <x:c r="A81" s="42" t="str">
        <x:v>구조물</x:v>
      </x:c>
      <x:c r="B81" s="42" t="str">
        <x:v>아군</x:v>
      </x:c>
      <x:c r="C81" s="42" t="str">
        <x:v>구조물</x:v>
      </x:c>
      <x:c r="D81" s="42" t="str">
        <x:v>플레임 발리스타</x:v>
      </x:c>
      <x:c r="E81" s="42" t="str">
        <x:v>광역/지속 / 데미지를 입은 유닛 칸 및 인근 1칸 화염 효과, 단 인근 1칸이라 함은 반드시 적 유닛 이동 경로여야함
10초동안 광역 데미지 부여</x:v>
      </x:c>
      <x:c r="F81" s="42" t="str">
        <x:v>무기/포신/결정체 등 핵심 한 요소 과장</x:v>
      </x:c>
      <x:c r="G81" s="42" t="str">
        <x:v>흑철·은색·청색 계열 + 직업별 포인트색</x:v>
      </x:c>
      <x:c r="H81" s="42" t="str">
        <x:v>플레임 발리스타: 광역/지속 공격 역할. 정면/사선 탑뷰에서 읽히는 강한 기하학 실루엣, 포신/수정/방벽 상단부를 과장. 석재·흑철·마력수정 재질을 2~3단 명암으로 단순화. 사거리 4, 타겟 2, 공중대응 불가능. 상태효과 데미지를 입은 유닛 칸 및 인근 1칸 화염 효과, 단 인근 1칸이라 함은 반드시 적 유닛 이동 경로여야함
10초동안 광역 데미지 부여. 탑뷰 3/4, 96x96, 3등신 내외, 12~16색, 선명한 외곽선, 게임플레이 가독성 우선.</x:v>
      </x:c>
      <x:c r="I81" s="42" t="str">
        <x:v>실루엣 겹침, 지나친 장식, 작은 텍스트/문양</x:v>
      </x:c>
      <x:c r="J81" s="42" t="str">
        <x:v>인게임 도트용</x:v>
      </x:c>
    </x:row>
    <x:row r="82">
      <x:c r="A82" s="42" t="str">
        <x:v>구조물</x:v>
      </x:c>
      <x:c r="B82" s="42" t="str">
        <x:v>아군</x:v>
      </x:c>
      <x:c r="C82" s="42" t="str">
        <x:v>구조물</x:v>
      </x:c>
      <x:c r="D82" s="42" t="str">
        <x:v>투석기</x:v>
      </x:c>
      <x:c r="E82" s="42" t="str">
        <x:v>관통 / 같은 칸에 있는 모든 캐릭터에게
데미지 부여</x:v>
      </x:c>
      <x:c r="F82" s="42" t="str">
        <x:v>무기/포신/결정체 등 핵심 한 요소 과장</x:v>
      </x:c>
      <x:c r="G82" s="42" t="str">
        <x:v>흑철·은색·청색 계열 + 직업별 포인트색</x:v>
      </x:c>
      <x:c r="H82" s="42" t="str">
        <x:v>투석기: 관통 공격 역할. 정면/사선 탑뷰에서 읽히는 강한 기하학 실루엣, 포신/수정/방벽 상단부를 과장. 석재·흑철·마력수정 재질을 2~3단 명암으로 단순화. 사거리 4, 타겟 3, 공중대응 불가능. 상태효과 같은 칸에 있는 모든 캐릭터에게
데미지 부여. 탑뷰 3/4, 96x96, 3등신 내외, 12~16색, 선명한 외곽선, 게임플레이 가독성 우선.</x:v>
      </x:c>
      <x:c r="I82" s="42" t="str">
        <x:v>실루엣 겹침, 지나친 장식, 작은 텍스트/문양</x:v>
      </x:c>
      <x:c r="J82" s="42" t="str">
        <x:v>인게임 도트용</x:v>
      </x:c>
    </x:row>
    <x:row r="83">
      <x:c r="A83" s="42" t="str">
        <x:v>구조물</x:v>
      </x:c>
      <x:c r="B83" s="42" t="str">
        <x:v>아군</x:v>
      </x:c>
      <x:c r="C83" s="42" t="str">
        <x:v>구조물</x:v>
      </x:c>
      <x:c r="D83" s="42" t="str">
        <x:v>캐논 타워</x:v>
      </x:c>
      <x:c r="E83" s="42" t="str">
        <x:v>관통 / 같은 칸에 있는 모든 캐릭터에게
데미지 부여</x:v>
      </x:c>
      <x:c r="F83" s="42" t="str">
        <x:v>무기/포신/결정체 등 핵심 한 요소 과장</x:v>
      </x:c>
      <x:c r="G83" s="42" t="str">
        <x:v>흑철·은색·청색 계열 + 직업별 포인트색</x:v>
      </x:c>
      <x:c r="H83" s="42" t="str">
        <x:v>캐논 타워: 관통 공격 역할. 정면/사선 탑뷰에서 읽히는 강한 기하학 실루엣, 포신/수정/방벽 상단부를 과장. 석재·흑철·마력수정 재질을 2~3단 명암으로 단순화. 사거리 5, 타겟 3, 공중대응 불가능. 상태효과 같은 칸에 있는 모든 캐릭터에게
데미지 부여. 탑뷰 3/4, 96x96, 3등신 내외, 12~16색, 선명한 외곽선, 게임플레이 가독성 우선.</x:v>
      </x:c>
      <x:c r="I83" s="42" t="str">
        <x:v>실루엣 겹침, 지나친 장식, 작은 텍스트/문양</x:v>
      </x:c>
      <x:c r="J83" s="42" t="str">
        <x:v>인게임 도트용</x:v>
      </x:c>
    </x:row>
    <x:row r="84">
      <x:c r="A84" s="42" t="str">
        <x:v>구조물</x:v>
      </x:c>
      <x:c r="B84" s="42" t="str">
        <x:v>아군</x:v>
      </x:c>
      <x:c r="C84" s="42" t="str">
        <x:v>구조물</x:v>
      </x:c>
      <x:c r="D84" s="42" t="str">
        <x:v>봄버 캐논타워</x:v>
      </x:c>
      <x:c r="E84" s="42" t="str">
        <x:v>관통/지속/광역/화염 / 같은 칸에 있는 모든 캐릭터에게
데미지 부여, 데미지를 입은 유닛 칸 및 인근 1칸 화염 효과, 단 인근 1칸이라 함은 반드시 적 유닛 이동 경로여야함, 10초동안 광역 데미지 부여</x:v>
      </x:c>
      <x:c r="F84" s="42" t="str">
        <x:v>무기/포신/결정체 등 핵심 한 요소 과장</x:v>
      </x:c>
      <x:c r="G84" s="42" t="str">
        <x:v>흑철·은색·청색 계열 + 직업별 포인트색</x:v>
      </x:c>
      <x:c r="H84" s="42" t="str">
        <x:v>봄버 캐논타워: 관통/지속/광역/화염 공격 역할. 정면/사선 탑뷰에서 읽히는 강한 기하학 실루엣, 포신/수정/방벽 상단부를 과장. 석재·흑철·마력수정 재질을 2~3단 명암으로 단순화. 사거리 5, 타겟 4, 공중대응 불가능. 상태효과 같은 칸에 있는 모든 캐릭터에게
데미지 부여, 데미지를 입은 유닛 칸 및 인근 1칸 화염 효과, 단 인근 1칸이라 함은 반드시 적 유닛 이동 경로여야함, 10초동안 광역 데미지 부여. 탑뷰 3/4, 96x96, 3등신 내외, 12~16색, 선명한 외곽선, 게임플레이 가독성 우선.</x:v>
      </x:c>
      <x:c r="I84" s="42" t="str">
        <x:v>실루엣 겹침, 지나친 장식, 작은 텍스트/문양</x:v>
      </x:c>
      <x:c r="J84" s="42" t="str">
        <x:v>인게임 도트용</x:v>
      </x:c>
    </x:row>
    <x:row r="85">
      <x:c r="A85" s="42" t="str">
        <x:v>구조물</x:v>
      </x:c>
      <x:c r="B85" s="42" t="str">
        <x:v>아군</x:v>
      </x:c>
      <x:c r="C85" s="42" t="str">
        <x:v>구조물</x:v>
      </x:c>
      <x:c r="D85" s="42" t="str">
        <x:v>마력 캐논타워</x:v>
      </x:c>
      <x:c r="E85" s="42" t="str">
        <x:v>관통/광역 / 같은 칸에 있는 모든 캐릭터에게
데미지 부여, 공중과 지상 상관 없이 해당 칸 및 인근 1칸의 모든 적 유닛에게 데미지 부여, 단 인근 1칸이라 함은 반드시 적 유닛 이동 경로여야 함.</x:v>
      </x:c>
      <x:c r="F85" s="42" t="str">
        <x:v>무기/포신/결정체 등 핵심 한 요소 과장</x:v>
      </x:c>
      <x:c r="G85" s="42" t="str">
        <x:v>흑철·은색·청색 계열 + 직업별 포인트색</x:v>
      </x:c>
      <x:c r="H85" s="42" t="str">
        <x:v>마력 캐논타워: 관통/광역 공격 역할. 정면/사선 탑뷰에서 읽히는 강한 기하학 실루엣, 포신/수정/방벽 상단부를 과장. 석재·흑철·마력수정 재질을 2~3단 명암으로 단순화. 사거리 5, 타겟 4, 공중대응 가능. 상태효과 같은 칸에 있는 모든 캐릭터에게
데미지 부여, 공중과 지상 상관 없이 해당 칸 및 인근 1칸의 모든 적 유닛에게 데미지 부여, 단 인근 1칸이라 함은 반드시 적 유닛 이동 경로여야 함.. 탑뷰 3/4, 96x96, 3등신 내외, 12~16색, 선명한 외곽선, 게임플레이 가독성 우선.</x:v>
      </x:c>
      <x:c r="I85" s="42" t="str">
        <x:v>실루엣 겹침, 지나친 장식, 작은 텍스트/문양</x:v>
      </x:c>
      <x:c r="J85" s="42" t="str">
        <x:v>인게임 도트용</x:v>
      </x:c>
    </x:row>
    <x:row r="86">
      <x:c r="A86" s="42" t="str">
        <x:v>구조물</x:v>
      </x:c>
      <x:c r="B86" s="42" t="str">
        <x:v>아군</x:v>
      </x:c>
      <x:c r="C86" s="42" t="str">
        <x:v>구조물</x:v>
      </x:c>
      <x:c r="D86" s="42" t="str">
        <x:v>마력 수정</x:v>
      </x:c>
      <x:c r="E86" s="42" t="str">
        <x:v>관통 / 같은 칸에 있는 모든 캐릭터에게
데미지 부여</x:v>
      </x:c>
      <x:c r="F86" s="42" t="str">
        <x:v>무기/포신/결정체 등 핵심 한 요소 과장</x:v>
      </x:c>
      <x:c r="G86" s="42" t="str">
        <x:v>흑철·은색·청색 계열 + 직업별 포인트색</x:v>
      </x:c>
      <x:c r="H86" s="42" t="str">
        <x:v>마력 수정: 관통 공격 역할. 정면/사선 탑뷰에서 읽히는 강한 기하학 실루엣, 포신/수정/방벽 상단부를 과장. 석재·흑철·마력수정 재질을 2~3단 명암으로 단순화. 사거리 3, 타겟 2, 공중대응 가능. 상태효과 같은 칸에 있는 모든 캐릭터에게
데미지 부여. 탑뷰 3/4, 96x96, 3등신 내외, 12~16색, 선명한 외곽선, 게임플레이 가독성 우선.</x:v>
      </x:c>
      <x:c r="I86" s="42" t="str">
        <x:v>실루엣 겹침, 지나친 장식, 작은 텍스트/문양</x:v>
      </x:c>
      <x:c r="J86" s="42" t="str">
        <x:v>인게임 도트용</x:v>
      </x:c>
    </x:row>
    <x:row r="87">
      <x:c r="A87" s="42" t="str">
        <x:v>구조물</x:v>
      </x:c>
      <x:c r="B87" s="42" t="str">
        <x:v>아군</x:v>
      </x:c>
      <x:c r="C87" s="42" t="str">
        <x:v>구조물</x:v>
      </x:c>
      <x:c r="D87" s="42" t="str">
        <x:v>충만한 마력 수정</x:v>
      </x:c>
      <x:c r="E87" s="42" t="str">
        <x:v>관통/광역 / 같은 칸에 있는 모든 캐릭터에게
데미지 부여 및 해당 칸 인근 2칸에 동시 피해 부여</x:v>
      </x:c>
      <x:c r="F87" s="42" t="str">
        <x:v>무기/포신/결정체 등 핵심 한 요소 과장</x:v>
      </x:c>
      <x:c r="G87" s="42" t="str">
        <x:v>흑철·은색·청색 계열 + 직업별 포인트색</x:v>
      </x:c>
      <x:c r="H87" s="42" t="str">
        <x:v>충만한 마력 수정: 관통/광역 공격 역할. 정면/사선 탑뷰에서 읽히는 강한 기하학 실루엣, 포신/수정/방벽 상단부를 과장. 석재·흑철·마력수정 재질을 2~3단 명암으로 단순화. 사거리 4, 타겟 3, 공중대응 가능. 상태효과 같은 칸에 있는 모든 캐릭터에게
데미지 부여 및 해당 칸 인근 2칸에 동시 피해 부여. 탑뷰 3/4, 96x96, 3등신 내외, 12~16색, 선명한 외곽선, 게임플레이 가독성 우선.</x:v>
      </x:c>
      <x:c r="I87" s="42" t="str">
        <x:v>실루엣 겹침, 지나친 장식, 작은 텍스트/문양</x:v>
      </x:c>
      <x:c r="J87" s="42" t="str">
        <x:v>인게임 도트용</x:v>
      </x:c>
    </x:row>
    <x:row r="88">
      <x:c r="A88" s="42" t="str">
        <x:v>구조물</x:v>
      </x:c>
      <x:c r="B88" s="42" t="str">
        <x:v>아군</x:v>
      </x:c>
      <x:c r="C88" s="42" t="str">
        <x:v>구조물</x:v>
      </x:c>
      <x:c r="D88" s="42" t="str">
        <x:v>1급 용암 수정</x:v>
      </x:c>
      <x:c r="E88" s="42" t="str">
        <x:v>관통/광역/지속/화염 / 같은 칸에 있는 모든 캐릭터에게
데미지 부여, 데미지를 입은 유닛 칸 및 인근 2칸 화염 효과, 단 인근 2칸이라 함은 반드시 적 유닛 이동 경로여야함, 10초동안 광역 데미지 부여</x:v>
      </x:c>
      <x:c r="F88" s="42" t="str">
        <x:v>무기/포신/결정체 등 핵심 한 요소 과장</x:v>
      </x:c>
      <x:c r="G88" s="42" t="str">
        <x:v>흑철·은색·청색 계열 + 직업별 포인트색</x:v>
      </x:c>
      <x:c r="H88" s="42" t="str">
        <x:v>1급 용암 수정: 관통/광역/지속/화염 공격 역할. 정면/사선 탑뷰에서 읽히는 강한 기하학 실루엣, 포신/수정/방벽 상단부를 과장. 석재·흑철·마력수정 재질을 2~3단 명암으로 단순화. 사거리 4, 타겟 4, 공중대응 가능. 상태효과 같은 칸에 있는 모든 캐릭터에게
데미지 부여, 데미지를 입은 유닛 칸 및 인근 2칸 화염 효과, 단 인근 2칸이라 함은 반드시 적 유닛 이동 경로여야함, 10초동안 광역 데미지 부여. 탑뷰 3/4, 96x96, 3등신 내외, 12~16색, 선명한 외곽선, 게임플레이 가독성 우선.</x:v>
      </x:c>
      <x:c r="I88" s="42" t="str">
        <x:v>실루엣 겹침, 지나친 장식, 작은 텍스트/문양</x:v>
      </x:c>
      <x:c r="J88" s="42" t="str">
        <x:v>인게임 도트용</x:v>
      </x:c>
    </x:row>
    <x:row r="89">
      <x:c r="A89" s="42" t="str">
        <x:v>구조물</x:v>
      </x:c>
      <x:c r="B89" s="42" t="str">
        <x:v>아군</x:v>
      </x:c>
      <x:c r="C89" s="42" t="str">
        <x:v>구조물</x:v>
      </x:c>
      <x:c r="D89" s="42" t="str">
        <x:v>1급 번개 수정</x:v>
      </x:c>
      <x:c r="E89" s="42" t="str">
        <x:v>관통/이전 / 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</x:v>
      </x:c>
      <x:c r="F89" s="42" t="str">
        <x:v>무기/포신/결정체 등 핵심 한 요소 과장</x:v>
      </x:c>
      <x:c r="G89" s="42" t="str">
        <x:v>흑철·은색·청색 계열 + 직업별 포인트색</x:v>
      </x:c>
      <x:c r="H89" s="42" t="str">
        <x:v>1급 번개 수정: 관통/이전 공격 역할. 정면/사선 탑뷰에서 읽히는 강한 기하학 실루엣, 포신/수정/방벽 상단부를 과장. 석재·흑철·마력수정 재질을 2~3단 명암으로 단순화. 사거리 5, 타겟 4, 공중대응 가능. 상태효과 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부여. 탑뷰 3/4, 96x96, 3등신 내외, 12~16색, 선명한 외곽선, 게임플레이 가독성 우선.</x:v>
      </x:c>
      <x:c r="I89" s="42" t="str">
        <x:v>실루엣 겹침, 지나친 장식, 작은 텍스트/문양</x:v>
      </x:c>
      <x:c r="J89" s="42" t="str">
        <x:v>인게임 도트용</x:v>
      </x:c>
    </x:row>
    <x:row r="90">
      <x:c r="A90" s="42" t="str">
        <x:v>구조물</x:v>
      </x:c>
      <x:c r="B90" s="42" t="str">
        <x:v>아군</x:v>
      </x:c>
      <x:c r="C90" s="42" t="str">
        <x:v>구조물</x:v>
      </x:c>
      <x:c r="D90" s="42" t="str">
        <x:v>1급 얼음 수정</x:v>
      </x:c>
      <x:c r="E90" s="42" t="str">
        <x:v>관통/빙결/광역 / 같은 칸에 있는 모든 캐릭터에게
데미지 부여, 데미지를 입은 유닛 칸 및 인근 2칸 빙결 효과 및 동일 데미지 부여, 단 인근 2칸이라 함은 반드시 적 유닛 이동 경로여야함,</x:v>
      </x:c>
      <x:c r="F90" s="42" t="str">
        <x:v>무기/포신/결정체 등 핵심 한 요소 과장</x:v>
      </x:c>
      <x:c r="G90" s="42" t="str">
        <x:v>흑철·은색·청색 계열 + 직업별 포인트색</x:v>
      </x:c>
      <x:c r="H90" s="42" t="str">
        <x:v>1급 얼음 수정: 관통/빙결/광역 공격 역할. 정면/사선 탑뷰에서 읽히는 강한 기하학 실루엣, 포신/수정/방벽 상단부를 과장. 석재·흑철·마력수정 재질을 2~3단 명암으로 단순화. 사거리 4, 타겟 4, 공중대응 가능. 상태효과 같은 칸에 있는 모든 캐릭터에게
데미지 부여, 데미지를 입은 유닛 칸 및 인근 2칸 빙결 효과 및 동일 데미지 부여, 단 인근 2칸이라 함은 반드시 적 유닛 이동 경로여야함,. 탑뷰 3/4, 96x96, 3등신 내외, 12~16색, 선명한 외곽선, 게임플레이 가독성 우선.</x:v>
      </x:c>
      <x:c r="I90" s="42" t="str">
        <x:v>실루엣 겹침, 지나친 장식, 작은 텍스트/문양</x:v>
      </x:c>
      <x:c r="J90" s="42" t="str">
        <x:v>인게임 도트용</x:v>
      </x:c>
    </x:row>
    <x:row r="91">
      <x:c r="A91" s="42" t="str">
        <x:v>아군 캐릭터</x:v>
      </x:c>
      <x:c r="B91" s="42" t="str">
        <x:v>아군</x:v>
      </x:c>
      <x:c r="C91" s="42" t="str">
        <x:v>캐릭터</x:v>
      </x:c>
      <x:c r="D91" s="42" t="str">
        <x:v>견습 기사</x:v>
      </x:c>
      <x:c r="E91" s="42" t="str">
        <x:v>단일 / 상태효과 없음</x:v>
      </x:c>
      <x:c r="F91" s="42" t="str">
        <x:v>무기/포신/결정체 등 핵심 한 요소 과장</x:v>
      </x:c>
      <x:c r="G91" s="42" t="str">
        <x:v>중성 갑주/의상 + 직업별 고유 포인트색</x:v>
      </x:c>
      <x:c r="H91" s="42" t="str">
        <x:v>견습 기사: 단일 공격 역할. 무기와 직업 상징이 한눈에 읽히는 SD 실루엣, 머리·무기·망토 크기를 약간 과장. 천/가죽/금속을 색 블록으로 분리. 사거리 1, 타겟 1, 공중대응 불가능. 상태효과 없음. 탑뷰 3/4, 96x96, 3등신 내외, 12~16색, 선명한 외곽선, 게임플레이 가독성 우선.</x:v>
      </x:c>
      <x:c r="I91" s="42" t="str">
        <x:v>실루엣 겹침, 지나친 장식, 작은 텍스트/문양</x:v>
      </x:c>
      <x:c r="J91" s="42" t="str">
        <x:v>인게임 도트용</x:v>
      </x:c>
    </x:row>
    <x:row r="92">
      <x:c r="A92" s="42" t="str">
        <x:v>아군 캐릭터</x:v>
      </x:c>
      <x:c r="B92" s="42" t="str">
        <x:v>아군</x:v>
      </x:c>
      <x:c r="C92" s="42" t="str">
        <x:v>캐릭터</x:v>
      </x:c>
      <x:c r="D92" s="42" t="str">
        <x:v>상급 기사</x:v>
      </x:c>
      <x:c r="E92" s="42" t="str">
        <x:v>단일 / 상태효과 없음</x:v>
      </x:c>
      <x:c r="F92" s="42" t="str">
        <x:v>무기/포신/결정체 등 핵심 한 요소 과장</x:v>
      </x:c>
      <x:c r="G92" s="42" t="str">
        <x:v>중성 갑주/의상 + 직업별 고유 포인트색</x:v>
      </x:c>
      <x:c r="H92" s="42" t="str">
        <x:v>상급 기사: 단일 공격 역할. 무기와 직업 상징이 한눈에 읽히는 SD 실루엣, 머리·무기·망토 크기를 약간 과장. 천/가죽/금속을 색 블록으로 분리. 사거리 1, 타겟 1, 공중대응 불가능. 상태효과 없음. 탑뷰 3/4, 96x96, 3등신 내외, 12~16색, 선명한 외곽선, 게임플레이 가독성 우선.</x:v>
      </x:c>
      <x:c r="I92" s="42" t="str">
        <x:v>실루엣 겹침, 지나친 장식, 작은 텍스트/문양</x:v>
      </x:c>
      <x:c r="J92" s="42" t="str">
        <x:v>인게임 도트용</x:v>
      </x:c>
    </x:row>
    <x:row r="93">
      <x:c r="A93" s="42" t="str">
        <x:v>아군 캐릭터</x:v>
      </x:c>
      <x:c r="B93" s="42" t="str">
        <x:v>아군</x:v>
      </x:c>
      <x:c r="C93" s="42" t="str">
        <x:v>캐릭터</x:v>
      </x:c>
      <x:c r="D93" s="42" t="str">
        <x:v>기사 단장</x:v>
      </x:c>
      <x:c r="E93" s="42" t="str">
        <x:v>관통 / 상태효과 없음</x:v>
      </x:c>
      <x:c r="F93" s="42" t="str">
        <x:v>무기/포신/결정체 등 핵심 한 요소 과장</x:v>
      </x:c>
      <x:c r="G93" s="42" t="str">
        <x:v>중성 갑주/의상 + 직업별 고유 포인트색</x:v>
      </x:c>
      <x:c r="H93" s="42" t="str">
        <x:v>기사 단장: 관통 공격 역할. 무기와 직업 상징이 한눈에 읽히는 SD 실루엣, 머리·무기·망토 크기를 약간 과장. 천/가죽/금속을 색 블록으로 분리. 사거리 1, 타겟 2, 공중대응 불가능. 상태효과 없음. 탑뷰 3/4, 96x96, 3등신 내외, 12~16색, 선명한 외곽선, 게임플레이 가독성 우선.</x:v>
      </x:c>
      <x:c r="I93" s="42" t="str">
        <x:v>실루엣 겹침, 지나친 장식, 작은 텍스트/문양</x:v>
      </x:c>
      <x:c r="J93" s="42" t="str">
        <x:v>인게임 도트용</x:v>
      </x:c>
    </x:row>
    <x:row r="94">
      <x:c r="A94" s="42" t="str">
        <x:v>아군 캐릭터</x:v>
      </x:c>
      <x:c r="B94" s="42" t="str">
        <x:v>아군</x:v>
      </x:c>
      <x:c r="C94" s="42" t="str">
        <x:v>캐릭터</x:v>
      </x:c>
      <x:c r="D94" s="42" t="str">
        <x:v>광전사</x:v>
      </x:c>
      <x:c r="E94" s="42" t="str">
        <x:v>관통/광역 / 상태효과 없음</x:v>
      </x:c>
      <x:c r="F94" s="42" t="str">
        <x:v>무기/포신/결정체 등 핵심 한 요소 과장</x:v>
      </x:c>
      <x:c r="G94" s="42" t="str">
        <x:v>중성 갑주/의상 + 직업별 고유 포인트색</x:v>
      </x:c>
      <x:c r="H94" s="42" t="str">
        <x:v>광전사: 관통/광역 공격 역할. 무기와 직업 상징이 한눈에 읽히는 SD 실루엣, 머리·무기·망토 크기를 약간 과장. 천/가죽/금속을 색 블록으로 분리. 사거리 1, 타겟 3, 공중대응 불가능. 상태효과 없음. 탑뷰 3/4, 96x96, 3등신 내외, 12~16색, 선명한 외곽선, 게임플레이 가독성 우선.</x:v>
      </x:c>
      <x:c r="I94" s="42" t="str">
        <x:v>실루엣 겹침, 지나친 장식, 작은 텍스트/문양</x:v>
      </x:c>
      <x:c r="J94" s="42" t="str">
        <x:v>인게임 도트용</x:v>
      </x:c>
    </x:row>
    <x:row r="95">
      <x:c r="A95" s="42" t="str">
        <x:v>아군 캐릭터</x:v>
      </x:c>
      <x:c r="B95" s="42" t="str">
        <x:v>아군</x:v>
      </x:c>
      <x:c r="C95" s="42" t="str">
        <x:v>캐릭터</x:v>
      </x:c>
      <x:c r="D95" s="42" t="str">
        <x:v>견습 궁수</x:v>
      </x:c>
      <x:c r="E95" s="42" t="str">
        <x:v>단일 / 상태효과 없음</x:v>
      </x:c>
      <x:c r="F95" s="42" t="str">
        <x:v>무기/포신/결정체 등 핵심 한 요소 과장</x:v>
      </x:c>
      <x:c r="G95" s="42" t="str">
        <x:v>중성 갑주/의상 + 직업별 고유 포인트색</x:v>
      </x:c>
      <x:c r="H95" s="42" t="str">
        <x:v>견습 궁수: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x:v>
      </x:c>
      <x:c r="I95" s="42" t="str">
        <x:v>실루엣 겹침, 지나친 장식, 작은 텍스트/문양</x:v>
      </x:c>
      <x:c r="J95" s="42" t="str">
        <x:v>인게임 도트용</x:v>
      </x:c>
    </x:row>
    <x:row r="96">
      <x:c r="A96" s="42" t="str">
        <x:v>아군 캐릭터</x:v>
      </x:c>
      <x:c r="B96" s="42" t="str">
        <x:v>아군</x:v>
      </x:c>
      <x:c r="C96" s="42" t="str">
        <x:v>캐릭터</x:v>
      </x:c>
      <x:c r="D96" s="42" t="str">
        <x:v>저격수</x:v>
      </x:c>
      <x:c r="E96" s="42" t="str">
        <x:v>단일 / 상태효과 없음</x:v>
      </x:c>
      <x:c r="F96" s="42" t="str">
        <x:v>무기/포신/결정체 등 핵심 한 요소 과장</x:v>
      </x:c>
      <x:c r="G96" s="42" t="str">
        <x:v>중성 갑주/의상 + 직업별 고유 포인트색</x:v>
      </x:c>
      <x:c r="H96" s="42" t="str">
        <x:v>저격수: 단일 공격 역할. 무기와 직업 상징이 한눈에 읽히는 SD 실루엣, 머리·무기·망토 크기를 약간 과장. 천/가죽/금속을 색 블록으로 분리. 사거리 5, 타겟 1, 공중대응 가능. 상태효과 없음. 탑뷰 3/4, 96x96, 3등신 내외, 12~16색, 선명한 외곽선, 게임플레이 가독성 우선.</x:v>
      </x:c>
      <x:c r="I96" s="42" t="str">
        <x:v>실루엣 겹침, 지나친 장식, 작은 텍스트/문양</x:v>
      </x:c>
      <x:c r="J96" s="42" t="str">
        <x:v>인게임 도트용</x:v>
      </x:c>
    </x:row>
    <x:row r="97">
      <x:c r="A97" s="42" t="str">
        <x:v>아군 캐릭터</x:v>
      </x:c>
      <x:c r="B97" s="42" t="str">
        <x:v>아군</x:v>
      </x:c>
      <x:c r="C97" s="42" t="str">
        <x:v>캐릭터</x:v>
      </x:c>
      <x:c r="D97" s="42" t="str">
        <x:v>석궁수</x:v>
      </x:c>
      <x:c r="E97" s="42" t="str">
        <x:v>관통 / 상태효과 없음</x:v>
      </x:c>
      <x:c r="F97" s="42" t="str">
        <x:v>무기/포신/결정체 등 핵심 한 요소 과장</x:v>
      </x:c>
      <x:c r="G97" s="42" t="str">
        <x:v>중성 갑주/의상 + 직업별 고유 포인트색</x:v>
      </x:c>
      <x:c r="H97" s="42" t="str">
        <x:v>석궁수: 관통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x:v>
      </x:c>
      <x:c r="I97" s="42" t="str">
        <x:v>실루엣 겹침, 지나친 장식, 작은 텍스트/문양</x:v>
      </x:c>
      <x:c r="J97" s="42" t="str">
        <x:v>인게임 도트용</x:v>
      </x:c>
    </x:row>
    <x:row r="98">
      <x:c r="A98" s="42" t="str">
        <x:v>아군 캐릭터</x:v>
      </x:c>
      <x:c r="B98" s="42" t="str">
        <x:v>아군</x:v>
      </x:c>
      <x:c r="C98" s="42" t="str">
        <x:v>캐릭터</x:v>
      </x:c>
      <x:c r="D98" s="42" t="str">
        <x:v>연사 궁병</x:v>
      </x:c>
      <x:c r="E98" s="42" t="str">
        <x:v>관통/광역 / 상태효과 없음</x:v>
      </x:c>
      <x:c r="F98" s="42" t="str">
        <x:v>무기/포신/결정체 등 핵심 한 요소 과장</x:v>
      </x:c>
      <x:c r="G98" s="42" t="str">
        <x:v>중성 갑주/의상 + 직업별 고유 포인트색</x:v>
      </x:c>
      <x:c r="H98" s="42" t="str">
        <x:v>연사 궁병: 관통/광역 공격 역할. 무기와 직업 상징이 한눈에 읽히는 SD 실루엣, 머리·무기·망토 크기를 약간 과장. 천/가죽/금속을 색 블록으로 분리. 사거리 4, 타겟 3, 공중대응 가능. 상태효과 없음. 탑뷰 3/4, 96x96, 3등신 내외, 12~16색, 선명한 외곽선, 게임플레이 가독성 우선.</x:v>
      </x:c>
      <x:c r="I98" s="42" t="str">
        <x:v>실루엣 겹침, 지나친 장식, 작은 텍스트/문양</x:v>
      </x:c>
      <x:c r="J98" s="42" t="str">
        <x:v>인게임 도트용</x:v>
      </x:c>
    </x:row>
    <x:row r="99">
      <x:c r="A99" s="42" t="str">
        <x:v>아군 캐릭터</x:v>
      </x:c>
      <x:c r="B99" s="42" t="str">
        <x:v>아군</x:v>
      </x:c>
      <x:c r="C99" s="42" t="str">
        <x:v>캐릭터</x:v>
      </x:c>
      <x:c r="D99" s="42" t="str">
        <x:v>투창병</x:v>
      </x:c>
      <x:c r="E99" s="42" t="str">
        <x:v>관통 / 상태효과 없음</x:v>
      </x:c>
      <x:c r="F99" s="42" t="str">
        <x:v>무기/포신/결정체 등 핵심 한 요소 과장</x:v>
      </x:c>
      <x:c r="G99" s="42" t="str">
        <x:v>중성 갑주/의상 + 직업별 고유 포인트색</x:v>
      </x:c>
      <x:c r="H99" s="42" t="str">
        <x:v>투창병: 관통 공격 역할. 무기와 직업 상징이 한눈에 읽히는 SD 실루엣, 머리·무기·망토 크기를 약간 과장. 천/가죽/금속을 색 블록으로 분리. 사거리 2, 타겟 2, 공중대응 불가능. 상태효과 없음. 탑뷰 3/4, 96x96, 3등신 내외, 12~16색, 선명한 외곽선, 게임플레이 가독성 우선.</x:v>
      </x:c>
      <x:c r="I99" s="42" t="str">
        <x:v>실루엣 겹침, 지나친 장식, 작은 텍스트/문양</x:v>
      </x:c>
      <x:c r="J99" s="42" t="str">
        <x:v>인게임 도트용</x:v>
      </x:c>
    </x:row>
    <x:row r="100">
      <x:c r="A100" s="42" t="str">
        <x:v>아군 캐릭터</x:v>
      </x:c>
      <x:c r="B100" s="42" t="str">
        <x:v>아군</x:v>
      </x:c>
      <x:c r="C100" s="42" t="str">
        <x:v>캐릭터</x:v>
      </x:c>
      <x:c r="D100" s="42" t="str">
        <x:v>프리 랜서</x:v>
      </x:c>
      <x:c r="E100" s="42" t="str">
        <x:v>관통 / 상태효과 없음</x:v>
      </x:c>
      <x:c r="F100" s="42" t="str">
        <x:v>무기/포신/결정체 등 핵심 한 요소 과장</x:v>
      </x:c>
      <x:c r="G100" s="42" t="str">
        <x:v>중성 갑주/의상 + 직업별 고유 포인트색</x:v>
      </x:c>
      <x:c r="H100" s="42" t="str">
        <x:v>프리 랜서: 관통 공격 역할. 무기와 직업 상징이 한눈에 읽히는 SD 실루엣, 머리·무기·망토 크기를 약간 과장. 천/가죽/금속을 색 블록으로 분리. 사거리 3, 타겟 2, 공중대응 가능. 상태효과 없음. 탑뷰 3/4, 96x96, 3등신 내외, 12~16색, 선명한 외곽선, 게임플레이 가독성 우선.</x:v>
      </x:c>
      <x:c r="I100" s="42" t="str">
        <x:v>실루엣 겹침, 지나친 장식, 작은 텍스트/문양</x:v>
      </x:c>
      <x:c r="J100" s="42" t="str">
        <x:v>인게임 도트용</x:v>
      </x:c>
    </x:row>
    <x:row r="101">
      <x:c r="A101" s="42" t="str">
        <x:v>아군 캐릭터</x:v>
      </x:c>
      <x:c r="B101" s="42" t="str">
        <x:v>아군</x:v>
      </x:c>
      <x:c r="C101" s="42" t="str">
        <x:v>캐릭터</x:v>
      </x:c>
      <x:c r="D101" s="42" t="str">
        <x:v>엘리트 랜서</x:v>
      </x:c>
      <x:c r="E101" s="42" t="str">
        <x:v>관통/광역 / 상태효과 없음</x:v>
      </x:c>
      <x:c r="F101" s="42" t="str">
        <x:v>무기/포신/결정체 등 핵심 한 요소 과장</x:v>
      </x:c>
      <x:c r="G101" s="42" t="str">
        <x:v>중성 갑주/의상 + 직업별 고유 포인트색</x:v>
      </x:c>
      <x:c r="H101" s="42" t="str">
        <x:v>엘리트 랜서: 관통/광역 공격 역할. 무기와 직업 상징이 한눈에 읽히는 SD 실루엣, 머리·무기·망토 크기를 약간 과장. 천/가죽/금속을 색 블록으로 분리. 사거리 3, 타겟 3, 공중대응 가능. 상태효과 없음. 탑뷰 3/4, 96x96, 3등신 내외, 12~16색, 선명한 외곽선, 게임플레이 가독성 우선.</x:v>
      </x:c>
      <x:c r="I101" s="42" t="str">
        <x:v>실루엣 겹침, 지나친 장식, 작은 텍스트/문양</x:v>
      </x:c>
      <x:c r="J101" s="42" t="str">
        <x:v>인게임 도트용</x:v>
      </x:c>
    </x:row>
    <x:row r="102">
      <x:c r="A102" s="42" t="str">
        <x:v>아군 캐릭터</x:v>
      </x:c>
      <x:c r="B102" s="42" t="str">
        <x:v>아군</x:v>
      </x:c>
      <x:c r="C102" s="42" t="str">
        <x:v>캐릭터</x:v>
      </x:c>
      <x:c r="D102" s="42" t="str">
        <x:v>마창병</x:v>
      </x:c>
      <x:c r="E102" s="42" t="str">
        <x:v>관통/지속 / 상태효과 없음</x:v>
      </x:c>
      <x:c r="F102" s="42" t="str">
        <x:v>무기/포신/결정체 등 핵심 한 요소 과장</x:v>
      </x:c>
      <x:c r="G102" s="42" t="str">
        <x:v>중성 갑주/의상 + 직업별 고유 포인트색</x:v>
      </x:c>
      <x:c r="H102" s="42" t="str">
        <x:v>마창병: 관통/지속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x:v>
      </x:c>
      <x:c r="I102" s="42" t="str">
        <x:v>실루엣 겹침, 지나친 장식, 작은 텍스트/문양</x:v>
      </x:c>
      <x:c r="J102" s="42" t="str">
        <x:v>인게임 도트용</x:v>
      </x:c>
    </x:row>
    <x:row r="103">
      <x:c r="A103" s="42" t="str">
        <x:v>아군 캐릭터</x:v>
      </x:c>
      <x:c r="B103" s="42" t="str">
        <x:v>아군</x:v>
      </x:c>
      <x:c r="C103" s="42" t="str">
        <x:v>캐릭터</x:v>
      </x:c>
      <x:c r="D103" s="42" t="str">
        <x:v>무희</x:v>
      </x:c>
      <x:c r="E103" s="42" t="str">
        <x:v>단일 / 인근1칸 아군에게 공속/공격력증가</x:v>
      </x:c>
      <x:c r="F103" s="42" t="str">
        <x:v>무기/포신/결정체 등 핵심 한 요소 과장</x:v>
      </x:c>
      <x:c r="G103" s="42" t="str">
        <x:v>중성 갑주/의상 + 직업별 고유 포인트색</x:v>
      </x:c>
      <x:c r="H103" s="42" t="str">
        <x:v>무희: 단일 공격 역할. 무기와 직업 상징이 한눈에 읽히는 SD 실루엣, 머리·무기·망토 크기를 약간 과장. 천/가죽/금속을 색 블록으로 분리. 사거리 2, 타겟 1, 공중대응 불가능. 상태효과 인근1칸 아군에게 공속/공격력증가. 탑뷰 3/4, 96x96, 3등신 내외, 12~16색, 선명한 외곽선, 게임플레이 가독성 우선.</x:v>
      </x:c>
      <x:c r="I103" s="42" t="str">
        <x:v>실루엣 겹침, 지나친 장식, 작은 텍스트/문양</x:v>
      </x:c>
      <x:c r="J103" s="42" t="str">
        <x:v>인게임 도트용</x:v>
      </x:c>
    </x:row>
    <x:row r="104">
      <x:c r="A104" s="42" t="str">
        <x:v>아군 캐릭터</x:v>
      </x:c>
      <x:c r="B104" s="42" t="str">
        <x:v>아군</x:v>
      </x:c>
      <x:c r="C104" s="42" t="str">
        <x:v>캐릭터</x:v>
      </x:c>
      <x:c r="D104" s="42" t="str">
        <x:v>무희 단장</x:v>
      </x:c>
      <x:c r="E104" s="42" t="str">
        <x:v>단일 / 인근2칸 아군에게 공속/공격력증가</x:v>
      </x:c>
      <x:c r="F104" s="42" t="str">
        <x:v>무기/포신/결정체 등 핵심 한 요소 과장</x:v>
      </x:c>
      <x:c r="G104" s="42" t="str">
        <x:v>중성 갑주/의상 + 직업별 고유 포인트색</x:v>
      </x:c>
      <x:c r="H104" s="42" t="str">
        <x:v>무희 단장: 단일 공격 역할. 무기와 직업 상징이 한눈에 읽히는 SD 실루엣, 머리·무기·망토 크기를 약간 과장. 천/가죽/금속을 색 블록으로 분리. 사거리 3, 타겟 1, 공중대응 불가능. 상태효과 인근2칸 아군에게 공속/공격력증가. 탑뷰 3/4, 96x96, 3등신 내외, 12~16색, 선명한 외곽선, 게임플레이 가독성 우선.</x:v>
      </x:c>
      <x:c r="I104" s="42" t="str">
        <x:v>실루엣 겹침, 지나친 장식, 작은 텍스트/문양</x:v>
      </x:c>
      <x:c r="J104" s="42" t="str">
        <x:v>인게임 도트용</x:v>
      </x:c>
    </x:row>
    <x:row r="105">
      <x:c r="A105" s="42" t="str">
        <x:v>아군 캐릭터</x:v>
      </x:c>
      <x:c r="B105" s="42" t="str">
        <x:v>아군</x:v>
      </x:c>
      <x:c r="C105" s="42" t="str">
        <x:v>캐릭터</x:v>
      </x:c>
      <x:c r="D105" s="42" t="str">
        <x:v>주술사</x:v>
      </x:c>
      <x:c r="E105" s="42" t="str">
        <x:v>광역 / 타겟 인근 2칸에 이속/방어력/공격력 하락(중) 부여</x:v>
      </x:c>
      <x:c r="F105" s="42" t="str">
        <x:v>무기/포신/결정체 등 핵심 한 요소 과장</x:v>
      </x:c>
      <x:c r="G105" s="42" t="str">
        <x:v>중성 갑주/의상 + 직업별 고유 포인트색</x:v>
      </x:c>
      <x:c r="H105" s="42" t="str">
        <x:v>주술사: 광역 공격 역할. 무기와 직업 상징이 한눈에 읽히는 SD 실루엣, 머리·무기·망토 크기를 약간 과장. 천/가죽/금속을 색 블록으로 분리. 사거리 4, 타겟 3, 공중대응 가능. 상태효과 타겟 인근 2칸에 이속/방어력/공격력 하락(중) 부여. 탑뷰 3/4, 96x96, 3등신 내외, 12~16색, 선명한 외곽선, 게임플레이 가독성 우선.</x:v>
      </x:c>
      <x:c r="I105" s="42" t="str">
        <x:v>실루엣 겹침, 지나친 장식, 작은 텍스트/문양</x:v>
      </x:c>
      <x:c r="J105" s="42" t="str">
        <x:v>인게임 도트용</x:v>
      </x:c>
    </x:row>
    <x:row r="106">
      <x:c r="A106" s="42" t="str">
        <x:v>아군 캐릭터</x:v>
      </x:c>
      <x:c r="B106" s="42" t="str">
        <x:v>아군</x:v>
      </x:c>
      <x:c r="C106" s="42" t="str">
        <x:v>캐릭터</x:v>
      </x:c>
      <x:c r="D106" s="42" t="str">
        <x:v>아이돌</x:v>
      </x:c>
      <x:c r="E106" s="42" t="str">
        <x:v>광역 / 모든 아군에게 공속/공격력 상승(소) 부여
모든 적군에게 이속 하락(소) 부여</x:v>
      </x:c>
      <x:c r="F106" s="42" t="str">
        <x:v>무기/포신/결정체 등 핵심 한 요소 과장</x:v>
      </x:c>
      <x:c r="G106" s="42" t="str">
        <x:v>중성 갑주/의상 + 직업별 고유 포인트색</x:v>
      </x:c>
      <x:c r="H106" s="42" t="str">
        <x:v>아이돌: 광역 공격 역할. 무기와 직업 상징이 한눈에 읽히는 SD 실루엣, 머리·무기·망토 크기를 약간 과장. 천/가죽/금속을 색 블록으로 분리. 사거리 3, 타겟 1, 공중대응 불가능. 상태효과 모든 아군에게 공속/공격력 상승(소) 부여
모든 적군에게 이속 하락(소) 부여. 탑뷰 3/4, 96x96, 3등신 내외, 12~16색, 선명한 외곽선, 게임플레이 가독성 우선.</x:v>
      </x:c>
      <x:c r="I106" s="42" t="str">
        <x:v>실루엣 겹침, 지나친 장식, 작은 텍스트/문양</x:v>
      </x:c>
      <x:c r="J106" s="42" t="str">
        <x:v>인게임 도트용</x:v>
      </x:c>
    </x:row>
    <x:row r="107">
      <x:c r="A107" s="42" t="str">
        <x:v>아군 캐릭터</x:v>
      </x:c>
      <x:c r="B107" s="42" t="str">
        <x:v>아군</x:v>
      </x:c>
      <x:c r="C107" s="42" t="str">
        <x:v>캐릭터</x:v>
      </x:c>
      <x:c r="D107" s="42" t="str">
        <x:v>마탑 수습생</x:v>
      </x:c>
      <x:c r="E107" s="42" t="str">
        <x:v>단일 / 상태효과 없음</x:v>
      </x:c>
      <x:c r="F107" s="42" t="str">
        <x:v>무기/포신/결정체 등 핵심 한 요소 과장</x:v>
      </x:c>
      <x:c r="G107" s="42" t="str">
        <x:v>중성 갑주/의상 + 직업별 고유 포인트색</x:v>
      </x:c>
      <x:c r="H107" s="42" t="str">
        <x:v>마탑 수습생: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x:v>
      </x:c>
      <x:c r="I107" s="42" t="str">
        <x:v>실루엣 겹침, 지나친 장식, 작은 텍스트/문양</x:v>
      </x:c>
      <x:c r="J107" s="42" t="str">
        <x:v>인게임 도트용</x:v>
      </x:c>
    </x:row>
    <x:row r="108">
      <x:c r="A108" s="42" t="str">
        <x:v>아군 캐릭터</x:v>
      </x:c>
      <x:c r="B108" s="42" t="str">
        <x:v>아군</x:v>
      </x:c>
      <x:c r="C108" s="42" t="str">
        <x:v>캐릭터</x:v>
      </x:c>
      <x:c r="D108" s="42" t="str">
        <x:v>대마법사</x:v>
      </x:c>
      <x:c r="E108" s="42" t="str">
        <x:v>관통/광역 / 상태효과 없음</x:v>
      </x:c>
      <x:c r="F108" s="42" t="str">
        <x:v>무기/포신/결정체 등 핵심 한 요소 과장</x:v>
      </x:c>
      <x:c r="G108" s="42" t="str">
        <x:v>중성 갑주/의상 + 직업별 고유 포인트색</x:v>
      </x:c>
      <x:c r="H108" s="42" t="str">
        <x:v>대마법사: 관통/광역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x:v>
      </x:c>
      <x:c r="I108" s="42" t="str">
        <x:v>실루엣 겹침, 지나친 장식, 작은 텍스트/문양</x:v>
      </x:c>
      <x:c r="J108" s="42" t="str">
        <x:v>인게임 도트용</x:v>
      </x:c>
    </x:row>
    <x:row r="109">
      <x:c r="A109" s="42" t="str">
        <x:v>아군 캐릭터</x:v>
      </x:c>
      <x:c r="B109" s="42" t="str">
        <x:v>아군</x:v>
      </x:c>
      <x:c r="C109" s="42" t="str">
        <x:v>캐릭터</x:v>
      </x:c>
      <x:c r="D109" s="42" t="str">
        <x:v>대 현자</x:v>
      </x:c>
      <x:c r="E109" s="42" t="str">
        <x:v>관통/광역 / 화염(지속데미지)/번개(이전데미지)/빙결(기절) 중 랜덤하게 공격</x:v>
      </x:c>
      <x:c r="F109" s="42" t="str">
        <x:v>무기/포신/결정체 등 핵심 한 요소 과장</x:v>
      </x:c>
      <x:c r="G109" s="42" t="str">
        <x:v>중성 갑주/의상 + 직업별 고유 포인트색</x:v>
      </x:c>
      <x:c r="H109" s="42" t="str">
        <x:v>대 현자: 관통/광역 공격 역할. 무기와 직업 상징이 한눈에 읽히는 SD 실루엣, 머리·무기·망토 크기를 약간 과장. 천/가죽/금속을 색 블록으로 분리. 사거리 5, 타겟 3, 공중대응 가능. 상태효과 화염(지속데미지)/번개(이전데미지)/빙결(기절) 중 랜덤하게 공격. 탑뷰 3/4, 96x96, 3등신 내외, 12~16색, 선명한 외곽선, 게임플레이 가독성 우선.</x:v>
      </x:c>
      <x:c r="I109" s="42" t="str">
        <x:v>실루엣 겹침, 지나친 장식, 작은 텍스트/문양</x:v>
      </x:c>
      <x:c r="J109" s="42" t="str">
        <x:v>인게임 도트용</x:v>
      </x:c>
    </x:row>
    <x:row r="110">
      <x:c r="A110" s="42" t="str">
        <x:v>아군 캐릭터</x:v>
      </x:c>
      <x:c r="B110" s="42" t="str">
        <x:v>아군</x:v>
      </x:c>
      <x:c r="C110" s="42" t="str">
        <x:v>캐릭터</x:v>
      </x:c>
      <x:c r="D110" s="42" t="str">
        <x:v>용언사</x:v>
      </x:c>
      <x:c r="E110" s="42" t="str">
        <x:v>관통/광역/화염 / 느리지만 데미지 개높음.
모든 적군에게 이속 하락(중)부여</x:v>
      </x:c>
      <x:c r="F110" s="42" t="str">
        <x:v>무기/포신/결정체 등 핵심 한 요소 과장</x:v>
      </x:c>
      <x:c r="G110" s="42" t="str">
        <x:v>중성 갑주/의상 + 직업별 고유 포인트색</x:v>
      </x:c>
      <x:c r="H110" s="42" t="str">
        <x:v>용언사: 관통/광역/화염 공격 역할. 무기와 직업 상징이 한눈에 읽히는 SD 실루엣, 머리·무기·망토 크기를 약간 과장. 천/가죽/금속을 색 블록으로 분리. 사거리 5, 타겟 4, 공중대응 가능. 상태효과 느리지만 데미지 개높음.
모든 적군에게 이속 하락(중)부여. 탑뷰 3/4, 96x96, 3등신 내외, 12~16색, 선명한 외곽선, 게임플레이 가독성 우선.</x:v>
      </x:c>
      <x:c r="I110" s="42" t="str">
        <x:v>실루엣 겹침, 지나친 장식, 작은 텍스트/문양</x:v>
      </x:c>
      <x:c r="J110" s="42" t="str">
        <x:v>인게임 도트용</x:v>
      </x:c>
    </x:row>
    <x:row r="111">
      <x:c r="A111" s="42" t="str">
        <x:v>아군 캐릭터</x:v>
      </x:c>
      <x:c r="B111" s="42" t="str">
        <x:v>아군</x:v>
      </x:c>
      <x:c r="C111" s="42" t="str">
        <x:v>캐릭터</x:v>
      </x:c>
      <x:c r="D111" s="42" t="str">
        <x:v>흑마법사</x:v>
      </x:c>
      <x:c r="E111" s="42" t="str">
        <x:v>관통/광역 / 모든 적군에게 이속 하락(소)부여
모든 적군에게 방어력 하락 (소) 부여
모든 적군에게 공격력 하락 (중) 부여</x:v>
      </x:c>
      <x:c r="F111" s="42" t="str">
        <x:v>무기/포신/결정체 등 핵심 한 요소 과장</x:v>
      </x:c>
      <x:c r="G111" s="42" t="str">
        <x:v>중성 갑주/의상 + 직업별 고유 포인트색</x:v>
      </x:c>
      <x:c r="H111" s="42" t="str">
        <x:v>흑마법사: 관통/광역 공격 역할. 무기와 직업 상징이 한눈에 읽히는 SD 실루엣, 머리·무기·망토 크기를 약간 과장. 천/가죽/금속을 색 블록으로 분리. 사거리 4, 타겟 3, 공중대응 가능. 상태효과 모든 적군에게 이속 하락(소)부여
모든 적군에게 방어력 하락 (소) 부여
모든 적군에게 공격력 하락 (중) 부여. 탑뷰 3/4, 96x96, 3등신 내외, 12~16색, 선명한 외곽선, 게임플레이 가독성 우선.</x:v>
      </x:c>
      <x:c r="I111" s="42" t="str">
        <x:v>실루엣 겹침, 지나친 장식, 작은 텍스트/문양</x:v>
      </x:c>
      <x:c r="J111" s="42" t="str">
        <x:v>인게임 도트용</x:v>
      </x:c>
    </x:row>
    <x:row r="112">
      <x:c r="A112" s="42" t="str">
        <x:v>아군 캐릭터</x:v>
      </x:c>
      <x:c r="B112" s="42" t="str">
        <x:v>아군</x:v>
      </x:c>
      <x:c r="C112" s="42" t="str">
        <x:v>캐릭터</x:v>
      </x:c>
      <x:c r="D112" s="42" t="str">
        <x:v>마녀</x:v>
      </x:c>
      <x:c r="E112" s="42" t="str">
        <x:v>단일 / 상태효과 없음</x:v>
      </x:c>
      <x:c r="F112" s="42" t="str">
        <x:v>무기/포신/결정체 등 핵심 한 요소 과장</x:v>
      </x:c>
      <x:c r="G112" s="42" t="str">
        <x:v>중성 갑주/의상 + 직업별 고유 포인트색</x:v>
      </x:c>
      <x:c r="H112" s="42" t="str">
        <x:v>마녀: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x:v>
      </x:c>
      <x:c r="I112" s="42" t="str">
        <x:v>실루엣 겹침, 지나친 장식, 작은 텍스트/문양</x:v>
      </x:c>
      <x:c r="J112" s="42" t="str">
        <x:v>인게임 도트용</x:v>
      </x:c>
    </x:row>
    <x:row r="113">
      <x:c r="A113" s="42" t="str">
        <x:v>아군 캐릭터</x:v>
      </x:c>
      <x:c r="B113" s="42" t="str">
        <x:v>아군</x:v>
      </x:c>
      <x:c r="C113" s="42" t="str">
        <x:v>캐릭터</x:v>
      </x:c>
      <x:c r="D113" s="42" t="str">
        <x:v>마녀 대모</x:v>
      </x:c>
      <x:c r="E113" s="42" t="str">
        <x:v>관통/광역 / 상태효과 없음</x:v>
      </x:c>
      <x:c r="F113" s="42" t="str">
        <x:v>무기/포신/결정체 등 핵심 한 요소 과장</x:v>
      </x:c>
      <x:c r="G113" s="42" t="str">
        <x:v>중성 갑주/의상 + 직업별 고유 포인트색</x:v>
      </x:c>
      <x:c r="H113" s="42" t="str">
        <x:v>마녀 대모: 관통/광역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x:v>
      </x:c>
      <x:c r="I113" s="42" t="str">
        <x:v>실루엣 겹침, 지나친 장식, 작은 텍스트/문양</x:v>
      </x:c>
      <x:c r="J113" s="42" t="str">
        <x:v>인게임 도트용</x:v>
      </x:c>
    </x:row>
    <x:row r="114">
      <x:c r="A114" s="42" t="str">
        <x:v>아군 캐릭터</x:v>
      </x:c>
      <x:c r="B114" s="42" t="str">
        <x:v>아군</x:v>
      </x:c>
      <x:c r="C114" s="42" t="str">
        <x:v>캐릭터</x:v>
      </x:c>
      <x:c r="D114" s="42" t="str">
        <x:v>죽음의 화신</x:v>
      </x:c>
      <x:c r="E114" s="42" t="str">
        <x:v>관통/광역 / 상태효과 없음</x:v>
      </x:c>
      <x:c r="F114" s="42" t="str">
        <x:v>무기/포신/결정체 등 핵심 한 요소 과장</x:v>
      </x:c>
      <x:c r="G114" s="42" t="str">
        <x:v>중성 갑주/의상 + 직업별 고유 포인트색</x:v>
      </x:c>
      <x:c r="H114" s="42" t="str">
        <x:v>죽음의 화신: 관통/광역 공격 역할. 무기와 직업 상징이 한눈에 읽히는 SD 실루엣, 머리·무기·망토 크기를 약간 과장. 천/가죽/금속을 색 블록으로 분리. 사거리 4, 타겟 3, 공중대응 가능. 상태효과 없음. 탑뷰 3/4, 96x96, 3등신 내외, 12~16색, 선명한 외곽선, 게임플레이 가독성 우선.</x:v>
      </x:c>
      <x:c r="I114" s="42" t="str">
        <x:v>실루엣 겹침, 지나친 장식, 작은 텍스트/문양</x:v>
      </x:c>
      <x:c r="J114" s="42" t="str">
        <x:v>인게임 도트용</x:v>
      </x:c>
    </x:row>
    <x:row r="115">
      <x:c r="A115" s="42" t="str">
        <x:v>아군 캐릭터</x:v>
      </x:c>
      <x:c r="B115" s="42" t="str">
        <x:v>아군</x:v>
      </x:c>
      <x:c r="C115" s="42" t="str">
        <x:v>캐릭터</x:v>
      </x:c>
      <x:c r="D115" s="42" t="str">
        <x:v>분노의 화신</x:v>
      </x:c>
      <x:c r="E115" s="42" t="str">
        <x:v>관통/광역 / 모든 아군에게 공속/공격력 상승(중)부여</x:v>
      </x:c>
      <x:c r="F115" s="42" t="str">
        <x:v>무기/포신/결정체 등 핵심 한 요소 과장</x:v>
      </x:c>
      <x:c r="G115" s="42" t="str">
        <x:v>중성 갑주/의상 + 직업별 고유 포인트색</x:v>
      </x:c>
      <x:c r="H115" s="42" t="str">
        <x:v>분노의 화신: 관통/광역 공격 역할. 무기와 직업 상징이 한눈에 읽히는 SD 실루엣, 머리·무기·망토 크기를 약간 과장. 천/가죽/금속을 색 블록으로 분리. 사거리 4, 타겟 3, 공중대응 가능. 상태효과 모든 아군에게 공속/공격력 상승(중)부여. 탑뷰 3/4, 96x96, 3등신 내외, 12~16색, 선명한 외곽선, 게임플레이 가독성 우선.</x:v>
      </x:c>
      <x:c r="I115" s="42" t="str">
        <x:v>실루엣 겹침, 지나친 장식, 작은 텍스트/문양</x:v>
      </x:c>
      <x:c r="J115" s="42" t="str">
        <x:v>인게임 도트용</x:v>
      </x:c>
    </x:row>
    <x:row r="116">
      <x:c r="A116" s="42" t="str">
        <x:v>아군 캐릭터</x:v>
      </x:c>
      <x:c r="B116" s="42" t="str">
        <x:v>아군</x:v>
      </x:c>
      <x:c r="C116" s="42" t="str">
        <x:v>캐릭터</x:v>
      </x:c>
      <x:c r="D116" s="42" t="str">
        <x:v>침묵의 화신</x:v>
      </x:c>
      <x:c r="E116" s="42" t="str">
        <x:v>관통/광역 / 5초 간격으로 스킬을 보유한 적군들에게 침묵 2초 부여</x:v>
      </x:c>
      <x:c r="F116" s="42" t="str">
        <x:v>무기/포신/결정체 등 핵심 한 요소 과장</x:v>
      </x:c>
      <x:c r="G116" s="42" t="str">
        <x:v>중성 갑주/의상 + 직업별 고유 포인트색</x:v>
      </x:c>
      <x:c r="H116" s="42" t="str">
        <x:v>침묵의 화신: 관통/광역 공격 역할. 무기와 직업 상징이 한눈에 읽히는 SD 실루엣, 머리·무기·망토 크기를 약간 과장. 천/가죽/금속을 색 블록으로 분리. 사거리 4, 타겟 3, 공중대응 가능. 상태효과 5초 간격으로 스킬을 보유한 적군들에게 침묵 2초 부여. 탑뷰 3/4, 96x96, 3등신 내외, 12~16색, 선명한 외곽선, 게임플레이 가독성 우선.</x:v>
      </x:c>
      <x:c r="I116" s="42" t="str">
        <x:v>실루엣 겹침, 지나친 장식, 작은 텍스트/문양</x:v>
      </x:c>
      <x:c r="J116" s="42" t="str">
        <x:v>인게임 도트용</x:v>
      </x:c>
    </x:row>
  </x:sheetData>
  <x:mergeCells>
    <x:mergeCell ref="A1:J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34" hidden="0" customWidth="1"/>
    <x:col min="8" max="8" width="10" hidden="0" customWidth="1"/>
  </x:cols>
  <x:sheetData>
    <x:row r="1">
      <x:c r="A1" s="753" t="str">
        <x:v>아군 캐릭터·구조물 명칭 리네이밍 제안 V1 — 기존 기능/트리는 유지</x:v>
      </x:c>
      <x:c r="B1" s="753"/>
      <x:c r="C1" s="753"/>
      <x:c r="D1" s="753"/>
      <x:c r="E1" s="753"/>
      <x:c r="F1" s="753"/>
      <x:c r="G1" s="753"/>
      <x:c r="H1" s="753"/>
    </x:row>
    <x:row r="3">
      <x:c r="A3" s="756" t="str">
        <x:v>구분</x:v>
      </x:c>
      <x:c r="B3" s="756" t="str">
        <x:v>계열</x:v>
      </x:c>
      <x:c r="C3" s="756" t="str">
        <x:v>현재 명칭</x:v>
      </x:c>
      <x:c r="D3" s="756" t="str">
        <x:v>제안 명칭</x:v>
      </x:c>
      <x:c r="E3" s="756" t="str">
        <x:v>대안 1</x:v>
      </x:c>
      <x:c r="F3" s="756" t="str">
        <x:v>대안 2</x:v>
      </x:c>
      <x:c r="G3" s="756" t="str">
        <x:v>톤/의도</x:v>
      </x:c>
      <x:c r="H3" s="756" t="str">
        <x:v>권장</x:v>
      </x:c>
    </x:row>
    <x:row r="4">
      <x:c r="A4" s="42" t="str">
        <x:v>구조물</x:v>
      </x:c>
      <x:c r="B4" s="42" t="str">
        <x:v>구조물</x:v>
      </x:c>
      <x:c r="C4" s="42" t="str">
        <x:v>방어벽</x:v>
      </x:c>
      <x:c r="D4" s="42" t="str">
        <x:v>철벽 방책</x:v>
      </x:c>
      <x:c r="E4" s="42" t="str">
        <x:v>성채 방벽</x:v>
      </x:c>
      <x:c r="F4" s="42" t="str">
        <x:v>전선 방벽</x:v>
      </x:c>
      <x:c r="G4" s="42" t="str">
        <x:v>기능이 바로 읽히면서 한 단계 더 판타지스럽게</x:v>
      </x:c>
      <x:c r="H4" s="42" t="str">
        <x:v>1안</x:v>
      </x:c>
    </x:row>
    <x:row r="5">
      <x:c r="A5" s="42" t="str">
        <x:v>구조물</x:v>
      </x:c>
      <x:c r="B5" s="42" t="str">
        <x:v>구조물</x:v>
      </x:c>
      <x:c r="C5" s="42" t="str">
        <x:v>강철 방어벽</x:v>
      </x:c>
      <x:c r="D5" s="42" t="str">
        <x:v>강철 성벽</x:v>
      </x:c>
      <x:c r="E5" s="42" t="str">
        <x:v>철갑 방벽</x:v>
      </x:c>
      <x:c r="F5" s="42" t="str">
        <x:v>강철 요새벽</x:v>
      </x:c>
      <x:c r="G5" s="42" t="str">
        <x:v>기능이 바로 읽히면서 한 단계 더 판타지스럽게</x:v>
      </x:c>
      <x:c r="H5" s="42" t="str">
        <x:v>1안</x:v>
      </x:c>
    </x:row>
    <x:row r="6">
      <x:c r="A6" s="42" t="str">
        <x:v>구조물</x:v>
      </x:c>
      <x:c r="B6" s="42" t="str">
        <x:v>구조물</x:v>
      </x:c>
      <x:c r="C6" s="42" t="str">
        <x:v>미스릴 방어벽</x:v>
      </x:c>
      <x:c r="D6" s="42" t="str">
        <x:v>미스릴 수호벽</x:v>
      </x:c>
      <x:c r="E6" s="42" t="str">
        <x:v>은빛 성채벽</x:v>
      </x:c>
      <x:c r="F6" s="42" t="str">
        <x:v>미스릴 철벽</x:v>
      </x:c>
      <x:c r="G6" s="42" t="str">
        <x:v>기능이 바로 읽히면서 한 단계 더 판타지스럽게</x:v>
      </x:c>
      <x:c r="H6" s="42" t="str">
        <x:v>1안</x:v>
      </x:c>
    </x:row>
    <x:row r="7">
      <x:c r="A7" s="42" t="str">
        <x:v>구조물</x:v>
      </x:c>
      <x:c r="B7" s="42" t="str">
        <x:v>구조물</x:v>
      </x:c>
      <x:c r="C7" s="42" t="str">
        <x:v>가시 방어벽</x:v>
      </x:c>
      <x:c r="D7" s="42" t="str">
        <x:v>철가시 방벽</x:v>
      </x:c>
      <x:c r="E7" s="42" t="str">
        <x:v>피의 가시벽</x:v>
      </x:c>
      <x:c r="F7" s="42" t="str">
        <x:v>쇄도 차단벽</x:v>
      </x:c>
      <x:c r="G7" s="42" t="str">
        <x:v>기능이 바로 읽히면서 한 단계 더 판타지스럽게</x:v>
      </x:c>
      <x:c r="H7" s="42" t="str">
        <x:v>1안</x:v>
      </x:c>
    </x:row>
    <x:row r="8">
      <x:c r="A8" s="42" t="str">
        <x:v>구조물</x:v>
      </x:c>
      <x:c r="B8" s="42" t="str">
        <x:v>구조물</x:v>
      </x:c>
      <x:c r="C8" s="42" t="str">
        <x:v>감시탑</x:v>
      </x:c>
      <x:c r="D8" s="42" t="str">
        <x:v>수호 감시탑</x:v>
      </x:c>
      <x:c r="E8" s="42" t="str">
        <x:v>전초 감시탑</x:v>
      </x:c>
      <x:c r="F8" s="42" t="str">
        <x:v>초계탑</x:v>
      </x:c>
      <x:c r="G8" s="42" t="str">
        <x:v>기능이 바로 읽히면서 한 단계 더 판타지스럽게</x:v>
      </x:c>
      <x:c r="H8" s="42" t="str">
        <x:v>1안</x:v>
      </x:c>
    </x:row>
    <x:row r="9">
      <x:c r="A9" s="42" t="str">
        <x:v>구조물</x:v>
      </x:c>
      <x:c r="B9" s="42" t="str">
        <x:v>구조물</x:v>
      </x:c>
      <x:c r="C9" s="42" t="str">
        <x:v>강화 감시탑</x:v>
      </x:c>
      <x:c r="D9" s="42" t="str">
        <x:v>정예 감시탑</x:v>
      </x:c>
      <x:c r="E9" s="42" t="str">
        <x:v>강철 감시탑</x:v>
      </x:c>
      <x:c r="F9" s="42" t="str">
        <x:v>중형 감시탑</x:v>
      </x:c>
      <x:c r="G9" s="42" t="str">
        <x:v>기능이 바로 읽히면서 한 단계 더 판타지스럽게</x:v>
      </x:c>
      <x:c r="H9" s="42" t="str">
        <x:v>1안</x:v>
      </x:c>
    </x:row>
    <x:row r="10">
      <x:c r="A10" s="42" t="str">
        <x:v>구조물</x:v>
      </x:c>
      <x:c r="B10" s="42" t="str">
        <x:v>구조물</x:v>
      </x:c>
      <x:c r="C10" s="42" t="str">
        <x:v>저격 감시탑</x:v>
      </x:c>
      <x:c r="D10" s="42" t="str">
        <x:v>매의눈 저격탑</x:v>
      </x:c>
      <x:c r="E10" s="42" t="str">
        <x:v>장거리 저격탑</x:v>
      </x:c>
      <x:c r="F10" s="42" t="str">
        <x:v>천공 저격탑</x:v>
      </x:c>
      <x:c r="G10" s="42" t="str">
        <x:v>기능이 바로 읽히면서 한 단계 더 판타지스럽게</x:v>
      </x:c>
      <x:c r="H10" s="42" t="str">
        <x:v>1안</x:v>
      </x:c>
    </x:row>
    <x:row r="11">
      <x:c r="A11" s="42" t="str">
        <x:v>구조물</x:v>
      </x:c>
      <x:c r="B11" s="42" t="str">
        <x:v>구조물</x:v>
      </x:c>
      <x:c r="C11" s="42" t="str">
        <x:v>연사 감시탑</x:v>
      </x:c>
      <x:c r="D11" s="42" t="str">
        <x:v>폭풍 연사탑</x:v>
      </x:c>
      <x:c r="E11" s="42" t="str">
        <x:v>속사 감시탑</x:v>
      </x:c>
      <x:c r="F11" s="42" t="str">
        <x:v>연발 수호탑</x:v>
      </x:c>
      <x:c r="G11" s="42" t="str">
        <x:v>기능이 바로 읽히면서 한 단계 더 판타지스럽게</x:v>
      </x:c>
      <x:c r="H11" s="42" t="str">
        <x:v>1안</x:v>
      </x:c>
    </x:row>
    <x:row r="12">
      <x:c r="A12" s="42" t="str">
        <x:v>구조물</x:v>
      </x:c>
      <x:c r="B12" s="42" t="str">
        <x:v>구조물</x:v>
      </x:c>
      <x:c r="C12" s="42" t="str">
        <x:v>관통 감시탑</x:v>
      </x:c>
      <x:c r="D12" s="42" t="str">
        <x:v>파쇄 관통탑</x:v>
      </x:c>
      <x:c r="E12" s="42" t="str">
        <x:v>철갑 관통탑</x:v>
      </x:c>
      <x:c r="F12" s="42" t="str">
        <x:v>꿰뚫는 감시탑</x:v>
      </x:c>
      <x:c r="G12" s="42" t="str">
        <x:v>기능이 바로 읽히면서 한 단계 더 판타지스럽게</x:v>
      </x:c>
      <x:c r="H12" s="42" t="str">
        <x:v>1안</x:v>
      </x:c>
    </x:row>
    <x:row r="13">
      <x:c r="A13" s="42" t="str">
        <x:v>구조물</x:v>
      </x:c>
      <x:c r="B13" s="42" t="str">
        <x:v>구조물</x:v>
      </x:c>
      <x:c r="C13" s="42" t="str">
        <x:v>발리스타</x:v>
      </x:c>
      <x:c r="D13" s="42" t="str">
        <x:v>수호 발리스타</x:v>
      </x:c>
      <x:c r="E13" s="42" t="str">
        <x:v>중형 발리스타</x:v>
      </x:c>
      <x:c r="F13" s="42" t="str">
        <x:v>성벽 발리스타</x:v>
      </x:c>
      <x:c r="G13" s="42" t="str">
        <x:v>기능이 바로 읽히면서 한 단계 더 판타지스럽게</x:v>
      </x:c>
      <x:c r="H13" s="42" t="str">
        <x:v>1안</x:v>
      </x:c>
    </x:row>
    <x:row r="14">
      <x:c r="A14" s="42" t="str">
        <x:v>구조물</x:v>
      </x:c>
      <x:c r="B14" s="42" t="str">
        <x:v>구조물</x:v>
      </x:c>
      <x:c r="C14" s="42" t="str">
        <x:v>대형 발리스타</x:v>
      </x:c>
      <x:c r="D14" s="42" t="str">
        <x:v>거신 발리스타</x:v>
      </x:c>
      <x:c r="E14" s="42" t="str">
        <x:v>중장 발리스타</x:v>
      </x:c>
      <x:c r="F14" s="42" t="str">
        <x:v>성채 발리스타</x:v>
      </x:c>
      <x:c r="G14" s="42" t="str">
        <x:v>기능이 바로 읽히면서 한 단계 더 판타지스럽게</x:v>
      </x:c>
      <x:c r="H14" s="42" t="str">
        <x:v>1안</x:v>
      </x:c>
    </x:row>
    <x:row r="15">
      <x:c r="A15" s="42" t="str">
        <x:v>구조물</x:v>
      </x:c>
      <x:c r="B15" s="42" t="str">
        <x:v>구조물</x:v>
      </x:c>
      <x:c r="C15" s="42" t="str">
        <x:v>드래곤 킬러</x:v>
      </x:c>
      <x:c r="D15" s="42" t="str">
        <x:v>용살 발리스타</x:v>
      </x:c>
      <x:c r="E15" s="42" t="str">
        <x:v>드래곤 피어서</x:v>
      </x:c>
      <x:c r="F15" s="42" t="str">
        <x:v>용격포</x:v>
      </x:c>
      <x:c r="G15" s="42" t="str">
        <x:v>기능이 바로 읽히면서 한 단계 더 판타지스럽게</x:v>
      </x:c>
      <x:c r="H15" s="42" t="str">
        <x:v>1안</x:v>
      </x:c>
    </x:row>
    <x:row r="16">
      <x:c r="A16" s="42" t="str">
        <x:v>구조물</x:v>
      </x:c>
      <x:c r="B16" s="42" t="str">
        <x:v>구조물</x:v>
      </x:c>
      <x:c r="C16" s="42" t="str">
        <x:v>플레임 발리스타</x:v>
      </x:c>
      <x:c r="D16" s="42" t="str">
        <x:v>홍염 발리스타</x:v>
      </x:c>
      <x:c r="E16" s="42" t="str">
        <x:v>화염 관통포</x:v>
      </x:c>
      <x:c r="F16" s="42" t="str">
        <x:v>불꽃 발리스타</x:v>
      </x:c>
      <x:c r="G16" s="42" t="str">
        <x:v>기능이 바로 읽히면서 한 단계 더 판타지스럽게</x:v>
      </x:c>
      <x:c r="H16" s="42" t="str">
        <x:v>1안</x:v>
      </x:c>
    </x:row>
    <x:row r="17">
      <x:c r="A17" s="42" t="str">
        <x:v>구조물</x:v>
      </x:c>
      <x:c r="B17" s="42" t="str">
        <x:v>구조물</x:v>
      </x:c>
      <x:c r="C17" s="42" t="str">
        <x:v>투석기</x:v>
      </x:c>
      <x:c r="D17" s="42" t="str">
        <x:v>공성 투석기</x:v>
      </x:c>
      <x:c r="E17" s="42" t="str">
        <x:v>중형 투석포</x:v>
      </x:c>
      <x:c r="F17" s="42" t="str">
        <x:v>바위포</x:v>
      </x:c>
      <x:c r="G17" s="42" t="str">
        <x:v>기능이 바로 읽히면서 한 단계 더 판타지스럽게</x:v>
      </x:c>
      <x:c r="H17" s="42" t="str">
        <x:v>1안</x:v>
      </x:c>
    </x:row>
    <x:row r="18">
      <x:c r="A18" s="42" t="str">
        <x:v>구조물</x:v>
      </x:c>
      <x:c r="B18" s="42" t="str">
        <x:v>구조물</x:v>
      </x:c>
      <x:c r="C18" s="42" t="str">
        <x:v>캐논 타워</x:v>
      </x:c>
      <x:c r="D18" s="42" t="str">
        <x:v>성채 캐논</x:v>
      </x:c>
      <x:c r="E18" s="42" t="str">
        <x:v>중장 캐논탑</x:v>
      </x:c>
      <x:c r="F18" s="42" t="str">
        <x:v>공성포탑</x:v>
      </x:c>
      <x:c r="G18" s="42" t="str">
        <x:v>기능이 바로 읽히면서 한 단계 더 판타지스럽게</x:v>
      </x:c>
      <x:c r="H18" s="42" t="str">
        <x:v>1안</x:v>
      </x:c>
    </x:row>
    <x:row r="19">
      <x:c r="A19" s="42" t="str">
        <x:v>구조물</x:v>
      </x:c>
      <x:c r="B19" s="42" t="str">
        <x:v>구조물</x:v>
      </x:c>
      <x:c r="C19" s="42" t="str">
        <x:v>봄버 캐논타워</x:v>
      </x:c>
      <x:c r="D19" s="42" t="str">
        <x:v>폭열 캐논탑</x:v>
      </x:c>
      <x:c r="E19" s="42" t="str">
        <x:v>파멸 포격탑</x:v>
      </x:c>
      <x:c r="F19" s="42" t="str">
        <x:v>폭쇄 캐논</x:v>
      </x:c>
      <x:c r="G19" s="42" t="str">
        <x:v>기능이 바로 읽히면서 한 단계 더 판타지스럽게</x:v>
      </x:c>
      <x:c r="H19" s="42" t="str">
        <x:v>1안</x:v>
      </x:c>
    </x:row>
    <x:row r="20">
      <x:c r="A20" s="42" t="str">
        <x:v>구조물</x:v>
      </x:c>
      <x:c r="B20" s="42" t="str">
        <x:v>구조물</x:v>
      </x:c>
      <x:c r="C20" s="42" t="str">
        <x:v>마력 캐논타워</x:v>
      </x:c>
      <x:c r="D20" s="42" t="str">
        <x:v>아케인 캐논탑</x:v>
      </x:c>
      <x:c r="E20" s="42" t="str">
        <x:v>마도 포격탑</x:v>
      </x:c>
      <x:c r="F20" s="42" t="str">
        <x:v>마력 중포탑</x:v>
      </x:c>
      <x:c r="G20" s="42" t="str">
        <x:v>기능이 바로 읽히면서 한 단계 더 판타지스럽게</x:v>
      </x:c>
      <x:c r="H20" s="42" t="str">
        <x:v>1안</x:v>
      </x:c>
    </x:row>
    <x:row r="21">
      <x:c r="A21" s="42" t="str">
        <x:v>구조물</x:v>
      </x:c>
      <x:c r="B21" s="42" t="str">
        <x:v>구조물</x:v>
      </x:c>
      <x:c r="C21" s="42" t="str">
        <x:v>마력 수정</x:v>
      </x:c>
      <x:c r="D21" s="42" t="str">
        <x:v>마도 수정탑</x:v>
      </x:c>
      <x:c r="E21" s="42" t="str">
        <x:v>마력 결정탑</x:v>
      </x:c>
      <x:c r="F21" s="42" t="str">
        <x:v>아케인 크리스탈</x:v>
      </x:c>
      <x:c r="G21" s="42" t="str">
        <x:v>기능이 바로 읽히면서 한 단계 더 판타지스럽게</x:v>
      </x:c>
      <x:c r="H21" s="42" t="str">
        <x:v>1안</x:v>
      </x:c>
    </x:row>
    <x:row r="22">
      <x:c r="A22" s="42" t="str">
        <x:v>구조물</x:v>
      </x:c>
      <x:c r="B22" s="42" t="str">
        <x:v>구조물</x:v>
      </x:c>
      <x:c r="C22" s="42" t="str">
        <x:v>충만한 마력 수정</x:v>
      </x:c>
      <x:c r="D22" s="42" t="str">
        <x:v>고밀도 마력수정</x:v>
      </x:c>
      <x:c r="E22" s="42" t="str">
        <x:v>충전 마도결정</x:v>
      </x:c>
      <x:c r="F22" s="42" t="str">
        <x:v>증폭 수정탑</x:v>
      </x:c>
      <x:c r="G22" s="42" t="str">
        <x:v>기능이 바로 읽히면서 한 단계 더 판타지스럽게</x:v>
      </x:c>
      <x:c r="H22" s="42" t="str">
        <x:v>1안</x:v>
      </x:c>
    </x:row>
    <x:row r="23">
      <x:c r="A23" s="42" t="str">
        <x:v>구조물</x:v>
      </x:c>
      <x:c r="B23" s="42" t="str">
        <x:v>구조물</x:v>
      </x:c>
      <x:c r="C23" s="42" t="str">
        <x:v>1급 용암 수정</x:v>
      </x:c>
      <x:c r="D23" s="42" t="str">
        <x:v>홍련 용암수정</x:v>
      </x:c>
      <x:c r="E23" s="42" t="str">
        <x:v>상급 화염결정</x:v>
      </x:c>
      <x:c r="F23" s="42" t="str">
        <x:v>마그마 코어</x:v>
      </x:c>
      <x:c r="G23" s="42" t="str">
        <x:v>기능이 바로 읽히면서 한 단계 더 판타지스럽게</x:v>
      </x:c>
      <x:c r="H23" s="42" t="str">
        <x:v>1안</x:v>
      </x:c>
    </x:row>
    <x:row r="24">
      <x:c r="A24" s="42" t="str">
        <x:v>구조물</x:v>
      </x:c>
      <x:c r="B24" s="42" t="str">
        <x:v>구조물</x:v>
      </x:c>
      <x:c r="C24" s="42" t="str">
        <x:v>1급 번개 수정</x:v>
      </x:c>
      <x:c r="D24" s="42" t="str">
        <x:v>뇌광 번개수정</x:v>
      </x:c>
      <x:c r="E24" s="42" t="str">
        <x:v>상급 뇌전결정</x:v>
      </x:c>
      <x:c r="F24" s="42" t="str">
        <x:v>썬더 코어</x:v>
      </x:c>
      <x:c r="G24" s="42" t="str">
        <x:v>기능이 바로 읽히면서 한 단계 더 판타지스럽게</x:v>
      </x:c>
      <x:c r="H24" s="42" t="str">
        <x:v>1안</x:v>
      </x:c>
    </x:row>
    <x:row r="25">
      <x:c r="A25" s="42" t="str">
        <x:v>구조물</x:v>
      </x:c>
      <x:c r="B25" s="42" t="str">
        <x:v>구조물</x:v>
      </x:c>
      <x:c r="C25" s="42" t="str">
        <x:v>1급 얼음 수정</x:v>
      </x:c>
      <x:c r="D25" s="42" t="str">
        <x:v>빙결 얼음수정</x:v>
      </x:c>
      <x:c r="E25" s="42" t="str">
        <x:v>상급 빙정결정</x:v>
      </x:c>
      <x:c r="F25" s="42" t="str">
        <x:v>프로스트 코어</x:v>
      </x:c>
      <x:c r="G25" s="42" t="str">
        <x:v>기능이 바로 읽히면서 한 단계 더 판타지스럽게</x:v>
      </x:c>
      <x:c r="H25" s="42" t="str">
        <x:v>1안</x:v>
      </x:c>
    </x:row>
    <x:row r="26">
      <x:c r="A26" s="42" t="str">
        <x:v>캐릭터</x:v>
      </x:c>
      <x:c r="B26" s="42" t="str">
        <x:v>캐릭터</x:v>
      </x:c>
      <x:c r="C26" s="42" t="str">
        <x:v>견습 기사</x:v>
      </x:c>
      <x:c r="D26" s="42" t="str">
        <x:v>수습 성벽기사</x:v>
      </x:c>
      <x:c r="E26" s="42" t="str">
        <x:v>견습 수호기사</x:v>
      </x:c>
      <x:c r="F26" s="42" t="str">
        <x:v>전선 견습기사</x:v>
      </x:c>
      <x:c r="G26" s="42" t="str">
        <x:v>직업 위계가 느껴지고 도트에서 역할이 연상되게</x:v>
      </x:c>
      <x:c r="H26" s="42" t="str">
        <x:v>1안</x:v>
      </x:c>
    </x:row>
    <x:row r="27">
      <x:c r="A27" s="42" t="str">
        <x:v>캐릭터</x:v>
      </x:c>
      <x:c r="B27" s="42" t="str">
        <x:v>캐릭터</x:v>
      </x:c>
      <x:c r="C27" s="42" t="str">
        <x:v>상급 기사</x:v>
      </x:c>
      <x:c r="D27" s="42" t="str">
        <x:v>정예 수호기사</x:v>
      </x:c>
      <x:c r="E27" s="42" t="str">
        <x:v>상급 성벽기사</x:v>
      </x:c>
      <x:c r="F27" s="42" t="str">
        <x:v>베테랑 기사</x:v>
      </x:c>
      <x:c r="G27" s="42" t="str">
        <x:v>직업 위계가 느껴지고 도트에서 역할이 연상되게</x:v>
      </x:c>
      <x:c r="H27" s="42" t="str">
        <x:v>1안</x:v>
      </x:c>
    </x:row>
    <x:row r="28">
      <x:c r="A28" s="42" t="str">
        <x:v>캐릭터</x:v>
      </x:c>
      <x:c r="B28" s="42" t="str">
        <x:v>캐릭터</x:v>
      </x:c>
      <x:c r="C28" s="42" t="str">
        <x:v>기사 단장</x:v>
      </x:c>
      <x:c r="D28" s="42" t="str">
        <x:v>성벽 기사단장</x:v>
      </x:c>
      <x:c r="E28" s="42" t="str">
        <x:v>왕실 기사단장</x:v>
      </x:c>
      <x:c r="F28" s="42" t="str">
        <x:v>수호 기사단장</x:v>
      </x:c>
      <x:c r="G28" s="42" t="str">
        <x:v>직업 위계가 느껴지고 도트에서 역할이 연상되게</x:v>
      </x:c>
      <x:c r="H28" s="42" t="str">
        <x:v>1안</x:v>
      </x:c>
    </x:row>
    <x:row r="29">
      <x:c r="A29" s="42" t="str">
        <x:v>캐릭터</x:v>
      </x:c>
      <x:c r="B29" s="42" t="str">
        <x:v>캐릭터</x:v>
      </x:c>
      <x:c r="C29" s="42" t="str">
        <x:v>광전사</x:v>
      </x:c>
      <x:c r="D29" s="42" t="str">
        <x:v>혈전 광전사</x:v>
      </x:c>
      <x:c r="E29" s="42" t="str">
        <x:v>폭주 전사</x:v>
      </x:c>
      <x:c r="F29" s="42" t="str">
        <x:v>전장 광전사</x:v>
      </x:c>
      <x:c r="G29" s="42" t="str">
        <x:v>직업 위계가 느껴지고 도트에서 역할이 연상되게</x:v>
      </x:c>
      <x:c r="H29" s="42" t="str">
        <x:v>1안</x:v>
      </x:c>
    </x:row>
    <x:row r="30">
      <x:c r="A30" s="42" t="str">
        <x:v>캐릭터</x:v>
      </x:c>
      <x:c r="B30" s="42" t="str">
        <x:v>캐릭터</x:v>
      </x:c>
      <x:c r="C30" s="42" t="str">
        <x:v>견습 궁수</x:v>
      </x:c>
      <x:c r="D30" s="42" t="str">
        <x:v>수습 사수</x:v>
      </x:c>
      <x:c r="E30" s="42" t="str">
        <x:v>견습 장궁병</x:v>
      </x:c>
      <x:c r="F30" s="42" t="str">
        <x:v>전선 궁수</x:v>
      </x:c>
      <x:c r="G30" s="42" t="str">
        <x:v>직업 위계가 느껴지고 도트에서 역할이 연상되게</x:v>
      </x:c>
      <x:c r="H30" s="42" t="str">
        <x:v>1안</x:v>
      </x:c>
    </x:row>
    <x:row r="31">
      <x:c r="A31" s="42" t="str">
        <x:v>캐릭터</x:v>
      </x:c>
      <x:c r="B31" s="42" t="str">
        <x:v>캐릭터</x:v>
      </x:c>
      <x:c r="C31" s="42" t="str">
        <x:v>저격수</x:v>
      </x:c>
      <x:c r="D31" s="42" t="str">
        <x:v>정예 명사수</x:v>
      </x:c>
      <x:c r="E31" s="42" t="str">
        <x:v>장거리 저격수</x:v>
      </x:c>
      <x:c r="F31" s="42" t="str">
        <x:v>매의눈 사수</x:v>
      </x:c>
      <x:c r="G31" s="42" t="str">
        <x:v>직업 위계가 느껴지고 도트에서 역할이 연상되게</x:v>
      </x:c>
      <x:c r="H31" s="42" t="str">
        <x:v>1안</x:v>
      </x:c>
    </x:row>
    <x:row r="32">
      <x:c r="A32" s="42" t="str">
        <x:v>캐릭터</x:v>
      </x:c>
      <x:c r="B32" s="42" t="str">
        <x:v>캐릭터</x:v>
      </x:c>
      <x:c r="C32" s="42" t="str">
        <x:v>석궁수</x:v>
      </x:c>
      <x:c r="D32" s="42" t="str">
        <x:v>중장 석궁수</x:v>
      </x:c>
      <x:c r="E32" s="42" t="str">
        <x:v>철궁 사수</x:v>
      </x:c>
      <x:c r="F32" s="42" t="str">
        <x:v>관통 석궁병</x:v>
      </x:c>
      <x:c r="G32" s="42" t="str">
        <x:v>직업 위계가 느껴지고 도트에서 역할이 연상되게</x:v>
      </x:c>
      <x:c r="H32" s="42" t="str">
        <x:v>1안</x:v>
      </x:c>
    </x:row>
    <x:row r="33">
      <x:c r="A33" s="42" t="str">
        <x:v>캐릭터</x:v>
      </x:c>
      <x:c r="B33" s="42" t="str">
        <x:v>캐릭터</x:v>
      </x:c>
      <x:c r="C33" s="42" t="str">
        <x:v>연사 궁병</x:v>
      </x:c>
      <x:c r="D33" s="42" t="str">
        <x:v>폭풍 연사궁병</x:v>
      </x:c>
      <x:c r="E33" s="42" t="str">
        <x:v>속사 궁병</x:v>
      </x:c>
      <x:c r="F33" s="42" t="str">
        <x:v>연발 사수</x:v>
      </x:c>
      <x:c r="G33" s="42" t="str">
        <x:v>직업 위계가 느껴지고 도트에서 역할이 연상되게</x:v>
      </x:c>
      <x:c r="H33" s="42" t="str">
        <x:v>1안</x:v>
      </x:c>
    </x:row>
    <x:row r="34">
      <x:c r="A34" s="42" t="str">
        <x:v>캐릭터</x:v>
      </x:c>
      <x:c r="B34" s="42" t="str">
        <x:v>캐릭터</x:v>
      </x:c>
      <x:c r="C34" s="42" t="str">
        <x:v>투창병</x:v>
      </x:c>
      <x:c r="D34" s="42" t="str">
        <x:v>전선 투창병</x:v>
      </x:c>
      <x:c r="E34" s="42" t="str">
        <x:v>창투척병</x:v>
      </x:c>
      <x:c r="F34" s="42" t="str">
        <x:v>척후 투창병</x:v>
      </x:c>
      <x:c r="G34" s="42" t="str">
        <x:v>직업 위계가 느껴지고 도트에서 역할이 연상되게</x:v>
      </x:c>
      <x:c r="H34" s="42" t="str">
        <x:v>1안</x:v>
      </x:c>
    </x:row>
    <x:row r="35">
      <x:c r="A35" s="42" t="str">
        <x:v>캐릭터</x:v>
      </x:c>
      <x:c r="B35" s="42" t="str">
        <x:v>캐릭터</x:v>
      </x:c>
      <x:c r="C35" s="42" t="str">
        <x:v>프리 랜서</x:v>
      </x:c>
      <x:c r="D35" s="42" t="str">
        <x:v>자유 창기병</x:v>
      </x:c>
      <x:c r="E35" s="42" t="str">
        <x:v>베테랑 랜서</x:v>
      </x:c>
      <x:c r="F35" s="42" t="str">
        <x:v>용병 창기사</x:v>
      </x:c>
      <x:c r="G35" s="42" t="str">
        <x:v>직업 위계가 느껴지고 도트에서 역할이 연상되게</x:v>
      </x:c>
      <x:c r="H35" s="42" t="str">
        <x:v>1안</x:v>
      </x:c>
    </x:row>
    <x:row r="36">
      <x:c r="A36" s="42" t="str">
        <x:v>캐릭터</x:v>
      </x:c>
      <x:c r="B36" s="42" t="str">
        <x:v>캐릭터</x:v>
      </x:c>
      <x:c r="C36" s="42" t="str">
        <x:v>엘리트 랜서</x:v>
      </x:c>
      <x:c r="D36" s="42" t="str">
        <x:v>정예 창기사</x:v>
      </x:c>
      <x:c r="E36" s="42" t="str">
        <x:v>왕실 랜서</x:v>
      </x:c>
      <x:c r="F36" s="42" t="str">
        <x:v>철갑 창기사</x:v>
      </x:c>
      <x:c r="G36" s="42" t="str">
        <x:v>직업 위계가 느껴지고 도트에서 역할이 연상되게</x:v>
      </x:c>
      <x:c r="H36" s="42" t="str">
        <x:v>1안</x:v>
      </x:c>
    </x:row>
    <x:row r="37">
      <x:c r="A37" s="42" t="str">
        <x:v>캐릭터</x:v>
      </x:c>
      <x:c r="B37" s="42" t="str">
        <x:v>캐릭터</x:v>
      </x:c>
      <x:c r="C37" s="42" t="str">
        <x:v>마창병</x:v>
      </x:c>
      <x:c r="D37" s="42" t="str">
        <x:v>마력 창기사</x:v>
      </x:c>
      <x:c r="E37" s="42" t="str">
        <x:v>룬 랜서</x:v>
      </x:c>
      <x:c r="F37" s="42" t="str">
        <x:v>마도 창병</x:v>
      </x:c>
      <x:c r="G37" s="42" t="str">
        <x:v>직업 위계가 느껴지고 도트에서 역할이 연상되게</x:v>
      </x:c>
      <x:c r="H37" s="42" t="str">
        <x:v>1안</x:v>
      </x:c>
    </x:row>
    <x:row r="38">
      <x:c r="A38" s="42" t="str">
        <x:v>캐릭터</x:v>
      </x:c>
      <x:c r="B38" s="42" t="str">
        <x:v>캐릭터</x:v>
      </x:c>
      <x:c r="C38" s="42" t="str">
        <x:v>무희</x:v>
      </x:c>
      <x:c r="D38" s="42" t="str">
        <x:v>전장의 무희</x:v>
      </x:c>
      <x:c r="E38" s="42" t="str">
        <x:v>격려의 무희</x:v>
      </x:c>
      <x:c r="F38" s="42" t="str">
        <x:v>리듬 댄서</x:v>
      </x:c>
      <x:c r="G38" s="42" t="str">
        <x:v>직업 위계가 느껴지고 도트에서 역할이 연상되게</x:v>
      </x:c>
      <x:c r="H38" s="42" t="str">
        <x:v>1안</x:v>
      </x:c>
    </x:row>
    <x:row r="39">
      <x:c r="A39" s="42" t="str">
        <x:v>캐릭터</x:v>
      </x:c>
      <x:c r="B39" s="42" t="str">
        <x:v>캐릭터</x:v>
      </x:c>
      <x:c r="C39" s="42" t="str">
        <x:v>무희 단장</x:v>
      </x:c>
      <x:c r="D39" s="42" t="str">
        <x:v>전장의 무희단장</x:v>
      </x:c>
      <x:c r="E39" s="42" t="str">
        <x:v>선율 지휘자</x:v>
      </x:c>
      <x:c r="F39" s="42" t="str">
        <x:v>무희대장</x:v>
      </x:c>
      <x:c r="G39" s="42" t="str">
        <x:v>직업 위계가 느껴지고 도트에서 역할이 연상되게</x:v>
      </x:c>
      <x:c r="H39" s="42" t="str">
        <x:v>1안</x:v>
      </x:c>
    </x:row>
    <x:row r="40">
      <x:c r="A40" s="42" t="str">
        <x:v>캐릭터</x:v>
      </x:c>
      <x:c r="B40" s="42" t="str">
        <x:v>캐릭터</x:v>
      </x:c>
      <x:c r="C40" s="42" t="str">
        <x:v>주술사</x:v>
      </x:c>
      <x:c r="D40" s="42" t="str">
        <x:v>전투 주술사</x:v>
      </x:c>
      <x:c r="E40" s="42" t="str">
        <x:v>저주의 주술사</x:v>
      </x:c>
      <x:c r="F40" s="42" t="str">
        <x:v>영혼 주술사</x:v>
      </x:c>
      <x:c r="G40" s="42" t="str">
        <x:v>직업 위계가 느껴지고 도트에서 역할이 연상되게</x:v>
      </x:c>
      <x:c r="H40" s="42" t="str">
        <x:v>1안</x:v>
      </x:c>
    </x:row>
    <x:row r="41">
      <x:c r="A41" s="42" t="str">
        <x:v>캐릭터</x:v>
      </x:c>
      <x:c r="B41" s="42" t="str">
        <x:v>캐릭터</x:v>
      </x:c>
      <x:c r="C41" s="42" t="str">
        <x:v>아이돌</x:v>
      </x:c>
      <x:c r="D41" s="42" t="str">
        <x:v>전장의 디바</x:v>
      </x:c>
      <x:c r="E41" s="42" t="str">
        <x:v>응원의 아이돌</x:v>
      </x:c>
      <x:c r="F41" s="42" t="str">
        <x:v>스타 디바</x:v>
      </x:c>
      <x:c r="G41" s="42" t="str">
        <x:v>직업 위계가 느껴지고 도트에서 역할이 연상되게</x:v>
      </x:c>
      <x:c r="H41" s="42" t="str">
        <x:v>1안</x:v>
      </x:c>
    </x:row>
    <x:row r="42">
      <x:c r="A42" s="42" t="str">
        <x:v>캐릭터</x:v>
      </x:c>
      <x:c r="B42" s="42" t="str">
        <x:v>캐릭터</x:v>
      </x:c>
      <x:c r="C42" s="42" t="str">
        <x:v>마탑 수습생</x:v>
      </x:c>
      <x:c r="D42" s="42" t="str">
        <x:v>마탑 견습술사</x:v>
      </x:c>
      <x:c r="E42" s="42" t="str">
        <x:v>수습 마도사</x:v>
      </x:c>
      <x:c r="F42" s="42" t="str">
        <x:v>아케인 수련생</x:v>
      </x:c>
      <x:c r="G42" s="42" t="str">
        <x:v>직업 위계가 느껴지고 도트에서 역할이 연상되게</x:v>
      </x:c>
      <x:c r="H42" s="42" t="str">
        <x:v>1안</x:v>
      </x:c>
    </x:row>
    <x:row r="43">
      <x:c r="A43" s="42" t="str">
        <x:v>캐릭터</x:v>
      </x:c>
      <x:c r="B43" s="42" t="str">
        <x:v>캐릭터</x:v>
      </x:c>
      <x:c r="C43" s="42" t="str">
        <x:v>대마법사</x:v>
      </x:c>
      <x:c r="D43" s="42" t="str">
        <x:v>고위 마도사</x:v>
      </x:c>
      <x:c r="E43" s="42" t="str">
        <x:v>대마도사</x:v>
      </x:c>
      <x:c r="F43" s="42" t="str">
        <x:v>아크메이지</x:v>
      </x:c>
      <x:c r="G43" s="42" t="str">
        <x:v>직업 위계가 느껴지고 도트에서 역할이 연상되게</x:v>
      </x:c>
      <x:c r="H43" s="42" t="str">
        <x:v>1안</x:v>
      </x:c>
    </x:row>
    <x:row r="44">
      <x:c r="A44" s="42" t="str">
        <x:v>캐릭터</x:v>
      </x:c>
      <x:c r="B44" s="42" t="str">
        <x:v>캐릭터</x:v>
      </x:c>
      <x:c r="C44" s="42" t="str">
        <x:v>대 현자</x:v>
      </x:c>
      <x:c r="D44" s="42" t="str">
        <x:v>대현자</x:v>
      </x:c>
      <x:c r="E44" s="42" t="str">
        <x:v>원소 현자</x:v>
      </x:c>
      <x:c r="F44" s="42" t="str">
        <x:v>아케인 세이지</x:v>
      </x:c>
      <x:c r="G44" s="42" t="str">
        <x:v>직업 위계가 느껴지고 도트에서 역할이 연상되게</x:v>
      </x:c>
      <x:c r="H44" s="42" t="str">
        <x:v>1안</x:v>
      </x:c>
    </x:row>
    <x:row r="45">
      <x:c r="A45" s="42" t="str">
        <x:v>캐릭터</x:v>
      </x:c>
      <x:c r="B45" s="42" t="str">
        <x:v>캐릭터</x:v>
      </x:c>
      <x:c r="C45" s="42" t="str">
        <x:v>용언사</x:v>
      </x:c>
      <x:c r="D45" s="42" t="str">
        <x:v>용언 마도사</x:v>
      </x:c>
      <x:c r="E45" s="42" t="str">
        <x:v>드래곤 스피커</x:v>
      </x:c>
      <x:c r="F45" s="42" t="str">
        <x:v>용맥술사</x:v>
      </x:c>
      <x:c r="G45" s="42" t="str">
        <x:v>직업 위계가 느껴지고 도트에서 역할이 연상되게</x:v>
      </x:c>
      <x:c r="H45" s="42" t="str">
        <x:v>1안</x:v>
      </x:c>
    </x:row>
    <x:row r="46">
      <x:c r="A46" s="42" t="str">
        <x:v>캐릭터</x:v>
      </x:c>
      <x:c r="B46" s="42" t="str">
        <x:v>캐릭터</x:v>
      </x:c>
      <x:c r="C46" s="42" t="str">
        <x:v>흑마법사</x:v>
      </x:c>
      <x:c r="D46" s="42" t="str">
        <x:v>심연 흑마도사</x:v>
      </x:c>
      <x:c r="E46" s="42" t="str">
        <x:v>저주 흑마법사</x:v>
      </x:c>
      <x:c r="F46" s="42" t="str">
        <x:v>다크 메이지</x:v>
      </x:c>
      <x:c r="G46" s="42" t="str">
        <x:v>직업 위계가 느껴지고 도트에서 역할이 연상되게</x:v>
      </x:c>
      <x:c r="H46" s="42" t="str">
        <x:v>1안</x:v>
      </x:c>
    </x:row>
    <x:row r="47">
      <x:c r="A47" s="42" t="str">
        <x:v>캐릭터</x:v>
      </x:c>
      <x:c r="B47" s="42" t="str">
        <x:v>캐릭터</x:v>
      </x:c>
      <x:c r="C47" s="42" t="str">
        <x:v>마녀</x:v>
      </x:c>
      <x:c r="D47" s="42" t="str">
        <x:v>전투 마녀</x:v>
      </x:c>
      <x:c r="E47" s="42" t="str">
        <x:v>황혼의 마녀</x:v>
      </x:c>
      <x:c r="F47" s="42" t="str">
        <x:v>흑장미 마녀</x:v>
      </x:c>
      <x:c r="G47" s="42" t="str">
        <x:v>직업 위계가 느껴지고 도트에서 역할이 연상되게</x:v>
      </x:c>
      <x:c r="H47" s="42" t="str">
        <x:v>1안</x:v>
      </x:c>
    </x:row>
    <x:row r="48">
      <x:c r="A48" s="42" t="str">
        <x:v>캐릭터</x:v>
      </x:c>
      <x:c r="B48" s="42" t="str">
        <x:v>캐릭터</x:v>
      </x:c>
      <x:c r="C48" s="42" t="str">
        <x:v>마녀 대모</x:v>
      </x:c>
      <x:c r="D48" s="42" t="str">
        <x:v>대마녀</x:v>
      </x:c>
      <x:c r="E48" s="42" t="str">
        <x:v>마녀 대모</x:v>
      </x:c>
      <x:c r="F48" s="42" t="str">
        <x:v>그랜드 위처</x:v>
      </x:c>
      <x:c r="G48" s="42" t="str">
        <x:v>직업 위계가 느껴지고 도트에서 역할이 연상되게</x:v>
      </x:c>
      <x:c r="H48" s="42" t="str">
        <x:v>1안</x:v>
      </x:c>
    </x:row>
    <x:row r="49">
      <x:c r="A49" s="42" t="str">
        <x:v>캐릭터</x:v>
      </x:c>
      <x:c r="B49" s="42" t="str">
        <x:v>캐릭터</x:v>
      </x:c>
      <x:c r="C49" s="42" t="str">
        <x:v>죽음의 화신</x:v>
      </x:c>
      <x:c r="D49" s="42" t="str">
        <x:v>사신의 화신</x:v>
      </x:c>
      <x:c r="E49" s="42" t="str">
        <x:v>죽음의 사도</x:v>
      </x:c>
      <x:c r="F49" s="42" t="str">
        <x:v>망자의 화신</x:v>
      </x:c>
      <x:c r="G49" s="42" t="str">
        <x:v>직업 위계가 느껴지고 도트에서 역할이 연상되게</x:v>
      </x:c>
      <x:c r="H49" s="42" t="str">
        <x:v>1안</x:v>
      </x:c>
    </x:row>
    <x:row r="50">
      <x:c r="A50" s="42" t="str">
        <x:v>캐릭터</x:v>
      </x:c>
      <x:c r="B50" s="42" t="str">
        <x:v>캐릭터</x:v>
      </x:c>
      <x:c r="C50" s="42" t="str">
        <x:v>분노의 화신</x:v>
      </x:c>
      <x:c r="D50" s="42" t="str">
        <x:v>격노의 화신</x:v>
      </x:c>
      <x:c r="E50" s="42" t="str">
        <x:v>전쟁의 화신</x:v>
      </x:c>
      <x:c r="F50" s="42" t="str">
        <x:v>분노의 사도</x:v>
      </x:c>
      <x:c r="G50" s="42" t="str">
        <x:v>직업 위계가 느껴지고 도트에서 역할이 연상되게</x:v>
      </x:c>
      <x:c r="H50" s="42" t="str">
        <x:v>1안</x:v>
      </x:c>
    </x:row>
    <x:row r="51">
      <x:c r="A51" s="42" t="str">
        <x:v>캐릭터</x:v>
      </x:c>
      <x:c r="B51" s="42" t="str">
        <x:v>캐릭터</x:v>
      </x:c>
      <x:c r="C51" s="42" t="str">
        <x:v>침묵의 화신</x:v>
      </x:c>
      <x:c r="D51" s="42" t="str">
        <x:v>적막의 화신</x:v>
      </x:c>
      <x:c r="E51" s="42" t="str">
        <x:v>침묵의 사도</x:v>
      </x:c>
      <x:c r="F51" s="42" t="str">
        <x:v>봉인의 화신</x:v>
      </x:c>
      <x:c r="G51" s="42" t="str">
        <x:v>직업 위계가 느껴지고 도트에서 역할이 연상되게</x:v>
      </x:c>
      <x:c r="H51" s="42" t="str">
        <x:v>1안</x:v>
      </x:c>
    </x:row>
  </x:sheetData>
  <x:mergeCells>
    <x:mergeCell ref="A1:H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40" hidden="0" customWidth="1"/>
    <x:col min="5" max="5" width="36" hidden="0" customWidth="1"/>
    <x:col min="6" max="6" width="26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26" hidden="0" customWidth="1"/>
    <x:col min="14" max="14" width="28" hidden="0" customWidth="1"/>
  </x:cols>
  <x:sheetData>
    <x:row r="1">
      <x:c r="A1" s="761" t="str">
        <x:v>Lucky Girls TD — 맵 구조 / 그래픽 품질 기준 V1</x:v>
      </x:c>
      <x:c r="B1" s="761"/>
      <x:c r="C1" s="761"/>
      <x:c r="D1" s="761"/>
      <x:c r="E1" s="761"/>
      <x:c r="F1" s="761"/>
      <x:c r="G1" s="761"/>
      <x:c r="H1" s="761"/>
      <x:c r="I1" s="761"/>
      <x:c r="J1" s="761"/>
      <x:c r="K1" s="761"/>
      <x:c r="L1" s="761"/>
      <x:c r="M1" s="761"/>
      <x:c r="N1" s="761"/>
    </x:row>
    <x:row r="3">
      <x:c r="A3" s="764" t="str">
        <x:v>항목</x:v>
      </x:c>
      <x:c r="B3" s="764" t="str">
        <x:v>기준</x:v>
      </x:c>
      <x:c r="C3" s="764" t="str">
        <x:v>상태</x:v>
      </x:c>
      <x:c r="D3" s="764" t="str">
        <x:v>설명</x:v>
      </x:c>
      <x:c r="E3" s="764" t="str">
        <x:v>금지/주의</x:v>
      </x:c>
      <x:c r="F3" s="764" t="str">
        <x:v>코드값</x:v>
      </x:c>
      <x:c r="H3" s="767" t="str">
        <x:v>성채 2×3 구조 도식</x:v>
      </x:c>
      <x:c r="I3" s="767"/>
      <x:c r="J3" s="767"/>
      <x:c r="K3" s="767"/>
      <x:c r="L3" s="767"/>
      <x:c r="M3" s="767"/>
      <x:c r="N3" s="767"/>
    </x:row>
    <x:row r="4">
      <x:c r="A4" s="42" t="str">
        <x:v>논리 그리드</x:v>
      </x:c>
      <x:c r="B4" s="42" t="str">
        <x:v>18×10</x:v>
      </x:c>
      <x:c r="C4" s="42" t="str">
        <x:v>고정 기준</x:v>
      </x:c>
      <x:c r="D4" s="42" t="str">
        <x:v>전투맵 전체는 18열×10행 논리 타일로 설계</x:v>
      </x:c>
      <x:c r="E4" s="42" t="str">
        <x:v>이미지 생성 시 행/열 임의 축소 금지</x:v>
      </x:c>
      <x:c r="F4" s="42" t="str">
        <x:v>grid.cols=18 / grid.rows=10</x:v>
      </x:c>
    </x:row>
    <x:row r="5">
      <x:c r="A5" s="42" t="str">
        <x:v>타일 크기</x:v>
      </x:c>
      <x:c r="B5" s="42" t="str">
        <x:v>정사각형 1칸</x:v>
      </x:c>
      <x:c r="C5" s="42" t="str">
        <x:v>고정 기준</x:v>
      </x:c>
      <x:c r="D5" s="42" t="str">
        <x:v>캐릭터/영웅/구조물은 기본 1칸 점유</x:v>
      </x:c>
      <x:c r="E5" s="42" t="str">
        <x:v>큰 패드형 자유배치 금지</x:v>
      </x:c>
      <x:c r="F5" s="42" t="str">
        <x:v>tile.unit=1</x:v>
      </x:c>
      <x:c r="J5" s="771" t="str">
        <x:v>C</x:v>
      </x:c>
      <x:c r="K5" s="771" t="str">
        <x:v>C</x:v>
      </x:c>
    </x:row>
    <x:row r="6">
      <x:c r="A6" s="42" t="str">
        <x:v>영웅/일반/구조물</x:v>
      </x:c>
      <x:c r="B6" s="42" t="str">
        <x:v>1칸</x:v>
      </x:c>
      <x:c r="C6" s="42" t="str">
        <x:v>확정</x:v>
      </x:c>
      <x:c r="D6" s="42" t="str">
        <x:v>모든 배치 오브젝트 1타일</x:v>
      </x:c>
      <x:c r="E6" s="42" t="str">
        <x:v>중첩 배치 금지</x:v>
      </x:c>
      <x:c r="F6" s="42" t="str">
        <x:v>occupy=1</x:v>
      </x:c>
      <x:c r="J6" s="772" t="str">
        <x:v>G</x:v>
      </x:c>
      <x:c r="K6" s="772" t="str">
        <x:v>G</x:v>
      </x:c>
    </x:row>
    <x:row r="7">
      <x:c r="A7" s="42" t="str">
        <x:v>적 이동로</x:v>
      </x:c>
      <x:c r="B7" s="42" t="str">
        <x:v>PATH 전용</x:v>
      </x:c>
      <x:c r="C7" s="42" t="str">
        <x:v>확정</x:v>
      </x:c>
      <x:c r="D7" s="42" t="str">
        <x:v>적군만 이동. 일반 캐릭터/영웅/일반 구조물 배치 불가</x:v>
      </x:c>
      <x:c r="E7" s="42" t="str">
        <x:v>PATH/DEPLOY 겹침 금지</x:v>
      </x:c>
      <x:c r="F7" s="42" t="str">
        <x:v>P</x:v>
      </x:c>
      <x:c r="J7" s="771" t="str">
        <x:v>C</x:v>
      </x:c>
      <x:c r="K7" s="771" t="str">
        <x:v>C</x:v>
      </x:c>
    </x:row>
    <x:row r="8">
      <x:c r="A8" s="42" t="str">
        <x:v>배치칸</x:v>
      </x:c>
      <x:c r="B8" s="42" t="str">
        <x:v>DEPLOY</x:v>
      </x:c>
      <x:c r="C8" s="42" t="str">
        <x:v>확정</x:v>
      </x:c>
      <x:c r="D8" s="42" t="str">
        <x:v>캐릭터/영웅/구조물 배치 가능</x:v>
      </x:c>
      <x:c r="E8" s="42" t="str">
        <x:v>적 이동 경로와 분리</x:v>
      </x:c>
      <x:c r="F8" s="42" t="str">
        <x:v>D</x:v>
      </x:c>
    </x:row>
    <x:row r="9">
      <x:c r="A9" s="42" t="str">
        <x:v>지형</x:v>
      </x:c>
      <x:c r="B9" s="42" t="str">
        <x:v>TERRAIN</x:v>
      </x:c>
      <x:c r="C9" s="42" t="str">
        <x:v>확정</x:v>
      </x:c>
      <x:c r="D9" s="42" t="str">
        <x:v>산, 절벽, 숲 등 비배치/비이동 공간</x:v>
      </x:c>
      <x:c r="E9" s="42" t="str">
        <x:v>장식과 기능 혼동 금지</x:v>
      </x:c>
      <x:c r="F9" s="42" t="str">
        <x:v>T</x:v>
      </x:c>
      <x:c r="H9" s="774" t="str">
        <x:v>기호</x:v>
      </x:c>
      <x:c r="I9" s="774" t="str">
        <x:v>의미</x:v>
      </x:c>
      <x:c r="J9" s="774" t="str">
        <x:v>배치</x:v>
      </x:c>
      <x:c r="K9" s="774" t="str">
        <x:v>이동</x:v>
      </x:c>
      <x:c r="L9" s="774" t="str">
        <x:v>전투 역할</x:v>
      </x:c>
      <x:c r="M9" s="774" t="str">
        <x:v>시각 표현</x:v>
      </x:c>
      <x:c r="N9" s="774" t="str">
        <x:v>비고</x:v>
      </x:c>
    </x:row>
    <x:row r="10">
      <x:c r="A10" s="42" t="str">
        <x:v>수역</x:v>
      </x:c>
      <x:c r="B10" s="42" t="str">
        <x:v>WATER</x:v>
      </x:c>
      <x:c r="C10" s="42" t="str">
        <x:v>확정</x:v>
      </x:c>
      <x:c r="D10" s="42" t="str">
        <x:v>강/호수. 기본 비배치/비이동</x:v>
      </x:c>
      <x:c r="E10" s="42" t="str">
        <x:v>다리 외 이동 금지</x:v>
      </x:c>
      <x:c r="F10" s="42" t="str">
        <x:v>W</x:v>
      </x:c>
      <x:c r="H10" s="42" t="str">
        <x:v>P</x:v>
      </x:c>
      <x:c r="I10" s="42" t="str">
        <x:v>PATH</x:v>
      </x:c>
      <x:c r="J10" s="42" t="str">
        <x:v>불가</x:v>
      </x:c>
      <x:c r="K10" s="42" t="str">
        <x:v>적군</x:v>
      </x:c>
      <x:c r="L10" s="42" t="str">
        <x:v>적 이동</x:v>
      </x:c>
      <x:c r="M10" s="42" t="str">
        <x:v>황토/석재 길</x:v>
      </x:c>
      <x:c r="N10" s="42" t="str">
        <x:v>화살표는 개발용 오버레이에서만</x:v>
      </x:c>
    </x:row>
    <x:row r="11">
      <x:c r="A11" s="42" t="str">
        <x:v>장애물</x:v>
      </x:c>
      <x:c r="B11" s="42" t="str">
        <x:v>OBSTACLE</x:v>
      </x:c>
      <x:c r="C11" s="42" t="str">
        <x:v>확정</x:v>
      </x:c>
      <x:c r="D11" s="42" t="str">
        <x:v>폐허/기둥/잔해</x:v>
      </x:c>
      <x:c r="E11" s="42" t="str">
        <x:v>배치 불가</x:v>
      </x:c>
      <x:c r="F11" s="42" t="str">
        <x:v>O</x:v>
      </x:c>
      <x:c r="H11" s="42" t="str">
        <x:v>D</x:v>
      </x:c>
      <x:c r="I11" s="42" t="str">
        <x:v>DEPLOY</x:v>
      </x:c>
      <x:c r="J11" s="42" t="str">
        <x:v>가능</x:v>
      </x:c>
      <x:c r="K11" s="42" t="str">
        <x:v>불가</x:v>
      </x:c>
      <x:c r="L11" s="42" t="str">
        <x:v>아군 배치</x:v>
      </x:c>
      <x:c r="M11" s="42" t="str">
        <x:v>잔디/석판 + 은은한 배치 표식</x:v>
      </x:c>
      <x:c r="N11" s="42" t="str">
        <x:v>실제 출시판에서는 격자 강조 약화</x:v>
      </x:c>
    </x:row>
    <x:row r="12">
      <x:c r="A12" s="42" t="str">
        <x:v>방어벽 전용칸</x:v>
      </x:c>
      <x:c r="B12" s="42" t="str">
        <x:v>WALL</x:v>
      </x:c>
      <x:c r="C12" s="42" t="str">
        <x:v>확정</x:v>
      </x:c>
      <x:c r="D12" s="42" t="str">
        <x:v>PATH 위 지정 지점에만 방어벽 계열 설치 가능</x:v>
      </x:c>
      <x:c r="E12" s="42" t="str">
        <x:v>일반 유닛으로 길막 금지</x:v>
      </x:c>
      <x:c r="F12" s="42" t="str">
        <x:v>B</x:v>
      </x:c>
      <x:c r="H12" s="42" t="str">
        <x:v>T</x:v>
      </x:c>
      <x:c r="I12" s="42" t="str">
        <x:v>TERRAIN</x:v>
      </x:c>
      <x:c r="J12" s="42" t="str">
        <x:v>불가</x:v>
      </x:c>
      <x:c r="K12" s="42" t="str">
        <x:v>불가</x:v>
      </x:c>
      <x:c r="L12" s="42" t="str">
        <x:v>차단</x:v>
      </x:c>
      <x:c r="M12" s="42" t="str">
        <x:v>바위/숲/절벽</x:v>
      </x:c>
      <x:c r="N12" s="42" t="str">
        <x:v>지역 테마 반영</x:v>
      </x:c>
    </x:row>
    <x:row r="13">
      <x:c r="A13" s="42" t="str">
        <x:v>스폰</x:v>
      </x:c>
      <x:c r="B13" s="42" t="str">
        <x:v>SPAWN</x:v>
      </x:c>
      <x:c r="C13" s="42" t="str">
        <x:v>확정</x:v>
      </x:c>
      <x:c r="D13" s="42" t="str">
        <x:v>적 출현 시작점</x:v>
      </x:c>
      <x:c r="E13" s="42" t="str">
        <x:v>배치 금지</x:v>
      </x:c>
      <x:c r="F13" s="42" t="str">
        <x:v>S</x:v>
      </x:c>
      <x:c r="H13" s="42" t="str">
        <x:v>B</x:v>
      </x:c>
      <x:c r="I13" s="42" t="str">
        <x:v>WALL</x:v>
      </x:c>
      <x:c r="J13" s="42" t="str">
        <x:v>방어벽만</x:v>
      </x:c>
      <x:c r="K13" s="42" t="str">
        <x:v>적 멈춤</x:v>
      </x:c>
      <x:c r="L13" s="42" t="str">
        <x:v>병목</x:v>
      </x:c>
      <x:c r="M13" s="42" t="str">
        <x:v>길 위 강화 테두리</x:v>
      </x:c>
      <x:c r="N13" s="42" t="str">
        <x:v>지정칸만</x:v>
      </x:c>
    </x:row>
    <x:row r="14">
      <x:c r="A14" s="42" t="str">
        <x:v>성채</x:v>
      </x:c>
      <x:c r="B14" s="42" t="str">
        <x:v>2×3</x:v>
      </x:c>
      <x:c r="C14" s="42" t="str">
        <x:v>확정</x:v>
      </x:c>
      <x:c r="D14" s="42" t="str">
        <x:v>최종 목적지. C/C, G/G, C/C 구성</x:v>
      </x:c>
      <x:c r="E14" s="42" t="str">
        <x:v>단일 대형문만 표현 금지</x:v>
      </x:c>
      <x:c r="F14" s="42" t="str">
        <x:v>C/G</x:v>
      </x:c>
      <x:c r="H14" s="42" t="str">
        <x:v>C/G</x:v>
      </x:c>
      <x:c r="I14" s="42" t="str">
        <x:v>CASTLE</x:v>
      </x:c>
      <x:c r="J14" s="42" t="str">
        <x:v>C만 가능</x:v>
      </x:c>
      <x:c r="K14" s="42" t="str">
        <x:v>적 목표</x:v>
      </x:c>
      <x:c r="L14" s="42" t="str">
        <x:v>최종방어</x:v>
      </x:c>
      <x:c r="M14" s="42" t="str">
        <x:v>성채/성문</x:v>
      </x:c>
      <x:c r="N14" s="42" t="str">
        <x:v>우측 또는 지역 방향에 맞춰 배치</x:v>
      </x:c>
    </x:row>
    <x:row r="15">
      <x:c r="A15" s="42" t="str">
        <x:v>성문</x:v>
      </x:c>
      <x:c r="B15" s="42" t="str">
        <x:v>G 2칸</x:v>
      </x:c>
      <x:c r="C15" s="42" t="str">
        <x:v>확정</x:v>
      </x:c>
      <x:c r="D15" s="42" t="str">
        <x:v>중앙 2칸이 시각적으로 하나의 성문</x:v>
      </x:c>
      <x:c r="E15" s="42" t="str">
        <x:v>배치 불가</x:v>
      </x:c>
      <x:c r="F15" s="42" t="str">
        <x:v>G</x:v>
      </x:c>
    </x:row>
    <x:row r="16">
      <x:c r="A16" s="42" t="str">
        <x:v>성채 방어칸</x:v>
      </x:c>
      <x:c r="B16" s="42" t="str">
        <x:v>C 4칸</x:v>
      </x:c>
      <x:c r="C16" s="42" t="str">
        <x:v>확정</x:v>
      </x:c>
      <x:c r="D16" s="42" t="str">
        <x:v>성문 위아래 4칸 방어 배치용</x:v>
      </x:c>
      <x:c r="E16" s="42" t="str">
        <x:v>성문과 기능 분리</x:v>
      </x:c>
      <x:c r="F16" s="42" t="str">
        <x:v>C</x:v>
      </x:c>
    </x:row>
    <x:row r="17">
      <x:c r="A17" s="42" t="str">
        <x:v>경로 형태</x:v>
      </x:c>
      <x:c r="B17" s="42" t="str">
        <x:v>곡선/굽이/병목</x:v>
      </x:c>
      <x:c r="C17" s="42" t="str">
        <x:v>확정</x:v>
      </x:c>
      <x:c r="D17" s="42" t="str">
        <x:v>Stage1부터 단순 직선 대신 꺾임 포함</x:v>
      </x:c>
      <x:c r="E17" s="42" t="str">
        <x:v>평면 한 줄 경로만 반복 금지</x:v>
      </x:c>
      <x:c r="F17" s="42" t="str">
        <x:v>path.style=winding</x:v>
      </x:c>
    </x:row>
    <x:row r="18">
      <x:c r="A18" s="42" t="str">
        <x:v>경로 수</x:v>
      </x:c>
      <x:c r="B18" s="42" t="str">
        <x:v>1~4</x:v>
      </x:c>
      <x:c r="C18" s="42" t="str">
        <x:v>스테이지별</x:v>
      </x:c>
      <x:c r="D18" s="42" t="str">
        <x:v>후반으로 갈수록 다중경로 증가</x:v>
      </x:c>
      <x:c r="E18" s="42" t="str">
        <x:v>5개 이상 금지</x:v>
      </x:c>
      <x:c r="F18" s="42" t="str">
        <x:v>path.count&lt;=4</x:v>
      </x:c>
    </x:row>
  </x:sheetData>
  <x:mergeCells>
    <x:mergeCell ref="A1:N1"/>
    <x:mergeCell ref="H3:N3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36" hidden="0" customWidth="1"/>
    <x:col min="5" max="5" width="10" hidden="0" customWidth="1"/>
    <x:col min="6" max="6" width="34" hidden="0" customWidth="1"/>
    <x:col min="7" max="7" width="28" hidden="0" customWidth="1"/>
    <x:col min="9" max="9" width="20" hidden="0" customWidth="1"/>
    <x:col min="10" max="10" width="16" hidden="0" customWidth="1"/>
    <x:col min="11" max="11" width="16" hidden="0" customWidth="1"/>
    <x:col min="12" max="12" width="32" hidden="0" customWidth="1"/>
    <x:col min="13" max="13" width="12" hidden="0" customWidth="1"/>
    <x:col min="14" max="14" width="14" hidden="0" customWidth="1"/>
  </x:cols>
  <x:sheetData>
    <x:row r="1">
      <x:c r="A1" s="761" t="str">
        <x:v>Lucky Girls TD — 그래픽 품질 / 표현 수준 기준 V1</x:v>
      </x:c>
      <x:c r="B1" s="761"/>
      <x:c r="C1" s="761"/>
      <x:c r="D1" s="761"/>
      <x:c r="E1" s="761"/>
      <x:c r="F1" s="761"/>
      <x:c r="G1" s="761"/>
      <x:c r="H1" s="761"/>
      <x:c r="I1" s="761"/>
      <x:c r="J1" s="761"/>
      <x:c r="K1" s="761"/>
      <x:c r="L1" s="761"/>
      <x:c r="M1" s="761"/>
      <x:c r="N1" s="761"/>
    </x:row>
    <x:row r="3">
      <x:c r="A3" s="764" t="str">
        <x:v>구분</x:v>
      </x:c>
      <x:c r="B3" s="764" t="str">
        <x:v>기준</x:v>
      </x:c>
      <x:c r="C3" s="764" t="str">
        <x:v>권장 수치/방식</x:v>
      </x:c>
      <x:c r="D3" s="764" t="str">
        <x:v>표현 목표</x:v>
      </x:c>
      <x:c r="E3" s="764" t="str">
        <x:v>필수</x:v>
      </x:c>
      <x:c r="F3" s="764" t="str">
        <x:v>피해야 할 것</x:v>
      </x:c>
      <x:c r="G3" s="764" t="str">
        <x:v>코드 태그</x:v>
      </x:c>
      <x:c r="I3" s="767" t="str">
        <x:v>현재 승인된 화면 방향 요약</x:v>
      </x:c>
      <x:c r="J3" s="767"/>
      <x:c r="K3" s="767"/>
      <x:c r="L3" s="767"/>
      <x:c r="M3" s="767"/>
      <x:c r="N3" s="767"/>
    </x:row>
    <x:row r="4">
      <x:c r="A4" s="42" t="str">
        <x:v>전체 톤</x:v>
      </x:c>
      <x:c r="B4" s="42" t="str">
        <x:v>고품질 SD 픽셀 판타지</x:v>
      </x:c>
      <x:c r="C4" s="42" t="str">
        <x:v>밝고 선명한 팔레트 + 세밀한 환경</x:v>
      </x:c>
      <x:c r="D4" s="42" t="str">
        <x:v>저가형 도트가 아니라 상용 모바일 수준</x:v>
      </x:c>
      <x:c r="E4" s="42" t="str">
        <x:v>O</x:v>
      </x:c>
      <x:c r="F4" s="42" t="str">
        <x:v>너무 단순한 8bit/16bit 복고풍</x:v>
      </x:c>
      <x:c r="G4" s="42" t="str">
        <x:v>art.style=polished_sd_pixel</x:v>
      </x:c>
    </x:row>
    <x:row r="5">
      <x:c r="A5" s="42" t="str">
        <x:v>카메라</x:v>
      </x:c>
      <x:c r="B5" s="42" t="str">
        <x:v>탑뷰 3/4</x:v>
      </x:c>
      <x:c r="C5" s="42" t="str">
        <x:v>약간 높은 시점</x:v>
      </x:c>
      <x:c r="D5" s="42" t="str">
        <x:v>경로/배치/캐릭터가 동시에 읽힘</x:v>
      </x:c>
      <x:c r="E5" s="42" t="str">
        <x:v>O</x:v>
      </x:c>
      <x:c r="F5" s="42" t="str">
        <x:v>완전 정탑뷰, 과도한 원근</x:v>
      </x:c>
      <x:c r="G5" s="42" t="str">
        <x:v>camera=topdown_3q</x:v>
      </x:c>
      <x:c r="I5" s="774" t="str">
        <x:v>항목</x:v>
      </x:c>
      <x:c r="J5" s="774" t="str">
        <x:v>유지</x:v>
      </x:c>
      <x:c r="K5" s="774" t="str">
        <x:v>변경 가능</x:v>
      </x:c>
      <x:c r="L5" s="774" t="str">
        <x:v>설명</x:v>
      </x:c>
      <x:c r="M5" s="774" t="str">
        <x:v>우선순위</x:v>
      </x:c>
      <x:c r="N5" s="774" t="str">
        <x:v>상태</x:v>
      </x:c>
    </x:row>
    <x:row r="6">
      <x:c r="A6" s="42" t="str">
        <x:v>캐릭터 비율</x:v>
      </x:c>
      <x:c r="B6" s="42" t="str">
        <x:v>약 2.8~3등신</x:v>
      </x:c>
      <x:c r="C6" s="42" t="str">
        <x:v>인게임 기준</x:v>
      </x:c>
      <x:c r="D6" s="42" t="str">
        <x:v>작아도 얼굴/무기/직업이 식별</x:v>
      </x:c>
      <x:c r="E6" s="42" t="str">
        <x:v>O</x:v>
      </x:c>
      <x:c r="F6" s="42" t="str">
        <x:v>실사 7~8등신</x:v>
      </x:c>
      <x:c r="G6" s="42" t="str">
        <x:v>sprite.body_ratio=3</x:v>
      </x:c>
      <x:c r="I6" s="42" t="str">
        <x:v>18×10 구조</x:v>
      </x:c>
      <x:c r="J6" s="42" t="str">
        <x:v>예</x:v>
      </x:c>
      <x:c r="K6" s="42" t="str">
        <x:v>아니오</x:v>
      </x:c>
      <x:c r="L6" s="42" t="str">
        <x:v>논리 그리드 유지</x:v>
      </x:c>
      <x:c r="M6" s="42" t="str">
        <x:v>최상</x:v>
      </x:c>
      <x:c r="N6" s="42" t="str">
        <x:v>LOCK</x:v>
      </x:c>
    </x:row>
    <x:row r="7">
      <x:c r="A7" s="42" t="str">
        <x:v>기본 캔버스</x:v>
      </x:c>
      <x:c r="B7" s="42" t="str">
        <x:v>96×96 권장</x:v>
      </x:c>
      <x:c r="C7" s="42" t="str">
        <x:v>캐릭터 1개 기준</x:v>
      </x:c>
      <x:c r="D7" s="42" t="str">
        <x:v>후처리·애니메이션 가능한 여유</x:v>
      </x:c>
      <x:c r="E7" s="42" t="str">
        <x:v>O</x:v>
      </x:c>
      <x:c r="F7" s="42" t="str">
        <x:v>32×32 수준의 과도한 저해상도</x:v>
      </x:c>
      <x:c r="G7" s="42" t="str">
        <x:v>sprite.canvas=96</x:v>
      </x:c>
      <x:c r="I7" s="42" t="str">
        <x:v>PATH/DEPLOY/TERRAIN 구분</x:v>
      </x:c>
      <x:c r="J7" s="42" t="str">
        <x:v>예</x:v>
      </x:c>
      <x:c r="K7" s="42" t="str">
        <x:v>아니오</x:v>
      </x:c>
      <x:c r="L7" s="42" t="str">
        <x:v>기능 구조 유지</x:v>
      </x:c>
      <x:c r="M7" s="42" t="str">
        <x:v>최상</x:v>
      </x:c>
      <x:c r="N7" s="42" t="str">
        <x:v>LOCK</x:v>
      </x:c>
    </x:row>
    <x:row r="8">
      <x:c r="A8" s="42" t="str">
        <x:v>팔레트</x:v>
      </x:c>
      <x:c r="B8" s="42" t="str">
        <x:v>12~24색 권장</x:v>
      </x:c>
      <x:c r="C8" s="42" t="str">
        <x:v>그림자/하이라이트 포함</x:v>
      </x:c>
      <x:c r="D8" s="42" t="str">
        <x:v>캐릭터별 고유 색 정체성</x:v>
      </x:c>
      <x:c r="E8" s="42" t="str">
        <x:v>O</x:v>
      </x:c>
      <x:c r="F8" s="42" t="str">
        <x:v>무제한 그라데이션 남발</x:v>
      </x:c>
      <x:c r="G8" s="42" t="str">
        <x:v>sprite.palette=12..24</x:v>
      </x:c>
      <x:c r="I8" s="42" t="str">
        <x:v>성채 2×3</x:v>
      </x:c>
      <x:c r="J8" s="42" t="str">
        <x:v>예</x:v>
      </x:c>
      <x:c r="K8" s="42" t="str">
        <x:v>아니오</x:v>
      </x:c>
      <x:c r="L8" s="42" t="str">
        <x:v>CC/GG/CC</x:v>
      </x:c>
      <x:c r="M8" s="42" t="str">
        <x:v>최상</x:v>
      </x:c>
      <x:c r="N8" s="42" t="str">
        <x:v>LOCK</x:v>
      </x:c>
    </x:row>
    <x:row r="9">
      <x:c r="A9" s="42" t="str">
        <x:v>외곽선</x:v>
      </x:c>
      <x:c r="B9" s="42" t="str">
        <x:v>선명한 픽셀 외곽선</x:v>
      </x:c>
      <x:c r="C9" s="42" t="str">
        <x:v>1~2px 체감</x:v>
      </x:c>
      <x:c r="D9" s="42" t="str">
        <x:v>배경과 즉시 분리</x:v>
      </x:c>
      <x:c r="E9" s="42" t="str">
        <x:v>O</x:v>
      </x:c>
      <x:c r="F9" s="42" t="str">
        <x:v>부드러운 블러 윤곽</x:v>
      </x:c>
      <x:c r="G9" s="42" t="str">
        <x:v>outline=crisp</x:v>
      </x:c>
      <x:c r="I9" s="42" t="str">
        <x:v>상용 모바일풍 고급 픽셀</x:v>
      </x:c>
      <x:c r="J9" s="42" t="str">
        <x:v>예</x:v>
      </x:c>
      <x:c r="K9" s="42" t="str">
        <x:v>미세조정</x:v>
      </x:c>
      <x:c r="L9" s="42" t="str">
        <x:v>단순 복고풍 금지</x:v>
      </x:c>
      <x:c r="M9" s="42" t="str">
        <x:v>최상</x:v>
      </x:c>
      <x:c r="N9" s="42" t="str">
        <x:v>LOCK</x:v>
      </x:c>
    </x:row>
    <x:row r="10">
      <x:c r="A10" s="42" t="str">
        <x:v>환경밀도</x:v>
      </x:c>
      <x:c r="B10" s="42" t="str">
        <x:v>높음</x:v>
      </x:c>
      <x:c r="C10" s="42" t="str">
        <x:v>숲/절벽/강/폐허/소품</x:v>
      </x:c>
      <x:c r="D10" s="42" t="str">
        <x:v>전투맵이 빈 보드처럼 보이지 않음</x:v>
      </x:c>
      <x:c r="E10" s="42" t="str">
        <x:v>O</x:v>
      </x:c>
      <x:c r="F10" s="42" t="str">
        <x:v>타일만 반복되는 보드게임 느낌</x:v>
      </x:c>
      <x:c r="G10" s="42" t="str">
        <x:v>env.detail=high</x:v>
      </x:c>
      <x:c r="I10" s="42" t="str">
        <x:v>배경 디테일</x:v>
      </x:c>
      <x:c r="J10" s="42" t="str">
        <x:v>예</x:v>
      </x:c>
      <x:c r="K10" s="42" t="str">
        <x:v>지역별 변화</x:v>
      </x:c>
      <x:c r="L10" s="42" t="str">
        <x:v>숲/절벽/수로/성채</x:v>
      </x:c>
      <x:c r="M10" s="42" t="str">
        <x:v>상</x:v>
      </x:c>
      <x:c r="N10" s="42" t="str">
        <x:v>LOCK</x:v>
      </x:c>
    </x:row>
    <x:row r="11">
      <x:c r="A11" s="42" t="str">
        <x:v>타일 경계</x:v>
      </x:c>
      <x:c r="B11" s="42" t="str">
        <x:v>개발 중 명확 / 출시판 약화</x:v>
      </x:c>
      <x:c r="C11" s="42" t="str">
        <x:v>격자는 읽히되 그래픽을 죽이지 않음</x:v>
      </x:c>
      <x:c r="D11" s="42" t="str">
        <x:v>배치 구조와 자연환경 동시 유지</x:v>
      </x:c>
      <x:c r="E11" s="42" t="str">
        <x:v>O</x:v>
      </x:c>
      <x:c r="F11" s="42" t="str">
        <x:v>초록색 네온 격자가 화면을 지배</x:v>
      </x:c>
      <x:c r="G11" s="42" t="str">
        <x:v>grid.opacity=low_to_mid</x:v>
      </x:c>
      <x:c r="I11" s="42" t="str">
        <x:v>캐릭터 SD 크기</x:v>
      </x:c>
      <x:c r="J11" s="42" t="str">
        <x:v>예</x:v>
      </x:c>
      <x:c r="K11" s="42" t="str">
        <x:v>±10%</x:v>
      </x:c>
      <x:c r="L11" s="42" t="str">
        <x:v>배치칸 안에서 크게 읽힘</x:v>
      </x:c>
      <x:c r="M11" s="42" t="str">
        <x:v>상</x:v>
      </x:c>
      <x:c r="N11" s="42" t="str">
        <x:v>GUIDE</x:v>
      </x:c>
    </x:row>
    <x:row r="12">
      <x:c r="A12" s="42" t="str">
        <x:v>DEPLOY 표식</x:v>
      </x:c>
      <x:c r="B12" s="42" t="str">
        <x:v>선택/배치 시 강조</x:v>
      </x:c>
      <x:c r="C12" s="42" t="str">
        <x:v>평상시 희미하게</x:v>
      </x:c>
      <x:c r="D12" s="42" t="str">
        <x:v>맵 자체가 자연스럽게 보이도록</x:v>
      </x:c>
      <x:c r="E12" s="42" t="str">
        <x:v>O</x:v>
      </x:c>
      <x:c r="F12" s="42" t="str">
        <x:v>항상 큰 + 아이콘 노출</x:v>
      </x:c>
      <x:c r="G12" s="42" t="str">
        <x:v>deploy.marker=contextual</x:v>
      </x:c>
      <x:c r="I12" s="42" t="str">
        <x:v>격자 가시성</x:v>
      </x:c>
      <x:c r="J12" s="42" t="str">
        <x:v>구조만 유지</x:v>
      </x:c>
      <x:c r="K12" s="42" t="str">
        <x:v>예</x:v>
      </x:c>
      <x:c r="L12" s="42" t="str">
        <x:v>출시판에선 약화 가능</x:v>
      </x:c>
      <x:c r="M12" s="42" t="str">
        <x:v>중</x:v>
      </x:c>
      <x:c r="N12" s="42" t="str">
        <x:v>GUIDE</x:v>
      </x:c>
    </x:row>
    <x:row r="13">
      <x:c r="A13" s="42" t="str">
        <x:v>PATH 표식</x:v>
      </x:c>
      <x:c r="B13" s="42" t="str">
        <x:v>개발/튜토리얼 시 화살표</x:v>
      </x:c>
      <x:c r="C13" s="42" t="str">
        <x:v>일반 플레이에선 길 형태로 인지</x:v>
      </x:c>
      <x:c r="D13" s="42" t="str">
        <x:v>UI 의존도 감소</x:v>
      </x:c>
      <x:c r="E13" s="42" t="str">
        <x:v>O</x:v>
      </x:c>
      <x:c r="F13" s="42" t="str">
        <x:v>모든 타일에 큰 화살표</x:v>
      </x:c>
      <x:c r="G13" s="42" t="str">
        <x:v>path.marker=contextual</x:v>
      </x:c>
      <x:c r="I13" s="42" t="str">
        <x:v>타일 + 표시</x:v>
      </x:c>
      <x:c r="J13" s="42" t="str">
        <x:v>아니오</x:v>
      </x:c>
      <x:c r="K13" s="42" t="str">
        <x:v>예</x:v>
      </x:c>
      <x:c r="L13" s="42" t="str">
        <x:v>UI/선택 시만 노출 권장</x:v>
      </x:c>
      <x:c r="M13" s="42" t="str">
        <x:v>중</x:v>
      </x:c>
      <x:c r="N13" s="42" t="str">
        <x:v>CHANGE</x:v>
      </x:c>
    </x:row>
    <x:row r="14">
      <x:c r="A14" s="42" t="str">
        <x:v>영웅 이펙트</x:v>
      </x:c>
      <x:c r="B14" s="42" t="str">
        <x:v>전설=금 / 신화=자주·보라</x:v>
      </x:c>
      <x:c r="C14" s="42" t="str">
        <x:v>발밑 링/오라 소형</x:v>
      </x:c>
      <x:c r="D14" s="42" t="str">
        <x:v>등급 구분이 즉시 보임</x:v>
      </x:c>
      <x:c r="E14" s="42" t="str">
        <x:v>O</x:v>
      </x:c>
      <x:c r="F14" s="42" t="str">
        <x:v>화면 가리는 대형 오라</x:v>
      </x:c>
      <x:c r="G14" s="42" t="str">
        <x:v>rarity.fx=subtle</x:v>
      </x:c>
      <x:c r="I14" s="42" t="str">
        <x:v>UI</x:v>
      </x:c>
      <x:c r="J14" s="42" t="str">
        <x:v>아니오</x:v>
      </x:c>
      <x:c r="K14" s="42" t="str">
        <x:v>예</x:v>
      </x:c>
      <x:c r="L14" s="42" t="str">
        <x:v>현재 이미지는 구조참고만</x:v>
      </x:c>
      <x:c r="M14" s="42" t="str">
        <x:v>별도</x:v>
      </x:c>
      <x:c r="N14" s="42" t="str">
        <x:v>REWORK</x:v>
      </x:c>
    </x:row>
    <x:row r="15">
      <x:c r="A15" s="42" t="str">
        <x:v>일반 캐릭터</x:v>
      </x:c>
      <x:c r="B15" s="42" t="str">
        <x:v>영웅보다 10~20% 단순</x:v>
      </x:c>
      <x:c r="C15" s="42" t="str">
        <x:v>장비/무기 실루엣 강조</x:v>
      </x:c>
      <x:c r="D15" s="42" t="str">
        <x:v>직업은 바로 읽힘</x:v>
      </x:c>
      <x:c r="E15" s="42" t="str">
        <x:v>O</x:v>
      </x:c>
      <x:c r="F15" s="42" t="str">
        <x:v>영웅과 동일 화려함</x:v>
      </x:c>
      <x:c r="G15" s="42" t="str">
        <x:v>unit.detail=medium_high</x:v>
      </x:c>
    </x:row>
    <x:row r="16">
      <x:c r="A16" s="42" t="str">
        <x:v>구조물</x:v>
      </x:c>
      <x:c r="B16" s="42" t="str">
        <x:v>재질·기능이 한눈에</x:v>
      </x:c>
      <x:c r="C16" s="42" t="str">
        <x:v>포신/수정/방벽 상단 강조</x:v>
      </x:c>
      <x:c r="D16" s="42" t="str">
        <x:v>공격타입 직관적</x:v>
      </x:c>
      <x:c r="E16" s="42" t="str">
        <x:v>O</x:v>
      </x:c>
      <x:c r="F16" s="42" t="str">
        <x:v>작은 장식 과다</x:v>
      </x:c>
      <x:c r="G16" s="42" t="str">
        <x:v>structure.readability=high</x:v>
      </x:c>
    </x:row>
    <x:row r="17">
      <x:c r="A17" s="42" t="str">
        <x:v>적군</x:v>
      </x:c>
      <x:c r="B17" s="42" t="str">
        <x:v>3종 이상 동시 판독</x:v>
      </x:c>
      <x:c r="C17" s="42" t="str">
        <x:v>크기·실루엣·색 차등</x:v>
      </x:c>
      <x:c r="D17" s="42" t="str">
        <x:v>한눈에 역할 구분</x:v>
      </x:c>
      <x:c r="E17" s="42" t="str">
        <x:v>O</x:v>
      </x:c>
      <x:c r="F17" s="42" t="str">
        <x:v>색만 바꾼 팔레트 스왑</x:v>
      </x:c>
      <x:c r="G17" s="42" t="str">
        <x:v>enemy.silhouette=distinct</x:v>
      </x:c>
    </x:row>
    <x:row r="18">
      <x:c r="A18" s="42" t="str">
        <x:v>보스</x:v>
      </x:c>
      <x:c r="B18" s="42" t="str">
        <x:v>일반몹 대비 1.6~2.2배 체감</x:v>
      </x:c>
      <x:c r="C18" s="42" t="str">
        <x:v>실루엣/오라/체력바 차별</x:v>
      </x:c>
      <x:c r="D18" s="42" t="str">
        <x:v>보스 등장 즉시 인지</x:v>
      </x:c>
      <x:c r="E18" s="42" t="str">
        <x:v>O</x:v>
      </x:c>
      <x:c r="F18" s="42" t="str">
        <x:v>일반몹과 거의 같은 크기</x:v>
      </x:c>
      <x:c r="G18" s="42" t="str">
        <x:v>boss.scale=1.6..2.2</x:v>
      </x:c>
    </x:row>
  </x:sheetData>
  <x:mergeCells>
    <x:mergeCell ref="A1:N1"/>
    <x:mergeCell ref="I3:N3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2" hidden="0" customWidth="1"/>
    <x:col min="5" max="5" width="18" hidden="0" customWidth="1"/>
    <x:col min="6" max="6" width="24" hidden="0" customWidth="1"/>
    <x:col min="7" max="7" width="34" hidden="0" customWidth="1"/>
    <x:col min="8" max="8" width="2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32" hidden="0" customWidth="1"/>
  </x:cols>
  <x:sheetData>
    <x:row r="1">
      <x:c r="A1" s="761" t="str">
        <x:v>Lucky Girls TD — UI 기본 구성안 V1 (세부 디자인 미확정)</x:v>
      </x:c>
      <x:c r="B1" s="761"/>
      <x:c r="C1" s="761"/>
      <x:c r="D1" s="761"/>
      <x:c r="E1" s="761"/>
      <x:c r="F1" s="761"/>
      <x:c r="G1" s="761"/>
      <x:c r="H1" s="761"/>
      <x:c r="I1" s="761"/>
      <x:c r="J1" s="761"/>
      <x:c r="K1" s="761"/>
      <x:c r="L1" s="761"/>
      <x:c r="M1" s="761"/>
      <x:c r="N1" s="761"/>
    </x:row>
    <x:row r="3">
      <x:c r="A3" s="764" t="str">
        <x:v>영역</x:v>
      </x:c>
      <x:c r="B3" s="764" t="str">
        <x:v>필수 정보</x:v>
      </x:c>
      <x:c r="C3" s="764" t="str">
        <x:v>위치 권장</x:v>
      </x:c>
      <x:c r="D3" s="764" t="str">
        <x:v>상태</x:v>
      </x:c>
      <x:c r="E3" s="764" t="str">
        <x:v>세부 디자인</x:v>
      </x:c>
      <x:c r="F3" s="764" t="str">
        <x:v>상호작용</x:v>
      </x:c>
      <x:c r="G3" s="764" t="str">
        <x:v>주의</x:v>
      </x:c>
      <x:c r="H3" s="764" t="str">
        <x:v>코드 ID</x:v>
      </x:c>
      <x:c r="J3" s="767" t="str">
        <x:v>UI 상태</x:v>
      </x:c>
      <x:c r="K3" s="767"/>
      <x:c r="L3" s="767"/>
      <x:c r="M3" s="767"/>
      <x:c r="N3" s="767"/>
    </x:row>
    <x:row r="4">
      <x:c r="A4" s="42" t="str">
        <x:v>상단 상태바</x:v>
      </x:c>
      <x:c r="B4" s="42" t="str">
        <x:v>Gold / Wave / Castle HP 또는 Core HP</x:v>
      </x:c>
      <x:c r="C4" s="42" t="str">
        <x:v>상단</x:v>
      </x:c>
      <x:c r="D4" s="42" t="str">
        <x:v>필수</x:v>
      </x:c>
      <x:c r="E4" s="42" t="str">
        <x:v>미확정</x:v>
      </x:c>
      <x:c r="F4" s="42" t="str">
        <x:v>정보 표시</x:v>
      </x:c>
      <x:c r="G4" s="42" t="str">
        <x:v>세부 스타일 고정 금지</x:v>
      </x:c>
      <x:c r="H4" s="42" t="str">
        <x:v>ui.top_status</x:v>
      </x:c>
    </x:row>
    <x:row r="5">
      <x:c r="A5" s="42" t="str">
        <x:v>전투속도</x:v>
      </x:c>
      <x:c r="B5" s="42" t="str">
        <x:v>×1 / ×2 / ×3</x:v>
      </x:c>
      <x:c r="C5" s="42" t="str">
        <x:v>상단 우측</x:v>
      </x:c>
      <x:c r="D5" s="42" t="str">
        <x:v>필수</x:v>
      </x:c>
      <x:c r="E5" s="42" t="str">
        <x:v>미확정</x:v>
      </x:c>
      <x:c r="F5" s="42" t="str">
        <x:v>속도 변경</x:v>
      </x:c>
      <x:c r="G5" s="42" t="str">
        <x:v>모바일 터치영역 충분히</x:v>
      </x:c>
      <x:c r="H5" s="42" t="str">
        <x:v>ui.speed</x:v>
      </x:c>
      <x:c r="J5" s="774" t="str">
        <x:v>항목</x:v>
      </x:c>
      <x:c r="K5" s="774" t="str">
        <x:v>현재</x:v>
      </x:c>
      <x:c r="L5" s="774" t="str">
        <x:v>확정 여부</x:v>
      </x:c>
      <x:c r="M5" s="774" t="str">
        <x:v>마스터 개편</x:v>
      </x:c>
      <x:c r="N5" s="774" t="str">
        <x:v>비고</x:v>
      </x:c>
    </x:row>
    <x:row r="6">
      <x:c r="A6" s="42" t="str">
        <x:v>일시정지</x:v>
      </x:c>
      <x:c r="B6" s="42" t="str">
        <x:v>Pause</x:v>
      </x:c>
      <x:c r="C6" s="42" t="str">
        <x:v>상단 우측</x:v>
      </x:c>
      <x:c r="D6" s="42" t="str">
        <x:v>필수</x:v>
      </x:c>
      <x:c r="E6" s="42" t="str">
        <x:v>미확정</x:v>
      </x:c>
      <x:c r="F6" s="42" t="str">
        <x:v>일시정지</x:v>
      </x:c>
      <x:c r="G6" s="42" t="str">
        <x:v>속도버튼과 분리</x:v>
      </x:c>
      <x:c r="H6" s="42" t="str">
        <x:v>ui.pause</x:v>
      </x:c>
      <x:c r="J6" s="42" t="str">
        <x:v>정보 구조</x:v>
      </x:c>
      <x:c r="K6" s="42" t="str">
        <x:v>기본안 있음</x:v>
      </x:c>
      <x:c r="L6" s="42" t="str">
        <x:v>GUIDE</x:v>
      </x:c>
      <x:c r="M6" s="42" t="str">
        <x:v>예</x:v>
      </x:c>
      <x:c r="N6" s="42" t="str">
        <x:v>내용만 유지</x:v>
      </x:c>
    </x:row>
    <x:row r="7">
      <x:c r="A7" s="42" t="str">
        <x:v>보스 예고</x:v>
      </x:c>
      <x:c r="B7" s="42" t="str">
        <x:v>다음 보스/현재 보스 정보</x:v>
      </x:c>
      <x:c r="C7" s="42" t="str">
        <x:v>상단 또는 측면</x:v>
      </x:c>
      <x:c r="D7" s="42" t="str">
        <x:v>필수</x:v>
      </x:c>
      <x:c r="E7" s="42" t="str">
        <x:v>미확정</x:v>
      </x:c>
      <x:c r="F7" s="42" t="str">
        <x:v>상세 보기</x:v>
      </x:c>
      <x:c r="G7" s="42" t="str">
        <x:v>화면 과점유 금지</x:v>
      </x:c>
      <x:c r="H7" s="42" t="str">
        <x:v>ui.boss_preview</x:v>
      </x:c>
      <x:c r="J7" s="42" t="str">
        <x:v>색/프레임</x:v>
      </x:c>
      <x:c r="K7" s="42" t="str">
        <x:v>미확정</x:v>
      </x:c>
      <x:c r="L7" s="42" t="str">
        <x:v>NO LOCK</x:v>
      </x:c>
      <x:c r="M7" s="42" t="str">
        <x:v>예</x:v>
      </x:c>
      <x:c r="N7" s="42" t="str">
        <x:v>전면 교체 가능</x:v>
      </x:c>
    </x:row>
    <x:row r="8">
      <x:c r="A8" s="42" t="str">
        <x:v>배치 카테고리</x:v>
      </x:c>
      <x:c r="B8" s="42" t="str">
        <x:v>전체/영웅/일반/구조물</x:v>
      </x:c>
      <x:c r="C8" s="42" t="str">
        <x:v>하단</x:v>
      </x:c>
      <x:c r="D8" s="42" t="str">
        <x:v>필수</x:v>
      </x:c>
      <x:c r="E8" s="42" t="str">
        <x:v>미확정</x:v>
      </x:c>
      <x:c r="F8" s="42" t="str">
        <x:v>필터</x:v>
      </x:c>
      <x:c r="G8" s="42" t="str">
        <x:v>현재 이미지는 참고만</x:v>
      </x:c>
      <x:c r="H8" s="42" t="str">
        <x:v>ui.deploy_tabs</x:v>
      </x:c>
      <x:c r="J8" s="42" t="str">
        <x:v>아이콘 스타일</x:v>
      </x:c>
      <x:c r="K8" s="42" t="str">
        <x:v>미확정</x:v>
      </x:c>
      <x:c r="L8" s="42" t="str">
        <x:v>NO LOCK</x:v>
      </x:c>
      <x:c r="M8" s="42" t="str">
        <x:v>예</x:v>
      </x:c>
      <x:c r="N8" s="42" t="str">
        <x:v>별도 제작</x:v>
      </x:c>
    </x:row>
    <x:row r="9">
      <x:c r="A9" s="42" t="str">
        <x:v>배치 카드</x:v>
      </x:c>
      <x:c r="B9" s="42" t="str">
        <x:v>유닛 초상/이름/비용/성급</x:v>
      </x:c>
      <x:c r="C9" s="42" t="str">
        <x:v>하단</x:v>
      </x:c>
      <x:c r="D9" s="42" t="str">
        <x:v>필수</x:v>
      </x:c>
      <x:c r="E9" s="42" t="str">
        <x:v>미확정</x:v>
      </x:c>
      <x:c r="F9" s="42" t="str">
        <x:v>드래그/탭 배치</x:v>
      </x:c>
      <x:c r="G9" s="42" t="str">
        <x:v>너무 큰 카드 금지</x:v>
      </x:c>
      <x:c r="H9" s="42" t="str">
        <x:v>ui.unit_card</x:v>
      </x:c>
      <x:c r="J9" s="42" t="str">
        <x:v>패널 크기</x:v>
      </x:c>
      <x:c r="K9" s="42" t="str">
        <x:v>미확정</x:v>
      </x:c>
      <x:c r="L9" s="42" t="str">
        <x:v>NO LOCK</x:v>
      </x:c>
      <x:c r="M9" s="42" t="str">
        <x:v>예</x:v>
      </x:c>
      <x:c r="N9" s="42" t="str">
        <x:v>실기기 테스트 필요</x:v>
      </x:c>
    </x:row>
    <x:row r="10">
      <x:c r="A10" s="42" t="str">
        <x:v>영웅 슬롯</x:v>
      </x:c>
      <x:c r="B10" s="42" t="str">
        <x:v>0~5명</x:v>
      </x:c>
      <x:c r="C10" s="42" t="str">
        <x:v>하단 또는 측면</x:v>
      </x:c>
      <x:c r="D10" s="42" t="str">
        <x:v>필수</x:v>
      </x:c>
      <x:c r="E10" s="42" t="str">
        <x:v>미확정</x:v>
      </x:c>
      <x:c r="F10" s="42" t="str">
        <x:v>슬롯 상태 확인</x:v>
      </x:c>
      <x:c r="G10" s="42" t="str">
        <x:v>TD→RPG 동일파티 핵심</x:v>
      </x:c>
      <x:c r="H10" s="42" t="str">
        <x:v>ui.hero_slots</x:v>
      </x:c>
      <x:c r="J10" s="42" t="str">
        <x:v>최종 레이아웃</x:v>
      </x:c>
      <x:c r="K10" s="42" t="str">
        <x:v>미확정</x:v>
      </x:c>
      <x:c r="L10" s="42" t="str">
        <x:v>NO LOCK</x:v>
      </x:c>
      <x:c r="M10" s="42" t="str">
        <x:v>예</x:v>
      </x:c>
      <x:c r="N10" s="42" t="str">
        <x:v>마스터 주도 개편</x:v>
      </x:c>
    </x:row>
    <x:row r="11">
      <x:c r="A11" s="42" t="str">
        <x:v>적군 정보</x:v>
      </x:c>
      <x:c r="B11" s="42" t="str">
        <x:v>해당 스테이지 적 3종 + 보스1</x:v>
      </x:c>
      <x:c r="C11" s="42" t="str">
        <x:v>하단/측면</x:v>
      </x:c>
      <x:c r="D11" s="42" t="str">
        <x:v>필수</x:v>
      </x:c>
      <x:c r="E11" s="42" t="str">
        <x:v>미확정</x:v>
      </x:c>
      <x:c r="F11" s="42" t="str">
        <x:v>상세 보기</x:v>
      </x:c>
      <x:c r="G11" s="42" t="str">
        <x:v>도감과 연계 가능</x:v>
      </x:c>
      <x:c r="H11" s="42" t="str">
        <x:v>ui.enemy_info</x:v>
      </x:c>
    </x:row>
    <x:row r="12">
      <x:c r="A12" s="42" t="str">
        <x:v>배치 가능 표시</x:v>
      </x:c>
      <x:c r="B12" s="42" t="str">
        <x:v>DEPLOY 타일 하이라이트</x:v>
      </x:c>
      <x:c r="C12" s="42" t="str">
        <x:v>맵 오버레이</x:v>
      </x:c>
      <x:c r="D12" s="42" t="str">
        <x:v>필수</x:v>
      </x:c>
      <x:c r="E12" s="42" t="str">
        <x:v>미확정</x:v>
      </x:c>
      <x:c r="F12" s="42" t="str">
        <x:v>배치 시 표시</x:v>
      </x:c>
      <x:c r="G12" s="42" t="str">
        <x:v>평상시 과도한 네온 금지</x:v>
      </x:c>
      <x:c r="H12" s="42" t="str">
        <x:v>ui.deploy_overlay</x:v>
      </x:c>
    </x:row>
    <x:row r="13">
      <x:c r="A13" s="42" t="str">
        <x:v>경로 표시</x:v>
      </x:c>
      <x:c r="B13" s="42" t="str">
        <x:v>PATH 강조</x:v>
      </x:c>
      <x:c r="C13" s="42" t="str">
        <x:v>맵 오버레이</x:v>
      </x:c>
      <x:c r="D13" s="42" t="str">
        <x:v>조건부</x:v>
      </x:c>
      <x:c r="E13" s="42" t="str">
        <x:v>미확정</x:v>
      </x:c>
      <x:c r="F13" s="42" t="str">
        <x:v>튜토리얼/선택 시</x:v>
      </x:c>
      <x:c r="G13" s="42" t="str">
        <x:v>항상 화살표 표시 금지</x:v>
      </x:c>
      <x:c r="H13" s="42" t="str">
        <x:v>ui.path_overlay</x:v>
      </x:c>
    </x:row>
    <x:row r="14">
      <x:c r="A14" s="42" t="str">
        <x:v>판매</x:v>
      </x:c>
      <x:c r="B14" s="42" t="str">
        <x:v>일반/구조물/전설</x:v>
      </x:c>
      <x:c r="C14" s="42" t="str">
        <x:v>선택 팝업</x:v>
      </x:c>
      <x:c r="D14" s="42" t="str">
        <x:v>필수</x:v>
      </x:c>
      <x:c r="E14" s="42" t="str">
        <x:v>미확정</x:v>
      </x:c>
      <x:c r="F14" s="42" t="str">
        <x:v>W1~W9 판매</x:v>
      </x:c>
      <x:c r="G14" s="42" t="str">
        <x:v>신화 판매버튼 없음</x:v>
      </x:c>
      <x:c r="H14" s="42" t="str">
        <x:v>ui.sell</x:v>
      </x:c>
    </x:row>
  </x:sheetData>
  <x:mergeCells>
    <x:mergeCell ref="A1:N1"/>
    <x:mergeCell ref="J3:N3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44" hidden="0" customWidth="1"/>
    <x:col min="6" max="6" width="10" hidden="0" customWidth="1"/>
    <x:col min="7" max="7" width="18" hidden="0" customWidth="1"/>
    <x:col min="8" max="8" width="34" hidden="0" customWidth="1"/>
  </x:cols>
  <x:sheetData>
    <x:row r="1">
      <x:c r="A1" s="761" t="str">
        <x:v>TD Scene Code / Data Contract V1</x:v>
      </x:c>
      <x:c r="B1" s="761"/>
      <x:c r="C1" s="761"/>
      <x:c r="D1" s="761"/>
      <x:c r="E1" s="761"/>
      <x:c r="F1" s="761"/>
      <x:c r="G1" s="761"/>
      <x:c r="H1" s="761"/>
    </x:row>
    <x:row r="3">
      <x:c r="A3" s="764" t="str">
        <x:v>키</x:v>
      </x:c>
      <x:c r="B3" s="764" t="str">
        <x:v>값</x:v>
      </x:c>
      <x:c r="C3" s="764" t="str">
        <x:v>타입</x:v>
      </x:c>
      <x:c r="D3" s="764" t="str">
        <x:v>설명</x:v>
      </x:c>
      <x:c r="F3" s="767" t="str">
        <x:v>타일 코드</x:v>
      </x:c>
      <x:c r="G3" s="767"/>
      <x:c r="H3" s="767"/>
    </x:row>
    <x:row r="4">
      <x:c r="A4" s="42" t="str">
        <x:v>scene.type</x:v>
      </x:c>
      <x:c r="B4" s="42" t="str">
        <x:v>tower_defense</x:v>
      </x:c>
      <x:c r="C4" s="42" t="str">
        <x:v>string</x:v>
      </x:c>
      <x:c r="D4" s="42" t="str">
        <x:v>TD 전투씬</x:v>
      </x:c>
    </x:row>
    <x:row r="5">
      <x:c r="A5" s="42" t="str">
        <x:v>grid.cols</x:v>
      </x:c>
      <x:c r="B5" s="42" t="n">
        <x:v>18</x:v>
      </x:c>
      <x:c r="C5" s="42" t="str">
        <x:v>int</x:v>
      </x:c>
      <x:c r="D5" s="42" t="str">
        <x:v>논리 열</x:v>
      </x:c>
      <x:c r="F5" s="774" t="str">
        <x:v>코드</x:v>
      </x:c>
      <x:c r="G5" s="774" t="str">
        <x:v>타입</x:v>
      </x:c>
      <x:c r="H5" s="774" t="str">
        <x:v>설명</x:v>
      </x:c>
    </x:row>
    <x:row r="6">
      <x:c r="A6" s="42" t="str">
        <x:v>grid.rows</x:v>
      </x:c>
      <x:c r="B6" s="42" t="n">
        <x:v>10</x:v>
      </x:c>
      <x:c r="C6" s="42" t="str">
        <x:v>int</x:v>
      </x:c>
      <x:c r="D6" s="42" t="str">
        <x:v>논리 행</x:v>
      </x:c>
      <x:c r="F6" s="42" t="str">
        <x:v>S</x:v>
      </x:c>
      <x:c r="G6" s="42" t="str">
        <x:v>SPAWN</x:v>
      </x:c>
      <x:c r="H6" s="42" t="str">
        <x:v>적 출현</x:v>
      </x:c>
    </x:row>
    <x:row r="7">
      <x:c r="A7" s="42" t="str">
        <x:v>tile.unitOccupancy</x:v>
      </x:c>
      <x:c r="B7" s="42" t="n">
        <x:v>1</x:v>
      </x:c>
      <x:c r="C7" s="42" t="str">
        <x:v>int</x:v>
      </x:c>
      <x:c r="D7" s="42" t="str">
        <x:v>아군 오브젝트 기본 점유칸</x:v>
      </x:c>
      <x:c r="F7" s="42" t="str">
        <x:v>P</x:v>
      </x:c>
      <x:c r="G7" s="42" t="str">
        <x:v>PATH</x:v>
      </x:c>
      <x:c r="H7" s="42" t="str">
        <x:v>적 경로</x:v>
      </x:c>
    </x:row>
    <x:row r="8">
      <x:c r="A8" s="42" t="str">
        <x:v>path.maxCount</x:v>
      </x:c>
      <x:c r="B8" s="42" t="n">
        <x:v>4</x:v>
      </x:c>
      <x:c r="C8" s="42" t="str">
        <x:v>int</x:v>
      </x:c>
      <x:c r="D8" s="42" t="str">
        <x:v>최대 적 진입 경로</x:v>
      </x:c>
      <x:c r="F8" s="42" t="str">
        <x:v>D</x:v>
      </x:c>
      <x:c r="G8" s="42" t="str">
        <x:v>DEPLOY</x:v>
      </x:c>
      <x:c r="H8" s="42" t="str">
        <x:v>아군 배치</x:v>
      </x:c>
    </x:row>
    <x:row r="9">
      <x:c r="A9" s="42" t="str">
        <x:v>hero.maxSummon</x:v>
      </x:c>
      <x:c r="B9" s="42" t="n">
        <x:v>5</x:v>
      </x:c>
      <x:c r="C9" s="42" t="str">
        <x:v>int</x:v>
      </x:c>
      <x:c r="D9" s="42" t="str">
        <x:v>스테이지당 최대 영웅</x:v>
      </x:c>
      <x:c r="F9" s="42" t="str">
        <x:v>T</x:v>
      </x:c>
      <x:c r="G9" s="42" t="str">
        <x:v>TERRAIN</x:v>
      </x:c>
      <x:c r="H9" s="42" t="str">
        <x:v>비배치 지형</x:v>
      </x:c>
    </x:row>
    <x:row r="10">
      <x:c r="A10" s="42" t="str">
        <x:v>hero.partyCarryOver</x:v>
      </x:c>
      <x:c r="B10" s="777" t="b">
        <x:v>1</x:v>
      </x:c>
      <x:c r="C10" s="42" t="str">
        <x:v>bool</x:v>
      </x:c>
      <x:c r="D10" s="42" t="str">
        <x:v>TD 영웅이 RPG 파티로 그대로 이월</x:v>
      </x:c>
      <x:c r="F10" s="42" t="str">
        <x:v>W</x:v>
      </x:c>
      <x:c r="G10" s="42" t="str">
        <x:v>WATER</x:v>
      </x:c>
      <x:c r="H10" s="42" t="str">
        <x:v>수역</x:v>
      </x:c>
    </x:row>
    <x:row r="11">
      <x:c r="A11" s="42" t="str">
        <x:v>castle.width</x:v>
      </x:c>
      <x:c r="B11" s="42" t="n">
        <x:v>2</x:v>
      </x:c>
      <x:c r="C11" s="42" t="str">
        <x:v>int</x:v>
      </x:c>
      <x:c r="D11" s="42" t="str">
        <x:v>성채 논리 너비</x:v>
      </x:c>
      <x:c r="F11" s="42" t="str">
        <x:v>O</x:v>
      </x:c>
      <x:c r="G11" s="42" t="str">
        <x:v>OBSTACLE</x:v>
      </x:c>
      <x:c r="H11" s="42" t="str">
        <x:v>장애물</x:v>
      </x:c>
    </x:row>
    <x:row r="12">
      <x:c r="A12" s="42" t="str">
        <x:v>castle.height</x:v>
      </x:c>
      <x:c r="B12" s="42" t="n">
        <x:v>3</x:v>
      </x:c>
      <x:c r="C12" s="42" t="str">
        <x:v>int</x:v>
      </x:c>
      <x:c r="D12" s="42" t="str">
        <x:v>성채 논리 높이</x:v>
      </x:c>
      <x:c r="F12" s="42" t="str">
        <x:v>B</x:v>
      </x:c>
      <x:c r="G12" s="42" t="str">
        <x:v>WALL</x:v>
      </x:c>
      <x:c r="H12" s="42" t="str">
        <x:v>방어벽 전용</x:v>
      </x:c>
    </x:row>
    <x:row r="13">
      <x:c r="A13" s="42" t="str">
        <x:v>castle.pattern</x:v>
      </x:c>
      <x:c r="B13" s="42" t="str">
        <x:v>CC/GG/CC</x:v>
      </x:c>
      <x:c r="C13" s="42" t="str">
        <x:v>string</x:v>
      </x:c>
      <x:c r="D13" s="42" t="str">
        <x:v>성채 2×3</x:v>
      </x:c>
      <x:c r="F13" s="42" t="str">
        <x:v>C</x:v>
      </x:c>
      <x:c r="G13" s="42" t="str">
        <x:v>CASTLE</x:v>
      </x:c>
      <x:c r="H13" s="42" t="str">
        <x:v>성채 방어칸</x:v>
      </x:c>
    </x:row>
    <x:row r="14">
      <x:c r="A14" s="42" t="str">
        <x:v>art.style</x:v>
      </x:c>
      <x:c r="B14" s="42" t="str">
        <x:v>polished_sd_pixel</x:v>
      </x:c>
      <x:c r="C14" s="42" t="str">
        <x:v>enum</x:v>
      </x:c>
      <x:c r="D14" s="42" t="str">
        <x:v>상용 모바일 수준 고급 SD 픽셀</x:v>
      </x:c>
      <x:c r="F14" s="42" t="str">
        <x:v>G</x:v>
      </x:c>
      <x:c r="G14" s="42" t="str">
        <x:v>GATE</x:v>
      </x:c>
      <x:c r="H14" s="42" t="str">
        <x:v>최종 성문</x:v>
      </x:c>
    </x:row>
    <x:row r="15">
      <x:c r="A15" s="42" t="str">
        <x:v>art.camera</x:v>
      </x:c>
      <x:c r="B15" s="42" t="str">
        <x:v>topdown_3q</x:v>
      </x:c>
      <x:c r="C15" s="42" t="str">
        <x:v>enum</x:v>
      </x:c>
      <x:c r="D15" s="42" t="str">
        <x:v>탑뷰 3/4</x:v>
      </x:c>
    </x:row>
    <x:row r="16">
      <x:c r="A16" s="42" t="str">
        <x:v>art.spriteCanvas</x:v>
      </x:c>
      <x:c r="B16" s="42" t="str">
        <x:v>96x96</x:v>
      </x:c>
      <x:c r="C16" s="42" t="str">
        <x:v>string</x:v>
      </x:c>
      <x:c r="D16" s="42" t="str">
        <x:v>기본 캐릭터 작업 캔버스</x:v>
      </x:c>
    </x:row>
    <x:row r="17">
      <x:c r="A17" s="42" t="str">
        <x:v>art.bodyRatio</x:v>
      </x:c>
      <x:c r="B17" s="42" t="str">
        <x:v>2.8~3.0 heads</x:v>
      </x:c>
      <x:c r="C17" s="42" t="str">
        <x:v>string</x:v>
      </x:c>
      <x:c r="D17" s="42" t="str">
        <x:v>SD 비율</x:v>
      </x:c>
    </x:row>
    <x:row r="18">
      <x:c r="A18" s="42" t="str">
        <x:v>art.palette</x:v>
      </x:c>
      <x:c r="B18" s="42" t="str">
        <x:v>12~24</x:v>
      </x:c>
      <x:c r="C18" s="42" t="str">
        <x:v>string</x:v>
      </x:c>
      <x:c r="D18" s="42" t="str">
        <x:v>권장 색수</x:v>
      </x:c>
    </x:row>
    <x:row r="19">
      <x:c r="A19" s="42" t="str">
        <x:v>ui.status</x:v>
      </x:c>
      <x:c r="B19" s="42" t="str">
        <x:v>basic_structure_only</x:v>
      </x:c>
      <x:c r="C19" s="42" t="str">
        <x:v>enum</x:v>
      </x:c>
      <x:c r="D19" s="42" t="str">
        <x:v>UI는 정보구조만 기록</x:v>
      </x:c>
    </x:row>
  </x:sheetData>
  <x:mergeCells>
    <x:mergeCell ref="A1:H1"/>
    <x:mergeCell ref="F3:H3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20" hidden="0" customWidth="1"/>
    <x:col min="5" max="5" width="18" hidden="0" customWidth="1"/>
    <x:col min="6" max="6" width="16" hidden="0" customWidth="1"/>
    <x:col min="7" max="7" width="38" hidden="0" customWidth="1"/>
    <x:col min="8" max="8" width="30" hidden="0" customWidth="1"/>
    <x:col min="10" max="10" width="10" hidden="0" customWidth="1"/>
    <x:col min="11" max="11" width="24" hidden="0" customWidth="1"/>
    <x:col min="12" max="12" width="34" hidden="0" customWidth="1"/>
    <x:col min="13" max="13" width="22" hidden="0" customWidth="1"/>
    <x:col min="14" max="14" width="18" hidden="0" customWidth="1"/>
  </x:cols>
  <x:sheetData>
    <x:row r="1">
      <x:c r="A1" s="780" t="str">
        <x:v>Lucky Girls — RPG 보스전 실전 전투 규칙 V1</x:v>
      </x:c>
      <x:c r="B1" s="780"/>
      <x:c r="C1" s="780"/>
      <x:c r="D1" s="780"/>
      <x:c r="E1" s="780"/>
      <x:c r="F1" s="780"/>
      <x:c r="G1" s="780"/>
      <x:c r="H1" s="780"/>
      <x:c r="I1" s="780"/>
      <x:c r="J1" s="780"/>
      <x:c r="K1" s="780"/>
      <x:c r="L1" s="780"/>
      <x:c r="M1" s="780"/>
      <x:c r="N1" s="780"/>
    </x:row>
    <x:row r="3">
      <x:c r="A3" s="783" t="str">
        <x:v>항목</x:v>
      </x:c>
      <x:c r="B3" s="783" t="str">
        <x:v>V1 규칙</x:v>
      </x:c>
      <x:c r="C3" s="783" t="str">
        <x:v>수치</x:v>
      </x:c>
      <x:c r="D3" s="783" t="str">
        <x:v>AUTO</x:v>
      </x:c>
      <x:c r="E3" s="783" t="str">
        <x:v>수동</x:v>
      </x:c>
      <x:c r="F3" s="783" t="str">
        <x:v>보스 적용</x:v>
      </x:c>
      <x:c r="G3" s="783" t="str">
        <x:v>설계 이유</x:v>
      </x:c>
      <x:c r="H3" s="783" t="str">
        <x:v>코드값</x:v>
      </x:c>
      <x:c r="J3" s="786" t="str">
        <x:v>전투 흐름 도식</x:v>
      </x:c>
      <x:c r="K3" s="786"/>
      <x:c r="L3" s="786"/>
      <x:c r="M3" s="786"/>
      <x:c r="N3" s="786"/>
    </x:row>
    <x:row r="4">
      <x:c r="A4" s="42" t="str">
        <x:v>전투형식</x:v>
      </x:c>
      <x:c r="B4" s="42" t="str">
        <x:v>실시간 오토배틀</x:v>
      </x:c>
      <x:c r="C4" s="42" t="str">
        <x:v>5영웅 vs 1보스</x:v>
      </x:c>
      <x:c r="D4" s="42" t="str">
        <x:v>기본공격 자동</x:v>
      </x:c>
      <x:c r="E4" s="42" t="str">
        <x:v>없음</x:v>
      </x:c>
      <x:c r="F4" s="42" t="str">
        <x:v>-</x:v>
      </x:c>
      <x:c r="G4" s="42" t="str">
        <x:v>TD 후 짧고 강한 마무리</x:v>
      </x:c>
      <x:c r="H4" s="42" t="str">
        <x:v>rpg.mode=real_time_auto</x:v>
      </x:c>
    </x:row>
    <x:row r="5">
      <x:c r="A5" s="42" t="str">
        <x:v>파티</x:v>
      </x:c>
      <x:c r="B5" s="42" t="str">
        <x:v>TD 종료 시 영웅슬롯 그대로</x:v>
      </x:c>
      <x:c r="C5" s="42" t="str">
        <x:v>0~5명</x:v>
      </x:c>
      <x:c r="D5" s="42" t="str">
        <x:v>-</x:v>
      </x:c>
      <x:c r="E5" s="42" t="str">
        <x:v>편성변경 불가</x:v>
      </x:c>
      <x:c r="F5" s="42" t="str">
        <x:v>-</x:v>
      </x:c>
      <x:c r="G5" s="42" t="str">
        <x:v>TD 선택이 RPG까지 이어짐</x:v>
      </x:c>
      <x:c r="H5" s="42" t="str">
        <x:v>party=td_hero_slots</x:v>
      </x:c>
      <x:c r="J5" s="788" t="str">
        <x:v>순서</x:v>
      </x:c>
      <x:c r="K5" s="788" t="str">
        <x:v>상태</x:v>
      </x:c>
      <x:c r="L5" s="788" t="str">
        <x:v>처리</x:v>
      </x:c>
      <x:c r="M5" s="788" t="str">
        <x:v>실패</x:v>
      </x:c>
      <x:c r="N5" s="788" t="str">
        <x:v>다음</x:v>
      </x:c>
    </x:row>
    <x:row r="6">
      <x:c r="A6" s="42" t="str">
        <x:v>배치</x:v>
      </x:c>
      <x:c r="B6" s="42" t="str">
        <x:v>고정 5인 전투대형</x:v>
      </x:c>
      <x:c r="C6" s="42" t="str">
        <x:v>전열2 / 후열3, 위치 효과 없음</x:v>
      </x:c>
      <x:c r="D6" s="42" t="str">
        <x:v>자동배치</x:v>
      </x:c>
      <x:c r="E6" s="42" t="str">
        <x:v>변경 불가</x:v>
      </x:c>
      <x:c r="F6" s="42" t="str">
        <x:v>-</x:v>
      </x:c>
      <x:c r="G6" s="42" t="str">
        <x:v>시각 연출만 있고 추가 메타 최소화</x:v>
      </x:c>
      <x:c r="H6" s="42" t="str">
        <x:v>formation=2_3_visual_only</x:v>
      </x:c>
      <x:c r="J6" s="42" t="n">
        <x:v>1</x:v>
      </x:c>
      <x:c r="K6" s="42" t="str">
        <x:v>TD W10 보스 HP0</x:v>
      </x:c>
      <x:c r="L6" s="42" t="str">
        <x:v>구조물 파괴/연출</x:v>
      </x:c>
      <x:c r="M6" s="42" t="str">
        <x:v>-</x:v>
      </x:c>
      <x:c r="N6" s="42" t="str">
        <x:v>RPG 전환</x:v>
      </x:c>
    </x:row>
    <x:row r="7">
      <x:c r="A7" s="42" t="str">
        <x:v>기본공격</x:v>
      </x:c>
      <x:c r="B7" s="42" t="str">
        <x:v>각 영웅 APS 기준 자동공격</x:v>
      </x:c>
      <x:c r="C7" s="42" t="str">
        <x:v>ATK×방어식</x:v>
      </x:c>
      <x:c r="D7" s="42" t="str">
        <x:v>자동</x:v>
      </x:c>
      <x:c r="E7" s="42" t="str">
        <x:v>없음</x:v>
      </x:c>
      <x:c r="F7" s="42" t="str">
        <x:v>보스 단일</x:v>
      </x:c>
      <x:c r="G7" s="42" t="str">
        <x:v>기존 RPG 스탯 직접 사용</x:v>
      </x:c>
      <x:c r="H7" s="42" t="str">
        <x:v>basic_attack=auto</x:v>
      </x:c>
      <x:c r="J7" s="42" t="n">
        <x:v>2</x:v>
      </x:c>
      <x:c r="K7" s="42" t="str">
        <x:v>영웅 슬롯 LOCK</x:v>
      </x:c>
      <x:c r="L7" s="42" t="str">
        <x:v>동일 0~5명 배치</x:v>
      </x:c>
      <x:c r="M7" s="42" t="str">
        <x:v>-</x:v>
      </x:c>
      <x:c r="N7" s="42" t="str">
        <x:v>보스 등장</x:v>
      </x:c>
    </x:row>
    <x:row r="8">
      <x:c r="A8" s="42" t="str">
        <x:v>Skill1</x:v>
      </x:c>
      <x:c r="B8" s="42" t="str">
        <x:v>쿨다운형</x:v>
      </x:c>
      <x:c r="C8" s="42" t="str">
        <x:v>영웅별 S1 CD</x:v>
      </x:c>
      <x:c r="D8" s="42" t="str">
        <x:v>AUTO ON 시 즉시</x:v>
      </x:c>
      <x:c r="E8" s="42" t="str">
        <x:v>AUTO OFF 시 탭</x:v>
      </x:c>
      <x:c r="F8" s="42" t="str">
        <x:v>100%</x:v>
      </x:c>
      <x:c r="G8" s="42" t="str">
        <x:v>짧은 주기 핵심스킬</x:v>
      </x:c>
      <x:c r="H8" s="42" t="str">
        <x:v>skill1=cooldown</x:v>
      </x:c>
      <x:c r="J8" s="42" t="n">
        <x:v>3</x:v>
      </x:c>
      <x:c r="K8" s="42" t="str">
        <x:v>AUTO 기본 ON</x:v>
      </x:c>
      <x:c r="L8" s="42" t="str">
        <x:v>기본공격 시작</x:v>
      </x:c>
      <x:c r="M8" s="42" t="str">
        <x:v>-</x:v>
      </x:c>
      <x:c r="N8" s="42" t="str">
        <x:v>Skill1/2 순환</x:v>
      </x:c>
    </x:row>
    <x:row r="9">
      <x:c r="A9" s="42" t="str">
        <x:v>Skill2</x:v>
      </x:c>
      <x:c r="B9" s="42" t="str">
        <x:v>쿨다운형</x:v>
      </x:c>
      <x:c r="C9" s="42" t="str">
        <x:v>영웅별 S2 CD</x:v>
      </x:c>
      <x:c r="D9" s="42" t="str">
        <x:v>AUTO ON 시 즉시</x:v>
      </x:c>
      <x:c r="E9" s="42" t="str">
        <x:v>AUTO OFF 시 탭</x:v>
      </x:c>
      <x:c r="F9" s="42" t="str">
        <x:v>100%</x:v>
      </x:c>
      <x:c r="G9" s="42" t="str">
        <x:v>한계돌파 I 보상</x:v>
      </x:c>
      <x:c r="H9" s="42" t="str">
        <x:v>skill2=cooldown</x:v>
      </x:c>
      <x:c r="J9" s="42" t="n">
        <x:v>4</x:v>
      </x:c>
      <x:c r="K9" s="42" t="str">
        <x:v>게이지 충전</x:v>
      </x:c>
      <x:c r="L9" s="42" t="str">
        <x:v>100pt 시 Skill3</x:v>
      </x:c>
      <x:c r="M9" s="42" t="str">
        <x:v>-</x:v>
      </x:c>
      <x:c r="N9" s="42" t="str">
        <x:v>필살기</x:v>
      </x:c>
    </x:row>
    <x:row r="10">
      <x:c r="A10" s="42" t="str">
        <x:v>Skill3</x:v>
      </x:c>
      <x:c r="B10" s="42" t="str">
        <x:v>개별 필살기 게이지</x:v>
      </x:c>
      <x:c r="C10" s="42" t="str">
        <x:v>100pt</x:v>
      </x:c>
      <x:c r="D10" s="42" t="str">
        <x:v>AUTO ON 시 100 즉시</x:v>
      </x:c>
      <x:c r="E10" s="42" t="str">
        <x:v>게이지100 때 탭</x:v>
      </x:c>
      <x:c r="F10" s="42" t="str">
        <x:v>100%</x:v>
      </x:c>
      <x:c r="G10" s="42" t="str">
        <x:v>필살기 수동 개입 여지</x:v>
      </x:c>
      <x:c r="H10" s="42" t="str">
        <x:v>ultimate=gauge100</x:v>
      </x:c>
      <x:c r="J10" s="42" t="n">
        <x:v>5</x:v>
      </x:c>
      <x:c r="K10" s="42" t="str">
        <x:v>보스 스킬</x:v>
      </x:c>
      <x:c r="L10" s="42" t="str">
        <x:v>단일/광역/강공격</x:v>
      </x:c>
      <x:c r="M10" s="42" t="str">
        <x:v>영웅 사망</x:v>
      </x:c>
      <x:c r="N10" s="42" t="str">
        <x:v>전투 지속</x:v>
      </x:c>
    </x:row>
    <x:row r="11">
      <x:c r="A11" s="42" t="str">
        <x:v>필살기 게이지</x:v>
      </x:c>
      <x:c r="B11" s="42" t="str">
        <x:v>기본공격 적중 + 피격</x:v>
      </x:c>
      <x:c r="C11" s="42" t="str">
        <x:v>공격 +8 / 피격 +5, 초당 최대12</x:v>
      </x:c>
      <x:c r="D11" s="42" t="str">
        <x:v>자동충전</x:v>
      </x:c>
      <x:c r="E11" s="42" t="str">
        <x:v>-</x:v>
      </x:c>
      <x:c r="F11" s="42" t="str">
        <x:v>-</x:v>
      </x:c>
      <x:c r="G11" s="42" t="str">
        <x:v>약 20~30초마다 1회 체감</x:v>
      </x:c>
      <x:c r="H11" s="42" t="str">
        <x:v>ult_gain=hit8,taken5,cap12ps</x:v>
      </x:c>
      <x:c r="J11" s="42" t="n">
        <x:v>6</x:v>
      </x:c>
      <x:c r="K11" s="42" t="str">
        <x:v>70초</x:v>
      </x:c>
      <x:c r="L11" s="42" t="str">
        <x:v>광폭화 시작</x:v>
      </x:c>
      <x:c r="M11" s="42" t="str">
        <x:v>DPS 부족</x:v>
      </x:c>
      <x:c r="N11" s="42" t="str">
        <x:v>ATK 증가</x:v>
      </x:c>
    </x:row>
    <x:row r="12">
      <x:c r="A12" s="42" t="str">
        <x:v>Skill3 연출</x:v>
      </x:c>
      <x:c r="B12" s="42" t="str">
        <x:v>전용 컷신</x:v>
      </x:c>
      <x:c r="C12" s="42" t="str">
        <x:v>약 1.2~1.8초</x:v>
      </x:c>
      <x:c r="D12" s="42" t="str">
        <x:v>자동/수동 동일</x:v>
      </x:c>
      <x:c r="E12" s="42" t="str">
        <x:v>탭 가능</x:v>
      </x:c>
      <x:c r="F12" s="42" t="str">
        <x:v>-</x:v>
      </x:c>
      <x:c r="G12" s="42" t="str">
        <x:v>연출은 Skill3에 집중</x:v>
      </x:c>
      <x:c r="H12" s="42" t="str">
        <x:v>ultimate.cutscene=short</x:v>
      </x:c>
      <x:c r="J12" s="42" t="n">
        <x:v>7</x:v>
      </x:c>
      <x:c r="K12" s="42" t="str">
        <x:v>보스 HP0</x:v>
      </x:c>
      <x:c r="L12" s="42" t="str">
        <x:v>최종 클리어</x:v>
      </x:c>
      <x:c r="M12" s="42" t="str">
        <x:v>-</x:v>
      </x:c>
      <x:c r="N12" s="42" t="str">
        <x:v>보상</x:v>
      </x:c>
    </x:row>
    <x:row r="13">
      <x:c r="A13" s="42" t="str">
        <x:v>보스 기본공격</x:v>
      </x:c>
      <x:c r="B13" s="42" t="str">
        <x:v>어그로 가중 단일 타겟</x:v>
      </x:c>
      <x:c r="C13" s="42" t="str">
        <x:v>탱커2.0 / 근접1.5 / 원거리1.0 / 지원1.0</x:v>
      </x:c>
      <x:c r="D13" s="42" t="str">
        <x:v>자동</x:v>
      </x:c>
      <x:c r="E13" s="42" t="str">
        <x:v>없음</x:v>
      </x:c>
      <x:c r="F13" s="42" t="str">
        <x:v>영웅 1명</x:v>
      </x:c>
      <x:c r="G13" s="42" t="str">
        <x:v>탱커의 의미 확보</x:v>
      </x:c>
      <x:c r="H13" s="42" t="str">
        <x:v>boss.basic=weighted_target</x:v>
      </x:c>
      <x:c r="J13" s="42" t="n">
        <x:v>8</x:v>
      </x:c>
      <x:c r="K13" s="42" t="str">
        <x:v>파티 전멸</x:v>
      </x:c>
      <x:c r="L13" s="42" t="str">
        <x:v>스테이지 실패</x:v>
      </x:c>
      <x:c r="M13" s="42" t="str">
        <x:v>RPG 실패</x:v>
      </x:c>
      <x:c r="N13" s="42" t="str">
        <x:v>TD부터 재도전</x:v>
      </x:c>
    </x:row>
    <x:row r="14">
      <x:c r="A14" s="42" t="str">
        <x:v>보스 광역스킬</x:v>
      </x:c>
      <x:c r="B14" s="42" t="str">
        <x:v>파티 전체</x:v>
      </x:c>
      <x:c r="C14" s="42" t="str">
        <x:v>기본ATK×0.55 상당</x:v>
      </x:c>
      <x:c r="D14" s="42" t="str">
        <x:v>자동</x:v>
      </x:c>
      <x:c r="E14" s="42" t="str">
        <x:v>회피 없음</x:v>
      </x:c>
      <x:c r="F14" s="42" t="str">
        <x:v>5명</x:v>
      </x:c>
      <x:c r="G14" s="42" t="str">
        <x:v>힐/생존 유틸 가치 확보</x:v>
      </x:c>
      <x:c r="H14" s="42" t="str">
        <x:v>boss.aoe=0.55atk</x:v>
      </x:c>
    </x:row>
    <x:row r="15">
      <x:c r="A15" s="42" t="str">
        <x:v>보스 강공격</x:v>
      </x:c>
      <x:c r="B15" s="42" t="str">
        <x:v>현재 어그로 1위</x:v>
      </x:c>
      <x:c r="C15" s="42" t="str">
        <x:v>기본ATK×1.8 상당</x:v>
      </x:c>
      <x:c r="D15" s="42" t="str">
        <x:v>자동</x:v>
      </x:c>
      <x:c r="E15" s="42" t="str">
        <x:v>회피 없음</x:v>
      </x:c>
      <x:c r="F15" s="42" t="str">
        <x:v>1명</x:v>
      </x:c>
      <x:c r="G15" s="42" t="str">
        <x:v>전열/탱커 압박</x:v>
      </x:c>
      <x:c r="H15" s="42" t="str">
        <x:v>boss.heavy=1.8atk</x:v>
      </x:c>
    </x:row>
    <x:row r="16">
      <x:c r="A16" s="42" t="str">
        <x:v>보스 스킬 주기</x:v>
      </x:c>
      <x:c r="B16" s="42" t="str">
        <x:v>광역/강공격 교차</x:v>
      </x:c>
      <x:c r="C16" s="42" t="str">
        <x:v>8~12초 주기</x:v>
      </x:c>
      <x:c r="D16" s="42" t="str">
        <x:v>자동</x:v>
      </x:c>
      <x:c r="E16" s="42" t="str">
        <x:v>-</x:v>
      </x:c>
      <x:c r="F16" s="42" t="str">
        <x:v>-</x:v>
      </x:c>
      <x:c r="G16" s="42" t="str">
        <x:v>RPG 생존 계산의 실제 근거</x:v>
      </x:c>
      <x:c r="H16" s="42" t="str">
        <x:v>boss.skill_cycle=8..12s</x:v>
      </x:c>
    </x:row>
    <x:row r="17">
      <x:c r="A17" s="42" t="str">
        <x:v>사망</x:v>
      </x:c>
      <x:c r="B17" s="42" t="str">
        <x:v>HP 0 즉시 전투불능</x:v>
      </x:c>
      <x:c r="C17" s="42" t="str">
        <x:v>부활 없음</x:v>
      </x:c>
      <x:c r="D17" s="42" t="str">
        <x:v>-</x:v>
      </x:c>
      <x:c r="E17" s="42" t="str">
        <x:v>-</x:v>
      </x:c>
      <x:c r="F17" s="42" t="str">
        <x:v>-</x:v>
      </x:c>
      <x:c r="G17" s="42" t="str">
        <x:v>파티 구성 책임 강화</x:v>
      </x:c>
      <x:c r="H17" s="42" t="str">
        <x:v>death=no_revive</x:v>
      </x:c>
    </x:row>
    <x:row r="18">
      <x:c r="A18" s="42" t="str">
        <x:v>타겟 재선정</x:v>
      </x:c>
      <x:c r="B18" s="42" t="str">
        <x:v>대상 사망 시 즉시</x:v>
      </x:c>
      <x:c r="C18" s="42" t="str">
        <x:v>0.2초 이내</x:v>
      </x:c>
      <x:c r="D18" s="42" t="str">
        <x:v>자동</x:v>
      </x:c>
      <x:c r="E18" s="42" t="str">
        <x:v>-</x:v>
      </x:c>
      <x:c r="F18" s="42" t="str">
        <x:v>-</x:v>
      </x:c>
      <x:c r="G18" s="42" t="str">
        <x:v>전투 정체 방지</x:v>
      </x:c>
      <x:c r="H18" s="42" t="str">
        <x:v>retarget=instant</x:v>
      </x:c>
    </x:row>
    <x:row r="19">
      <x:c r="A19" s="42" t="str">
        <x:v>보스 상태이상</x:v>
      </x:c>
      <x:c r="B19" s="42" t="str">
        <x:v>일반 보스 저항</x:v>
      </x:c>
      <x:c r="C19" s="42" t="str">
        <x:v>속박/빙결/기절 지속 35% 적용</x:v>
      </x:c>
      <x:c r="D19" s="42" t="str">
        <x:v>자동</x:v>
      </x:c>
      <x:c r="E19" s="42" t="str">
        <x:v>-</x:v>
      </x:c>
      <x:c r="F19" s="42" t="str">
        <x:v>감소 적용</x:v>
      </x:c>
      <x:c r="G19" s="42" t="str">
        <x:v>제어 영웅 가치 유지+완전봉쇄 방지</x:v>
      </x:c>
      <x:c r="H19" s="42" t="str">
        <x:v>boss.cc_duration=0.35</x:v>
      </x:c>
    </x:row>
    <x:row r="20">
      <x:c r="A20" s="42" t="str">
        <x:v>최종/설화 보스 저항</x:v>
      </x:c>
      <x:c r="B20" s="42" t="str">
        <x:v>상위 저항</x:v>
      </x:c>
      <x:c r="C20" s="42" t="str">
        <x:v>속박/빙결/기절 지속 20% 적용</x:v>
      </x:c>
      <x:c r="D20" s="42" t="str">
        <x:v>자동</x:v>
      </x:c>
      <x:c r="E20" s="42" t="str">
        <x:v>-</x:v>
      </x:c>
      <x:c r="F20" s="42" t="str">
        <x:v>감소 적용</x:v>
      </x:c>
      <x:c r="G20" s="42" t="str">
        <x:v>후반 CC락 방지</x:v>
      </x:c>
      <x:c r="H20" s="42" t="str">
        <x:v>boss.cc_final=0.20</x:v>
      </x:c>
    </x:row>
    <x:row r="21">
      <x:c r="A21" s="42" t="str">
        <x:v>둔화</x:v>
      </x:c>
      <x:c r="B21" s="42" t="str">
        <x:v>보스 상한</x:v>
      </x:c>
      <x:c r="C21" s="42" t="str">
        <x:v>최대 30%</x:v>
      </x:c>
      <x:c r="D21" s="42" t="str">
        <x:v>자동</x:v>
      </x:c>
      <x:c r="E21" s="42" t="str">
        <x:v>-</x:v>
      </x:c>
      <x:c r="F21" s="42" t="str">
        <x:v>적용</x:v>
      </x:c>
      <x:c r="G21" s="42" t="str">
        <x:v>중첩 폭주 방지</x:v>
      </x:c>
      <x:c r="H21" s="42" t="str">
        <x:v>boss.slow_cap=0.30</x:v>
      </x:c>
    </x:row>
    <x:row r="22">
      <x:c r="A22" s="42" t="str">
        <x:v>방어력 감소</x:v>
      </x:c>
      <x:c r="B22" s="42" t="str">
        <x:v>보스 상한</x:v>
      </x:c>
      <x:c r="C22" s="42" t="str">
        <x:v>최대 30%</x:v>
      </x:c>
      <x:c r="D22" s="42" t="str">
        <x:v>자동</x:v>
      </x:c>
      <x:c r="E22" s="42" t="str">
        <x:v>-</x:v>
      </x:c>
      <x:c r="F22" s="42" t="str">
        <x:v>적용</x:v>
      </x:c>
      <x:c r="G22" s="42" t="str">
        <x:v>니아/비올라 등 시너지 유지</x:v>
      </x:c>
      <x:c r="H22" s="42" t="str">
        <x:v>boss.def_down_cap=0.30</x:v>
      </x:c>
    </x:row>
    <x:row r="23">
      <x:c r="A23" s="42" t="str">
        <x:v>받는피해 증가</x:v>
      </x:c>
      <x:c r="B23" s="42" t="str">
        <x:v>보스 상한</x:v>
      </x:c>
      <x:c r="C23" s="42" t="str">
        <x:v>최대 25%</x:v>
      </x:c>
      <x:c r="D23" s="42" t="str">
        <x:v>자동</x:v>
      </x:c>
      <x:c r="E23" s="42" t="str">
        <x:v>-</x:v>
      </x:c>
      <x:c r="F23" s="42" t="str">
        <x:v>적용</x:v>
      </x:c>
      <x:c r="G23" s="42" t="str">
        <x:v>표식 중첩 폭주 방지</x:v>
      </x:c>
      <x:c r="H23" s="42" t="str">
        <x:v>boss.damage_taken_cap=0.25</x:v>
      </x:c>
    </x:row>
    <x:row r="24">
      <x:c r="A24" s="42" t="str">
        <x:v>AUTO</x:v>
      </x:c>
      <x:c r="B24" s="42" t="str">
        <x:v>기본 ON</x:v>
      </x:c>
      <x:c r="C24" s="42" t="str">
        <x:v>Skill1→2→3 우선</x:v>
      </x:c>
      <x:c r="D24" s="42" t="str">
        <x:v>자동</x:v>
      </x:c>
      <x:c r="E24" s="42" t="str">
        <x:v>토글 가능</x:v>
      </x:c>
      <x:c r="F24" s="42" t="str">
        <x:v>-</x:v>
      </x:c>
      <x:c r="G24" s="42" t="str">
        <x:v>접근성 우선</x:v>
      </x:c>
      <x:c r="H24" s="42" t="str">
        <x:v>auto.default=true</x:v>
      </x:c>
    </x:row>
    <x:row r="25">
      <x:c r="A25" s="42" t="str">
        <x:v>AUTO 우선순위</x:v>
      </x:c>
      <x:c r="B25" s="42" t="str">
        <x:v>생존필요→버프→디버프→딜</x:v>
      </x:c>
      <x:c r="C25" s="42" t="str">
        <x:v>조건식</x:v>
      </x:c>
      <x:c r="D25" s="42" t="str">
        <x:v>자동</x:v>
      </x:c>
      <x:c r="E25" s="42" t="str">
        <x:v>수동이 우선</x:v>
      </x:c>
      <x:c r="F25" s="42" t="str">
        <x:v>-</x:v>
      </x:c>
      <x:c r="G25" s="42" t="str">
        <x:v>지원 영웅 낭비 방지</x:v>
      </x:c>
      <x:c r="H25" s="42" t="str">
        <x:v>auto.priority=contextual</x:v>
      </x:c>
    </x:row>
    <x:row r="26">
      <x:c r="A26" s="42" t="str">
        <x:v>전투속도</x:v>
      </x:c>
      <x:c r="B26" s="42" t="str">
        <x:v>1×/2×/3×</x:v>
      </x:c>
      <x:c r="C26" s="42" t="str">
        <x:v>TD와 동일</x:v>
      </x:c>
      <x:c r="D26" s="42" t="str">
        <x:v>지원</x:v>
      </x:c>
      <x:c r="E26" s="42" t="str">
        <x:v>지원</x:v>
      </x:c>
      <x:c r="F26" s="42" t="str">
        <x:v>-</x:v>
      </x:c>
      <x:c r="G26" s="42" t="str">
        <x:v>반복 플레이 단축</x:v>
      </x:c>
      <x:c r="H26" s="42" t="str">
        <x:v>speed=1,2,3</x:v>
      </x:c>
    </x:row>
    <x:row r="27">
      <x:c r="A27" s="42" t="str">
        <x:v>제한시간</x:v>
      </x:c>
      <x:c r="B27" s="42" t="str">
        <x:v>하드 기준 70초</x:v>
      </x:c>
      <x:c r="C27" s="42" t="str">
        <x:v>70초 초과 시 광폭</x:v>
      </x:c>
      <x:c r="D27" s="42" t="str">
        <x:v>-</x:v>
      </x:c>
      <x:c r="E27" s="42" t="str">
        <x:v>-</x:v>
      </x:c>
      <x:c r="F27" s="42" t="str">
        <x:v>보스 ATK+50%, 매10초+15%</x:v>
      </x:c>
      <x:c r="G27" s="42" t="str">
        <x:v>무한 버티기 방지</x:v>
      </x:c>
      <x:c r="H27" s="42" t="str">
        <x:v>enrage=70s</x:v>
      </x:c>
    </x:row>
    <x:row r="28">
      <x:c r="A28" s="42" t="str">
        <x:v>클리어</x:v>
      </x:c>
      <x:c r="B28" s="42" t="str">
        <x:v>보스 HP 0</x:v>
      </x:c>
      <x:c r="C28" s="42" t="str">
        <x:v>파티 1명 이상 생존</x:v>
      </x:c>
      <x:c r="D28" s="42" t="str">
        <x:v>-</x:v>
      </x:c>
      <x:c r="E28" s="42" t="str">
        <x:v>-</x:v>
      </x:c>
      <x:c r="F28" s="42" t="str">
        <x:v>-</x:v>
      </x:c>
      <x:c r="G28" s="42" t="str">
        <x:v>스테이지 최종 성공</x:v>
      </x:c>
      <x:c r="H28" s="42" t="str">
        <x:v>clear=boss_hp0</x:v>
      </x:c>
    </x:row>
  </x:sheetData>
  <x:mergeCells>
    <x:mergeCell ref="A1:N1"/>
    <x:mergeCell ref="J3:N3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0" hidden="0" customWidth="1"/>
    <x:col min="4" max="4" width="10" hidden="0" customWidth="1"/>
    <x:col min="5" max="5" width="44" hidden="0" customWidth="1"/>
    <x:col min="6" max="6" width="9" hidden="0" customWidth="1"/>
    <x:col min="7" max="7" width="9" hidden="0" customWidth="1"/>
    <x:col min="8" max="8" width="12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42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20" hidden="0" customWidth="1"/>
    <x:col min="21" max="21" width="44" hidden="0" customWidth="1"/>
    <x:col min="22" max="22" width="20" hidden="0" customWidth="1"/>
    <x:col min="23" max="23" width="34" hidden="0" customWidth="1"/>
  </x:cols>
  <x:sheetData>
    <x:row r="1">
      <x:c r="A1" s="780" t="str">
        <x:v>Hard 34~44 — TD + RPG 통합 밸런스 V4.2</x:v>
      </x:c>
      <x:c r="B1" s="780"/>
      <x:c r="C1" s="780"/>
      <x:c r="D1" s="780"/>
      <x:c r="E1" s="780"/>
      <x:c r="F1" s="780"/>
      <x:c r="G1" s="780"/>
      <x:c r="H1" s="780"/>
      <x:c r="I1" s="780"/>
      <x:c r="J1" s="780"/>
      <x:c r="K1" s="780"/>
      <x:c r="L1" s="780"/>
      <x:c r="M1" s="780"/>
      <x:c r="N1" s="780"/>
      <x:c r="O1" s="780"/>
      <x:c r="P1" s="780"/>
      <x:c r="Q1" s="780"/>
      <x:c r="R1" s="780"/>
      <x:c r="S1" s="780"/>
      <x:c r="T1" s="780"/>
      <x:c r="U1" s="780"/>
      <x:c r="V1" s="780"/>
      <x:c r="W1" s="780"/>
    </x:row>
    <x:row r="3">
      <x:c r="A3" s="783" t="str">
        <x:v>Stage</x:v>
      </x:c>
      <x:c r="B3" s="783" t="str">
        <x:v>보스</x:v>
      </x:c>
      <x:c r="C3" s="783" t="str">
        <x:v>권장Lv</x:v>
      </x:c>
      <x:c r="D3" s="783" t="str">
        <x:v>성급</x:v>
      </x:c>
      <x:c r="E3" s="783" t="str">
        <x:v>표준파티</x:v>
      </x:c>
      <x:c r="F3" s="783" t="str">
        <x:v>신화</x:v>
      </x:c>
      <x:c r="G3" s="783" t="str">
        <x:v>전설</x:v>
      </x:c>
      <x:c r="H3" s="783" t="str">
        <x:v>TD 목표초</x:v>
      </x:c>
      <x:c r="I3" s="783" t="str">
        <x:v>TD 기준DPS</x:v>
      </x:c>
      <x:c r="J3" s="783" t="str">
        <x:v>TD 실전EHP</x:v>
      </x:c>
      <x:c r="K3" s="783" t="str">
        <x:v>RPG 목표처치초</x:v>
      </x:c>
      <x:c r="L3" s="783" t="str">
        <x:v>RPG 목표생존초</x:v>
      </x:c>
      <x:c r="M3" s="783" t="str">
        <x:v>RPG 전용HP</x:v>
      </x:c>
      <x:c r="N3" s="783" t="str">
        <x:v>RPG 압박계수</x:v>
      </x:c>
      <x:c r="O3" s="783" t="str">
        <x:v>한단계 낮은 파티</x:v>
      </x:c>
      <x:c r="P3" s="783" t="str">
        <x:v>낮은파티 RPG처치초</x:v>
      </x:c>
      <x:c r="Q3" s="783" t="str">
        <x:v>낮은파티 RPG생존초</x:v>
      </x:c>
      <x:c r="R3" s="783" t="str">
        <x:v>낮은파티 판정</x:v>
      </x:c>
      <x:c r="S3" s="783" t="str">
        <x:v>통합 판정</x:v>
      </x:c>
      <x:c r="T3" s="783" t="str">
        <x:v>성장벽</x:v>
      </x:c>
      <x:c r="U3" s="783" t="str">
        <x:v>의도</x:v>
      </x:c>
      <x:c r="V3" s="783" t="str">
        <x:v>다음 목표</x:v>
      </x:c>
      <x:c r="W3" s="783" t="str">
        <x:v>비고</x:v>
      </x:c>
    </x:row>
    <x:row r="4">
      <x:c r="A4" s="42" t="n">
        <x:v>34</x:v>
      </x:c>
      <x:c r="B4" s="42" t="str">
        <x:v>침식된 백야왕 펜리르</x:v>
      </x:c>
      <x:c r="C4" s="42" t="n">
        <x:v>66</x:v>
      </x:c>
      <x:c r="D4" s="42" t="str">
        <x:v>★5</x:v>
      </x:c>
      <x:c r="E4" s="42" t="str">
        <x:v>아리아 + 미아 + 니아 + 오로라 + 클로에</x:v>
      </x:c>
      <x:c r="F4" s="42" t="n">
        <x:v>4</x:v>
      </x:c>
      <x:c r="G4" s="42" t="n">
        <x:v>1</x:v>
      </x:c>
      <x:c r="H4" s="477" t="n">
        <x:v>29.2</x:v>
      </x:c>
      <x:c r="I4" s="477" t="n">
        <x:v>5507.886942075002</x:v>
      </x:c>
      <x:c r="J4" s="477" t="n">
        <x:v>160830.29870859004</x:v>
      </x:c>
      <x:c r="K4" s="477" t="n">
        <x:v>42</x:v>
      </x:c>
      <x:c r="L4" s="477" t="n">
        <x:v>50</x:v>
      </x:c>
      <x:c r="M4" s="477" t="n">
        <x:v>108829.52744357639</x:v>
      </x:c>
      <x:c r="N4" s="477" t="n">
        <x:v>8.472727598500004</x:v>
      </x:c>
      <x:c r="O4" s="42" t="str">
        <x:v>아리아 + 미아 + 니아 + 오로라</x:v>
      </x:c>
      <x:c r="P4" s="477" t="n">
        <x:v>50.95426012636494</x:v>
      </x:c>
      <x:c r="Q4" s="477" t="n">
        <x:v>39.18915385995469</x:v>
      </x:c>
      <x:c r="R4" s="42" t="str">
        <x:v>실패</x:v>
      </x:c>
      <x:c r="S4" s="42" t="str">
        <x:v>통과 기준</x:v>
      </x:c>
      <x:c r="T4" s="42" t="str">
        <x:v>첫 Hard 장기벽</x:v>
      </x:c>
      <x:c r="U4" s="42" t="str">
        <x:v>TD 30초 경계 + 같은 5영웅 RPG 통과. 낮은 단계 파티는 RPG에서 막히도록 설계.</x:v>
      </x:c>
      <x:c r="V4" s="42" t="str">
        <x:v>5신화 완성</x:v>
      </x:c>
      <x:c r="W4" s="42" t="str">
        <x:v>RPG 70초 이후 광폭. Stage45~50 V3.6과 연결.</x:v>
      </x:c>
    </x:row>
    <x:row r="5">
      <x:c r="A5" s="42" t="n">
        <x:v>35</x:v>
      </x:c>
      <x:c r="B5" s="42" t="str">
        <x:v>검은 빙벽거인 요툰</x:v>
      </x:c>
      <x:c r="C5" s="42" t="n">
        <x:v>68</x:v>
      </x:c>
      <x:c r="D5" s="42" t="str">
        <x:v>★5</x:v>
      </x:c>
      <x:c r="E5" s="42" t="str">
        <x:v>아리아 + 미아 + 니아 + 오로라 + 클로에</x:v>
      </x:c>
      <x:c r="F5" s="42" t="n">
        <x:v>4</x:v>
      </x:c>
      <x:c r="G5" s="42" t="n">
        <x:v>1</x:v>
      </x:c>
      <x:c r="H5" s="477" t="n">
        <x:v>29.5</x:v>
      </x:c>
      <x:c r="I5" s="477" t="n">
        <x:v>5497.3859466876</x:v>
      </x:c>
      <x:c r="J5" s="477" t="n">
        <x:v>162172.8854272842</x:v>
      </x:c>
      <x:c r="K5" s="477" t="n">
        <x:v>43</x:v>
      </x:c>
      <x:c r="L5" s="477" t="n">
        <x:v>51</x:v>
      </x:c>
      <x:c r="M5" s="477" t="n">
        <x:v>109494.6994279514</x:v>
      </x:c>
      <x:c r="N5" s="477" t="n">
        <x:v>7.953920736835915</x:v>
      </x:c>
      <x:c r="O5" s="42" t="str">
        <x:v>아리아 + 미아 + 니아 + 오로라</x:v>
      </x:c>
      <x:c r="P5" s="477" t="n">
        <x:v>52.16745679604032</x:v>
      </x:c>
      <x:c r="Q5" s="477" t="n">
        <x:v>39.972257655459174</x:v>
      </x:c>
      <x:c r="R5" s="42" t="str">
        <x:v>실패</x:v>
      </x:c>
      <x:c r="S5" s="42" t="str">
        <x:v>통과 기준</x:v>
      </x:c>
      <x:c r="T5" s="42" t="str">
        <x:v>성장 확인</x:v>
      </x:c>
      <x:c r="U5" s="42" t="str">
        <x:v>TD 30초 경계 + 같은 5영웅 RPG 통과. 낮은 단계 파티는 RPG에서 막히도록 설계.</x:v>
      </x:c>
      <x:c r="V5" s="42" t="str">
        <x:v>5신화 완성</x:v>
      </x:c>
      <x:c r="W5" s="42" t="str">
        <x:v>RPG 70초 이후 광폭. Stage45~50 V3.6과 연결.</x:v>
      </x:c>
    </x:row>
    <x:row r="6">
      <x:c r="A6" s="42" t="n">
        <x:v>36</x:v>
      </x:c>
      <x:c r="B6" s="42" t="str">
        <x:v>침식에 물들은 북부의 설화</x:v>
      </x:c>
      <x:c r="C6" s="42" t="n">
        <x:v>70</x:v>
      </x:c>
      <x:c r="D6" s="42" t="str">
        <x:v>★5</x:v>
      </x:c>
      <x:c r="E6" s="42" t="str">
        <x:v>아리아 + 미아 + 니아 + 오로라 + 클로에</x:v>
      </x:c>
      <x:c r="F6" s="42" t="n">
        <x:v>4</x:v>
      </x:c>
      <x:c r="G6" s="42" t="n">
        <x:v>1</x:v>
      </x:c>
      <x:c r="H6" s="477" t="n">
        <x:v>29.8</x:v>
      </x:c>
      <x:c r="I6" s="477" t="n">
        <x:v>5486.348347187401</x:v>
      </x:c>
      <x:c r="J6" s="477" t="n">
        <x:v>163493.18074618455</x:v>
      </x:c>
      <x:c r="K6" s="477" t="n">
        <x:v>44</x:v>
      </x:c>
      <x:c r="L6" s="477" t="n">
        <x:v>52</x:v>
      </x:c>
      <x:c r="M6" s="477" t="n">
        <x:v>110159.87141232639</x:v>
      </x:c>
      <x:c r="N6" s="477" t="n">
        <x:v>7.490069502871154</x:v>
      </x:c>
      <x:c r="O6" s="42" t="str">
        <x:v>아리아 + 미아 + 니아 + 오로라</x:v>
      </x:c>
      <x:c r="P6" s="477" t="n">
        <x:v>53.38065346571566</x:v>
      </x:c>
      <x:c r="Q6" s="477" t="n">
        <x:v>40.7553411255406</x:v>
      </x:c>
      <x:c r="R6" s="42" t="str">
        <x:v>실패</x:v>
      </x:c>
      <x:c r="S6" s="42" t="str">
        <x:v>통과 기준</x:v>
      </x:c>
      <x:c r="T6" s="42" t="str">
        <x:v>북부 지역보스</x:v>
      </x:c>
      <x:c r="U6" s="42" t="str">
        <x:v>TD 30초 경계 + 같은 5영웅 RPG 통과. 낮은 단계 파티는 RPG에서 막히도록 설계.</x:v>
      </x:c>
      <x:c r="V6" s="42" t="str">
        <x:v>5신화 완성</x:v>
      </x:c>
      <x:c r="W6" s="42" t="str">
        <x:v>RPG 70초 이후 광폭. Stage45~50 V3.6과 연결.</x:v>
      </x:c>
    </x:row>
    <x:row r="7">
      <x:c r="A7" s="42" t="n">
        <x:v>37</x:v>
      </x:c>
      <x:c r="B7" s="42" t="str">
        <x:v>타락한 사구왕 자하르</x:v>
      </x:c>
      <x:c r="C7" s="42" t="n">
        <x:v>72</x:v>
      </x:c>
      <x:c r="D7" s="42" t="str">
        <x:v>★5</x:v>
      </x:c>
      <x:c r="E7" s="42" t="str">
        <x:v>아리아 + 니아 + 비올라 + 오로라 + 클로에</x:v>
      </x:c>
      <x:c r="F7" s="42" t="n">
        <x:v>4</x:v>
      </x:c>
      <x:c r="G7" s="42" t="n">
        <x:v>1</x:v>
      </x:c>
      <x:c r="H7" s="477" t="n">
        <x:v>29.5</x:v>
      </x:c>
      <x:c r="I7" s="477" t="n">
        <x:v>5418.617868574401</x:v>
      </x:c>
      <x:c r="J7" s="477" t="n">
        <x:v>159849.2271229448</x:v>
      </x:c>
      <x:c r="K7" s="477" t="n">
        <x:v>44</x:v>
      </x:c>
      <x:c r="L7" s="477" t="n">
        <x:v>52</x:v>
      </x:c>
      <x:c r="M7" s="477" t="n">
        <x:v>105567.79090084879</x:v>
      </x:c>
      <x:c r="N7" s="477" t="n">
        <x:v>6.97243407930346</x:v>
      </x:c>
      <x:c r="O7" s="42" t="str">
        <x:v>아리아 + 니아 + 비올라 + 오로라</x:v>
      </x:c>
      <x:c r="P7" s="477" t="n">
        <x:v>53.17488506127252</x:v>
      </x:c>
      <x:c r="Q7" s="477" t="n">
        <x:v>40.39970653401639</x:v>
      </x:c>
      <x:c r="R7" s="42" t="str">
        <x:v>실패</x:v>
      </x:c>
      <x:c r="S7" s="42" t="str">
        <x:v>통과 기준</x:v>
      </x:c>
      <x:c r="T7" s="42" t="str">
        <x:v>다음 성장벽 진입</x:v>
      </x:c>
      <x:c r="U7" s="42" t="str">
        <x:v>TD 30초 경계 + 같은 5영웅 RPG 통과. 낮은 단계 파티는 RPG에서 막히도록 설계.</x:v>
      </x:c>
      <x:c r="V7" s="42" t="str">
        <x:v>5신화 완성</x:v>
      </x:c>
      <x:c r="W7" s="42" t="str">
        <x:v>RPG 70초 이후 광폭. Stage45~50 V3.6과 연결.</x:v>
      </x:c>
    </x:row>
    <x:row r="8">
      <x:c r="A8" s="42" t="n">
        <x:v>38</x:v>
      </x:c>
      <x:c r="B8" s="42" t="str">
        <x:v>침식된 태양먹는 아누라</x:v>
      </x:c>
      <x:c r="C8" s="42" t="n">
        <x:v>74</x:v>
      </x:c>
      <x:c r="D8" s="42" t="str">
        <x:v>★5</x:v>
      </x:c>
      <x:c r="E8" s="42" t="str">
        <x:v>아리아 + 니아 + 비올라 + 오로라 + 클로에</x:v>
      </x:c>
      <x:c r="F8" s="42" t="n">
        <x:v>4</x:v>
      </x:c>
      <x:c r="G8" s="42" t="n">
        <x:v>1</x:v>
      </x:c>
      <x:c r="H8" s="477" t="n">
        <x:v>29.7</x:v>
      </x:c>
      <x:c r="I8" s="477" t="n">
        <x:v>5406.1700108486</x:v>
      </x:c>
      <x:c r="J8" s="477" t="n">
        <x:v>160563.24932220342</x:v>
      </x:c>
      <x:c r="K8" s="477" t="n">
        <x:v>45</x:v>
      </x:c>
      <x:c r="L8" s="477" t="n">
        <x:v>53</x:v>
      </x:c>
      <x:c r="M8" s="477" t="n">
        <x:v>106253.87990404213</x:v>
      </x:c>
      <x:c r="N8" s="477" t="n">
        <x:v>6.598736768198437</x:v>
      </x:c>
      <x:c r="O8" s="42" t="str">
        <x:v>아리아 + 니아 + 비올라 + 오로라</x:v>
      </x:c>
      <x:c r="P8" s="477" t="n">
        <x:v>54.38340517630144</x:v>
      </x:c>
      <x:c r="Q8" s="477" t="n">
        <x:v>41.175607477095234</x:v>
      </x:c>
      <x:c r="R8" s="42" t="str">
        <x:v>실패</x:v>
      </x:c>
      <x:c r="S8" s="42" t="str">
        <x:v>통과 기준</x:v>
      </x:c>
      <x:c r="T8" s="42" t="str">
        <x:v>4신화 완성도</x:v>
      </x:c>
      <x:c r="U8" s="42" t="str">
        <x:v>TD 30초 경계 + 같은 5영웅 RPG 통과. 낮은 단계 파티는 RPG에서 막히도록 설계.</x:v>
      </x:c>
      <x:c r="V8" s="42" t="str">
        <x:v>5신화 완성</x:v>
      </x:c>
      <x:c r="W8" s="42" t="str">
        <x:v>RPG 70초 이후 광폭. Stage45~50 V3.6과 연결.</x:v>
      </x:c>
    </x:row>
    <x:row r="9">
      <x:c r="A9" s="42" t="n">
        <x:v>39</x:v>
      </x:c>
      <x:c r="B9" s="42" t="str">
        <x:v>침식에 물들은 남부의 설화</x:v>
      </x:c>
      <x:c r="C9" s="42" t="n">
        <x:v>76</x:v>
      </x:c>
      <x:c r="D9" s="42" t="str">
        <x:v>★5</x:v>
      </x:c>
      <x:c r="E9" s="42" t="str">
        <x:v>아리아 + 니아 + 비올라 + 오로라 + 클로에</x:v>
      </x:c>
      <x:c r="F9" s="42" t="n">
        <x:v>4</x:v>
      </x:c>
      <x:c r="G9" s="42" t="n">
        <x:v>1</x:v>
      </x:c>
      <x:c r="H9" s="477" t="n">
        <x:v>30</x:v>
      </x:c>
      <x:c r="I9" s="477" t="n">
        <x:v>5393.185549010001</x:v>
      </x:c>
      <x:c r="J9" s="477" t="n">
        <x:v>161795.56647030002</x:v>
      </x:c>
      <x:c r="K9" s="477" t="n">
        <x:v>46</x:v>
      </x:c>
      <x:c r="L9" s="477" t="n">
        <x:v>54</x:v>
      </x:c>
      <x:c r="M9" s="477" t="n">
        <x:v>106938.34887983894</x:v>
      </x:c>
      <x:c r="N9" s="477" t="n">
        <x:v>6.259877744955214</x:v>
      </x:c>
      <x:c r="O9" s="42" t="str">
        <x:v>아리아 + 니아 + 비올라 + 오로라</x:v>
      </x:c>
      <x:c r="P9" s="477" t="n">
        <x:v>55.59192529133035</x:v>
      </x:c>
      <x:c r="Q9" s="477" t="n">
        <x:v>41.95147931646878</x:v>
      </x:c>
      <x:c r="R9" s="42" t="str">
        <x:v>실패</x:v>
      </x:c>
      <x:c r="S9" s="42" t="str">
        <x:v>통과 기준</x:v>
      </x:c>
      <x:c r="T9" s="42" t="str">
        <x:v>남부 지역보스</x:v>
      </x:c>
      <x:c r="U9" s="42" t="str">
        <x:v>TD 30초 경계 + 같은 5영웅 RPG 통과. 낮은 단계 파티는 RPG에서 막히도록 설계.</x:v>
      </x:c>
      <x:c r="V9" s="42" t="str">
        <x:v>5신화 완성</x:v>
      </x:c>
      <x:c r="W9" s="42" t="str">
        <x:v>RPG 70초 이후 광폭. Stage45~50 V3.6과 연결.</x:v>
      </x:c>
    </x:row>
    <x:row r="10">
      <x:c r="A10" s="42" t="n">
        <x:v>40</x:v>
      </x:c>
      <x:c r="B10" s="42" t="str">
        <x:v>침식된 해적왕 쿠로가네</x:v>
      </x:c>
      <x:c r="C10" s="42" t="n">
        <x:v>78</x:v>
      </x:c>
      <x:c r="D10" s="42" t="str">
        <x:v>★5</x:v>
      </x:c>
      <x:c r="E10" s="42" t="str">
        <x:v>아리아 + 니아 + 비올라 + 오로라 + 이브</x:v>
      </x:c>
      <x:c r="F10" s="42" t="n">
        <x:v>4</x:v>
      </x:c>
      <x:c r="G10" s="42" t="n">
        <x:v>1</x:v>
      </x:c>
      <x:c r="H10" s="477" t="n">
        <x:v>29.7</x:v>
      </x:c>
      <x:c r="I10" s="477" t="n">
        <x:v>5395.692733058601</x:v>
      </x:c>
      <x:c r="J10" s="477" t="n">
        <x:v>160252.07417184045</x:v>
      </x:c>
      <x:c r="K10" s="477" t="n">
        <x:v>46</x:v>
      </x:c>
      <x:c r="L10" s="477" t="n">
        <x:v>54</x:v>
      </x:c>
      <x:c r="M10" s="477" t="n">
        <x:v>111139.18269604314</x:v>
      </x:c>
      <x:c r="N10" s="477" t="n">
        <x:v>6.090518464669547</x:v>
      </x:c>
      <x:c r="O10" s="42" t="str">
        <x:v>아리아 + 니아 + 비올라 + 오로라</x:v>
      </x:c>
      <x:c r="P10" s="477" t="n">
        <x:v>58.65711651133537</x:v>
      </x:c>
      <x:c r="Q10" s="477" t="n">
        <x:v>41.75121104228246</x:v>
      </x:c>
      <x:c r="R10" s="42" t="str">
        <x:v>실패</x:v>
      </x:c>
      <x:c r="S10" s="42" t="str">
        <x:v>통과 기준</x:v>
      </x:c>
      <x:c r="T10" s="42" t="str">
        <x:v>5번째 신화 압박 시작</x:v>
      </x:c>
      <x:c r="U10" s="42" t="str">
        <x:v>TD 30초 경계 + 같은 5영웅 RPG 통과. 낮은 단계 파티는 RPG에서 막히도록 설계.</x:v>
      </x:c>
      <x:c r="V10" s="42" t="str">
        <x:v>5신화 완성</x:v>
      </x:c>
      <x:c r="W10" s="42" t="str">
        <x:v>RPG 70초 이후 광폭. Stage45~50 V3.6과 연결.</x:v>
      </x:c>
    </x:row>
    <x:row r="11">
      <x:c r="A11" s="42" t="n">
        <x:v>41</x:v>
      </x:c>
      <x:c r="B11" s="42" t="str">
        <x:v>심연해룡 류가</x:v>
      </x:c>
      <x:c r="C11" s="42" t="n">
        <x:v>80</x:v>
      </x:c>
      <x:c r="D11" s="42" t="str">
        <x:v>★5</x:v>
      </x:c>
      <x:c r="E11" s="42" t="str">
        <x:v>아델 + 니아 + 비올라 + 오로라 + 이브</x:v>
      </x:c>
      <x:c r="F11" s="42" t="n">
        <x:v>5</x:v>
      </x:c>
      <x:c r="G11" s="42" t="n">
        <x:v>0</x:v>
      </x:c>
      <x:c r="H11" s="477" t="n">
        <x:v>29.8</x:v>
      </x:c>
      <x:c r="I11" s="477" t="n">
        <x:v>5832.144578562401</x:v>
      </x:c>
      <x:c r="J11" s="477" t="n">
        <x:v>173797.90844115955</x:v>
      </x:c>
      <x:c r="K11" s="477" t="n">
        <x:v>47</x:v>
      </x:c>
      <x:c r="L11" s="477" t="n">
        <x:v>55</x:v>
      </x:c>
      <x:c r="M11" s="477" t="n">
        <x:v>115642.63739868841</x:v>
      </x:c>
      <x:c r="N11" s="477" t="n">
        <x:v>7.312110669089821</x:v>
      </x:c>
      <x:c r="O11" s="42" t="str">
        <x:v>아리아 + 니아 + 비올라 + 오로라 + 이브</x:v>
      </x:c>
      <x:c r="P11" s="477" t="n">
        <x:v>46.74804609076296</x:v>
      </x:c>
      <x:c r="Q11" s="477" t="n">
        <x:v>46.6668750935856</x:v>
      </x:c>
      <x:c r="R11" s="42" t="str">
        <x:v>실패</x:v>
      </x:c>
      <x:c r="S11" s="42" t="str">
        <x:v>통과 기준</x:v>
      </x:c>
      <x:c r="T11" s="42" t="str">
        <x:v>5신화 전환</x:v>
      </x:c>
      <x:c r="U11" s="42" t="str">
        <x:v>TD 30초 경계 + 같은 5영웅 RPG 통과. 낮은 단계 파티는 RPG에서 막히도록 설계.</x:v>
      </x:c>
      <x:c r="V11" s="42" t="str">
        <x:v>5신화 안정화</x:v>
      </x:c>
      <x:c r="W11" s="42" t="str">
        <x:v>RPG 70초 이후 광폭. Stage45~50 V3.6과 연결.</x:v>
      </x:c>
    </x:row>
    <x:row r="12">
      <x:c r="A12" s="42" t="n">
        <x:v>42</x:v>
      </x:c>
      <x:c r="B12" s="42" t="str">
        <x:v>침식에 물들은 동부의 설화</x:v>
      </x:c>
      <x:c r="C12" s="42" t="n">
        <x:v>82</x:v>
      </x:c>
      <x:c r="D12" s="42" t="str">
        <x:v>★5</x:v>
      </x:c>
      <x:c r="E12" s="42" t="str">
        <x:v>아델 + 니아 + 비올라 + 오로라 + 이브</x:v>
      </x:c>
      <x:c r="F12" s="42" t="n">
        <x:v>5</x:v>
      </x:c>
      <x:c r="G12" s="42" t="n">
        <x:v>0</x:v>
      </x:c>
      <x:c r="H12" s="477" t="n">
        <x:v>30</x:v>
      </x:c>
      <x:c r="I12" s="477" t="n">
        <x:v>5817.210624009402</x:v>
      </x:c>
      <x:c r="J12" s="477" t="n">
        <x:v>174516.31872028206</x:v>
      </x:c>
      <x:c r="K12" s="477" t="n">
        <x:v>48</x:v>
      </x:c>
      <x:c r="L12" s="477" t="n">
        <x:v>56</x:v>
      </x:c>
      <x:c r="M12" s="477" t="n">
        <x:v>116393.93633236349</x:v>
      </x:c>
      <x:c r="N12" s="477" t="n">
        <x:v>6.974669520053917</x:v>
      </x:c>
      <x:c r="O12" s="42" t="str">
        <x:v>아리아 + 니아 + 비올라 + 오로라 + 이브</x:v>
      </x:c>
      <x:c r="P12" s="477" t="n">
        <x:v>47.74268536928983</x:v>
      </x:c>
      <x:c r="Q12" s="477" t="n">
        <x:v>47.511371871343854</x:v>
      </x:c>
      <x:c r="R12" s="42" t="str">
        <x:v>실패</x:v>
      </x:c>
      <x:c r="S12" s="42" t="str">
        <x:v>통과 기준</x:v>
      </x:c>
      <x:c r="T12" s="42" t="str">
        <x:v>동부 지역보스</x:v>
      </x:c>
      <x:c r="U12" s="42" t="str">
        <x:v>TD 30초 경계 + 같은 5영웅 RPG 통과. 낮은 단계 파티는 RPG에서 막히도록 설계.</x:v>
      </x:c>
      <x:c r="V12" s="42" t="str">
        <x:v>5신화 안정화</x:v>
      </x:c>
      <x:c r="W12" s="42" t="str">
        <x:v>RPG 70초 이후 광폭. Stage45~50 V3.6과 연결.</x:v>
      </x:c>
    </x:row>
    <x:row r="13">
      <x:c r="A13" s="42" t="n">
        <x:v>43</x:v>
      </x:c>
      <x:c r="B13" s="42" t="str">
        <x:v>검은대주교 말키엘</x:v>
      </x:c>
      <x:c r="C13" s="42" t="n">
        <x:v>83</x:v>
      </x:c>
      <x:c r="D13" s="42" t="str">
        <x:v>★5</x:v>
      </x:c>
      <x:c r="E13" s="42" t="str">
        <x:v>아델 + 니아 + 오로라 + 클로에 + 이브</x:v>
      </x:c>
      <x:c r="F13" s="42" t="n">
        <x:v>5</x:v>
      </x:c>
      <x:c r="G13" s="42" t="n">
        <x:v>0</x:v>
      </x:c>
      <x:c r="H13" s="477" t="n">
        <x:v>29.8</x:v>
      </x:c>
      <x:c r="I13" s="477" t="n">
        <x:v>5743.322947482401</x:v>
      </x:c>
      <x:c r="J13" s="477" t="n">
        <x:v>171151.02383497555</x:v>
      </x:c>
      <x:c r="K13" s="477" t="n">
        <x:v>48</x:v>
      </x:c>
      <x:c r="L13" s="477" t="n">
        <x:v>56</x:v>
      </x:c>
      <x:c r="M13" s="477" t="n">
        <x:v>107672.58660637257</x:v>
      </x:c>
      <x:c r="N13" s="477" t="n">
        <x:v>7.075333510899475</x:v>
      </x:c>
      <x:c r="O13" s="42" t="str">
        <x:v>아리아 + 니아 + 비올라 + 오로라 + 이브</x:v>
      </x:c>
      <x:c r="P13" s="477" t="n">
        <x:v>44.92266188622872</x:v>
      </x:c>
      <x:c r="Q13" s="477" t="n">
        <x:v>45.3239021828218</x:v>
      </x:c>
      <x:c r="R13" s="42" t="str">
        <x:v>극한 가능</x:v>
      </x:c>
      <x:c r="S13" s="42" t="str">
        <x:v>통과 기준</x:v>
      </x:c>
      <x:c r="T13" s="42" t="str">
        <x:v>최종구간 준비</x:v>
      </x:c>
      <x:c r="U13" s="42" t="str">
        <x:v>TD 30초 경계 + 같은 5영웅 RPG 통과. 낮은 단계 파티는 RPG에서 막히도록 설계.</x:v>
      </x:c>
      <x:c r="V13" s="42" t="str">
        <x:v>45 진입</x:v>
      </x:c>
      <x:c r="W13" s="42" t="str">
        <x:v>RPG 70초 이후 광폭. Stage45~50 V3.6과 연결.</x:v>
      </x:c>
    </x:row>
    <x:row r="14">
      <x:c r="A14" s="42" t="n">
        <x:v>44</x:v>
      </x:c>
      <x:c r="B14" s="42" t="str">
        <x:v>사룡숭배 대성상</x:v>
      </x:c>
      <x:c r="C14" s="42" t="n">
        <x:v>85</x:v>
      </x:c>
      <x:c r="D14" s="42" t="str">
        <x:v>★5</x:v>
      </x:c>
      <x:c r="E14" s="42" t="str">
        <x:v>아델 + 니아 + 오로라 + 클로에 + 이브</x:v>
      </x:c>
      <x:c r="F14" s="42" t="n">
        <x:v>5</x:v>
      </x:c>
      <x:c r="G14" s="42" t="n">
        <x:v>0</x:v>
      </x:c>
      <x:c r="H14" s="477" t="n">
        <x:v>30</x:v>
      </x:c>
      <x:c r="I14" s="477" t="n">
        <x:v>5727.213685732</x:v>
      </x:c>
      <x:c r="J14" s="477" t="n">
        <x:v>171816.41057196</x:v>
      </x:c>
      <x:c r="K14" s="477" t="n">
        <x:v>49</x:v>
      </x:c>
      <x:c r="L14" s="477" t="n">
        <x:v>57</x:v>
      </x:c>
      <x:c r="M14" s="477" t="n">
        <x:v>108404.99518375401</x:v>
      </x:c>
      <x:c r="N14" s="477" t="n">
        <x:v>6.76995474055138</x:v>
      </x:c>
      <x:c r="O14" s="42" t="str">
        <x:v>아리아 + 니아 + 비올라 + 오로라 + 이브</x:v>
      </x:c>
      <x:c r="P14" s="477" t="n">
        <x:v>45.858550675525144</x:v>
      </x:c>
      <x:c r="Q14" s="477" t="n">
        <x:v>46.128032445539525</x:v>
      </x:c>
      <x:c r="R14" s="42" t="str">
        <x:v>극한 가능</x:v>
      </x:c>
      <x:c r="S14" s="42" t="str">
        <x:v>통과 기준</x:v>
      </x:c>
      <x:c r="T14" s="42" t="str">
        <x:v>45 진입 체크포인트</x:v>
      </x:c>
      <x:c r="U14" s="42" t="str">
        <x:v>TD 30초 경계 + 같은 5영웅 RPG 통과. 낮은 단계 파티는 RPG에서 막히도록 설계.</x:v>
      </x:c>
      <x:c r="V14" s="42" t="str">
        <x:v>45 진입</x:v>
      </x:c>
      <x:c r="W14" s="42" t="str">
        <x:v>RPG 70초 이후 광폭. Stage45~50 V3.6과 연결.</x:v>
      </x:c>
    </x:row>
    <x:row r="17">
      <x:c r="A17" s="786" t="str">
        <x:v>Hard 34~44 성장 단계</x:v>
      </x:c>
      <x:c r="B17" s="786"/>
      <x:c r="C17" s="786"/>
      <x:c r="D17" s="786"/>
      <x:c r="E17" s="786"/>
      <x:c r="F17" s="786"/>
      <x:c r="G17" s="786"/>
      <x:c r="H17" s="786"/>
      <x:c r="I17" s="786"/>
      <x:c r="J17" s="786"/>
      <x:c r="K17" s="786"/>
      <x:c r="L17" s="786"/>
      <x:c r="M17" s="786"/>
      <x:c r="N17" s="786"/>
      <x:c r="O17" s="786"/>
      <x:c r="P17" s="786"/>
      <x:c r="Q17" s="786"/>
      <x:c r="R17" s="786"/>
      <x:c r="S17" s="786"/>
      <x:c r="T17" s="786"/>
      <x:c r="U17" s="786"/>
      <x:c r="V17" s="786"/>
      <x:c r="W17" s="786"/>
    </x:row>
    <x:row r="19">
      <x:c r="A19" s="788" t="str">
        <x:v>구간</x:v>
      </x:c>
      <x:c r="B19" s="788" t="str">
        <x:v>표준 파티</x:v>
      </x:c>
      <x:c r="C19" s="788" t="str">
        <x:v>신화수</x:v>
      </x:c>
      <x:c r="D19" s="788" t="str">
        <x:v>레벨</x:v>
      </x:c>
      <x:c r="E19" s="788" t="str">
        <x:v>RPG 역할</x:v>
      </x:c>
      <x:c r="F19" s="788" t="str">
        <x:v>실패가 의미하는 것</x:v>
      </x:c>
      <x:c r="G19" s="788" t="str">
        <x:v>성장벽</x:v>
      </x:c>
      <x:c r="H19" s="788" t="str">
        <x:v>다음 단계</x:v>
      </x:c>
    </x:row>
    <x:row r="20">
      <x:c r="A20" s="42" t="str">
        <x:v>34~36</x:v>
      </x:c>
      <x:c r="B20" s="42" t="str">
        <x:v>4신화+1전설</x:v>
      </x:c>
      <x:c r="C20" s="42" t="n">
        <x:v>4</x:v>
      </x:c>
      <x:c r="D20" s="42" t="str">
        <x:v>66~70</x:v>
      </x:c>
      <x:c r="E20" s="42" t="str">
        <x:v>필살기 III + 5인 완성</x:v>
      </x:c>
      <x:c r="F20" s="42" t="str">
        <x:v>4명/저육성 파티는 RPG에서 먼저 전멸</x:v>
      </x:c>
      <x:c r="G20" s="42" t="str">
        <x:v>Stage34 약 7일</x:v>
      </x:c>
      <x:c r="H20" s="42" t="str">
        <x:v>4신화 안정화</x:v>
      </x:c>
    </x:row>
    <x:row r="21">
      <x:c r="A21" s="42" t="str">
        <x:v>37~39</x:v>
      </x:c>
      <x:c r="B21" s="42" t="str">
        <x:v>4신화+1전설</x:v>
      </x:c>
      <x:c r="C21" s="42" t="n">
        <x:v>4</x:v>
      </x:c>
      <x:c r="D21" s="42" t="str">
        <x:v>72~76</x:v>
      </x:c>
      <x:c r="E21" s="42" t="str">
        <x:v>보스 특화/디버프 중요</x:v>
      </x:c>
      <x:c r="F21" s="42" t="str">
        <x:v>역할조합 부족 시 지역보스에서 실패</x:v>
      </x:c>
      <x:c r="G21" s="42" t="str">
        <x:v>Stage36→37 장벽</x:v>
      </x:c>
      <x:c r="H21" s="42" t="str">
        <x:v>5번째 신화 준비</x:v>
      </x:c>
    </x:row>
    <x:row r="22">
      <x:c r="A22" s="42" t="str">
        <x:v>40</x:v>
      </x:c>
      <x:c r="B22" s="42" t="str">
        <x:v>4신화+1전설</x:v>
      </x:c>
      <x:c r="C22" s="42" t="n">
        <x:v>4</x:v>
      </x:c>
      <x:c r="D22" s="42" t="n">
        <x:v>78</x:v>
      </x:c>
      <x:c r="E22" s="42" t="str">
        <x:v>마지막 전설 혼합 허용</x:v>
      </x:c>
      <x:c r="F22" s="42" t="str">
        <x:v>5신화 전환 압박 시작</x:v>
      </x:c>
      <x:c r="G22" s="42" t="str">
        <x:v>Stage39→40 장벽</x:v>
      </x:c>
      <x:c r="H22" s="42" t="str">
        <x:v>5신화</x:v>
      </x:c>
    </x:row>
    <x:row r="23">
      <x:c r="A23" s="42" t="str">
        <x:v>41~42</x:v>
      </x:c>
      <x:c r="B23" s="42" t="str">
        <x:v>5신화</x:v>
      </x:c>
      <x:c r="C23" s="42" t="n">
        <x:v>5</x:v>
      </x:c>
      <x:c r="D23" s="42" t="str">
        <x:v>80~82</x:v>
      </x:c>
      <x:c r="E23" s="42" t="str">
        <x:v>한계돌파 IV 진입</x:v>
      </x:c>
      <x:c r="F23" s="42" t="str">
        <x:v>4+1은 RPG 생존/처치 모두 경계 밖</x:v>
      </x:c>
      <x:c r="G23" s="42" t="str">
        <x:v>Stage42 체크</x:v>
      </x:c>
      <x:c r="H23" s="42" t="str">
        <x:v>후반 완성</x:v>
      </x:c>
    </x:row>
    <x:row r="24">
      <x:c r="A24" s="42" t="str">
        <x:v>43~44</x:v>
      </x:c>
      <x:c r="B24" s="42" t="str">
        <x:v>5신화</x:v>
      </x:c>
      <x:c r="C24" s="42" t="n">
        <x:v>5</x:v>
      </x:c>
      <x:c r="D24" s="42" t="str">
        <x:v>83~85</x:v>
      </x:c>
      <x:c r="E24" s="42" t="str">
        <x:v>최종 역할조합</x:v>
      </x:c>
      <x:c r="F24" s="42" t="str">
        <x:v>45 진입 전 마지막 검수</x:v>
      </x:c>
      <x:c r="G24" s="42" t="str">
        <x:v>짧은 연속구간</x:v>
      </x:c>
      <x:c r="H24" s="42" t="str">
        <x:v>45~50 최종구간</x:v>
      </x:c>
    </x:row>
    <x:row r="28">
      <x:c r="J28" t="str">
        <x:v>Stage</x:v>
      </x:c>
      <x:c r="K28" t="str">
        <x:v>TD 목표초</x:v>
      </x:c>
      <x:c r="L28" t="str">
        <x:v>RPG 처치초</x:v>
      </x:c>
      <x:c r="M28" t="str">
        <x:v>RPG 생존초</x:v>
      </x:c>
    </x:row>
    <x:row r="29">
      <x:c r="J29" t="n">
        <x:f>A4</x:f>
        <x:v>34</x:v>
      </x:c>
      <x:c r="K29" t="n">
        <x:f>H4</x:f>
        <x:v>29.2</x:v>
      </x:c>
      <x:c r="L29" t="n">
        <x:f>K4</x:f>
        <x:v>42</x:v>
      </x:c>
      <x:c r="M29" t="n">
        <x:f>L4</x:f>
        <x:v>50</x:v>
      </x:c>
    </x:row>
    <x:row r="30">
      <x:c r="J30" t="n">
        <x:f>A5</x:f>
        <x:v>35</x:v>
      </x:c>
      <x:c r="K30" t="n">
        <x:f>H5</x:f>
        <x:v>29.5</x:v>
      </x:c>
      <x:c r="L30" t="n">
        <x:f>K5</x:f>
        <x:v>43</x:v>
      </x:c>
      <x:c r="M30" t="n">
        <x:f>L5</x:f>
        <x:v>51</x:v>
      </x:c>
    </x:row>
    <x:row r="31">
      <x:c r="J31" t="n">
        <x:f>A6</x:f>
        <x:v>36</x:v>
      </x:c>
      <x:c r="K31" t="n">
        <x:f>H6</x:f>
        <x:v>29.8</x:v>
      </x:c>
      <x:c r="L31" t="n">
        <x:f>K6</x:f>
        <x:v>44</x:v>
      </x:c>
      <x:c r="M31" t="n">
        <x:f>L6</x:f>
        <x:v>52</x:v>
      </x:c>
    </x:row>
    <x:row r="32">
      <x:c r="J32" t="n">
        <x:f>A7</x:f>
        <x:v>37</x:v>
      </x:c>
      <x:c r="K32" t="n">
        <x:f>H7</x:f>
        <x:v>29.5</x:v>
      </x:c>
      <x:c r="L32" t="n">
        <x:f>K7</x:f>
        <x:v>44</x:v>
      </x:c>
      <x:c r="M32" t="n">
        <x:f>L7</x:f>
        <x:v>52</x:v>
      </x:c>
    </x:row>
    <x:row r="33">
      <x:c r="J33" t="n">
        <x:f>A8</x:f>
        <x:v>38</x:v>
      </x:c>
      <x:c r="K33" t="n">
        <x:f>H8</x:f>
        <x:v>29.7</x:v>
      </x:c>
      <x:c r="L33" t="n">
        <x:f>K8</x:f>
        <x:v>45</x:v>
      </x:c>
      <x:c r="M33" t="n">
        <x:f>L8</x:f>
        <x:v>53</x:v>
      </x:c>
    </x:row>
    <x:row r="34">
      <x:c r="J34" t="n">
        <x:f>A9</x:f>
        <x:v>39</x:v>
      </x:c>
      <x:c r="K34" t="n">
        <x:f>H9</x:f>
        <x:v>30</x:v>
      </x:c>
      <x:c r="L34" t="n">
        <x:f>K9</x:f>
        <x:v>46</x:v>
      </x:c>
      <x:c r="M34" t="n">
        <x:f>L9</x:f>
        <x:v>54</x:v>
      </x:c>
    </x:row>
    <x:row r="35">
      <x:c r="J35" t="n">
        <x:f>A10</x:f>
        <x:v>40</x:v>
      </x:c>
      <x:c r="K35" t="n">
        <x:f>H10</x:f>
        <x:v>29.7</x:v>
      </x:c>
      <x:c r="L35" t="n">
        <x:f>K10</x:f>
        <x:v>46</x:v>
      </x:c>
      <x:c r="M35" t="n">
        <x:f>L10</x:f>
        <x:v>54</x:v>
      </x:c>
    </x:row>
    <x:row r="36">
      <x:c r="J36" t="n">
        <x:f>A11</x:f>
        <x:v>41</x:v>
      </x:c>
      <x:c r="K36" t="n">
        <x:f>H11</x:f>
        <x:v>29.8</x:v>
      </x:c>
      <x:c r="L36" t="n">
        <x:f>K11</x:f>
        <x:v>47</x:v>
      </x:c>
      <x:c r="M36" t="n">
        <x:f>L11</x:f>
        <x:v>55</x:v>
      </x:c>
    </x:row>
    <x:row r="37">
      <x:c r="J37" t="n">
        <x:f>A12</x:f>
        <x:v>42</x:v>
      </x:c>
      <x:c r="K37" t="n">
        <x:f>H12</x:f>
        <x:v>30</x:v>
      </x:c>
      <x:c r="L37" t="n">
        <x:f>K12</x:f>
        <x:v>48</x:v>
      </x:c>
      <x:c r="M37" t="n">
        <x:f>L12</x:f>
        <x:v>56</x:v>
      </x:c>
    </x:row>
    <x:row r="38">
      <x:c r="J38" t="n">
        <x:f>A13</x:f>
        <x:v>43</x:v>
      </x:c>
      <x:c r="K38" t="n">
        <x:f>H13</x:f>
        <x:v>29.8</x:v>
      </x:c>
      <x:c r="L38" t="n">
        <x:f>K13</x:f>
        <x:v>48</x:v>
      </x:c>
      <x:c r="M38" t="n">
        <x:f>L13</x:f>
        <x:v>56</x:v>
      </x:c>
    </x:row>
    <x:row r="39">
      <x:c r="J39" t="n">
        <x:f>A14</x:f>
        <x:v>44</x:v>
      </x:c>
      <x:c r="K39" t="n">
        <x:f>H14</x:f>
        <x:v>30</x:v>
      </x:c>
      <x:c r="L39" t="n">
        <x:f>K14</x:f>
        <x:v>49</x:v>
      </x:c>
      <x:c r="M39" t="n">
        <x:f>L14</x:f>
        <x:v>57</x:v>
      </x:c>
    </x:row>
  </x:sheetData>
  <x:mergeCells>
    <x:mergeCell ref="A1:W1"/>
    <x:mergeCell ref="A17:W17"/>
  </x:mergeCells>
  <x:conditionalFormatting sqref="R4:R14">
    <x:cfRule type="expression" dxfId="28" priority="1">
      <x:formula>R4="실패"</x:formula>
    </x:cfRule>
  </x:conditionalFormatting>
  <x:conditionalFormatting sqref="S4:S14">
    <x:cfRule type="expression" dxfId="29" priority="2">
      <x:formula>S4="통과 기준"</x:formula>
    </x:cfRule>
  </x:conditionalFormatting>
  <x:pageMargins left="0.7" right="0.7" top="0.75" bottom="0.75" header="0.3" footer="0.3"/>
  <x:drawing xmlns:r="http://schemas.openxmlformats.org/officeDocument/2006/relationships" r:id="R204738d11777403b"/>
</x:worksheet>
</file>